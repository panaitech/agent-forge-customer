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压铸铝辅材" sheetId="2" state="visible" r:id="rId2"/>
    <sheet xmlns:r="http://schemas.openxmlformats.org/officeDocument/2006/relationships" name="铁箱辅材" sheetId="3" state="visible" r:id="rId3"/>
    <sheet xmlns:r="http://schemas.openxmlformats.org/officeDocument/2006/relationships" name="箱体" sheetId="4" state="visible" r:id="rId4"/>
    <sheet xmlns:r="http://schemas.openxmlformats.org/officeDocument/2006/relationships" name="电源" sheetId="5" state="visible" r:id="rId5"/>
    <sheet xmlns:r="http://schemas.openxmlformats.org/officeDocument/2006/relationships" name="支架" sheetId="6" state="visible" r:id="rId6"/>
    <sheet xmlns:r="http://schemas.openxmlformats.org/officeDocument/2006/relationships" name="安装抱箍和螺钉" sheetId="7" state="visible" r:id="rId7"/>
    <sheet xmlns:r="http://schemas.openxmlformats.org/officeDocument/2006/relationships" name="控制箱" sheetId="8" state="visible" r:id="rId8"/>
    <sheet xmlns:r="http://schemas.openxmlformats.org/officeDocument/2006/relationships" name="每平米收口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本文件整理自大模组核算原表：辅材 BOM、每平米收口结构、箱体/电源/支架/抱箍/控制箱价目。「每平米收口」样例行是历史底稿，项目报价由 Agent 按招标+规格+本表规则重算本项目收口，不是样例×面积。</t>
        </is>
      </c>
    </row>
    <row r="2">
      <c r="A2" t="inlineStr">
        <is>
          <t>三件套：规格单价表（模组/灯珠/套件及物理箱 SKU）+ 本表（BOM、收口结构、元/㎡箱体与电源/支架/抱箍/控制箱价目）+ 计价 skill。详见方案/场景演示建议口径.md、原表公式与经验配量确认.md。</t>
        </is>
      </c>
    </row>
    <row r="3">
      <c r="A3" t="inlineStr">
        <is>
          <t>压铸铝辅材 / 铁箱辅材：保留原逐项与汇总公式。关键汇总格见各表「总计1平方辅料」「包材总计」「折1平方」行。</t>
        </is>
      </c>
    </row>
    <row r="4">
      <c r="A4" t="inlineStr">
        <is>
          <t>每平米收口：保留结构与对辅材/箱体/电源的公式引用；模组单价列正式稿留空（取规格单价表）。表内「1㎡模组数量」「常规电源数量」为样例/待成本确认的经验位，不作未确认的项目默认取数。</t>
        </is>
      </c>
    </row>
    <row r="5">
      <c r="A5" t="inlineStr">
        <is>
          <t>价目页「箱体」「电源」「支架」「安装抱箍和螺钉」「控制箱」自原表迁入；正式稿单价空/0 由成本维护。规格单价表「箱体单价」仅作物料核对，平方单价中的箱体元/㎡以本册「箱体」为准。报价单「控制系统」取本册「控制箱」汇总（每套），形态加价见报价单 skill。</t>
        </is>
      </c>
    </row>
    <row r="6">
      <c r="A6" t="inlineStr">
        <is>
          <t>不转入屏体清单样例页。招标用抄录面积。供应商名不转入。</t>
        </is>
      </c>
    </row>
    <row r="7">
      <c r="A7" t="inlineStr">
        <is>
          <t>BOM 明细与常数加价（如辅材 +20）由成本岗维护，改后同步 skill。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BOM层级</t>
        </is>
      </c>
      <c r="B1" t="inlineStr">
        <is>
          <t>子项物料编码</t>
        </is>
      </c>
      <c r="C1" t="inlineStr">
        <is>
          <t>物料名称</t>
        </is>
      </c>
      <c r="D1" t="inlineStr">
        <is>
          <t>含税单价</t>
        </is>
      </c>
      <c r="E1" t="inlineStr">
        <is>
          <t>实际数量</t>
        </is>
      </c>
      <c r="F1" t="inlineStr">
        <is>
          <t>合计</t>
        </is>
      </c>
    </row>
    <row r="2">
      <c r="A2" t="inlineStr">
        <is>
          <t>..2</t>
        </is>
      </c>
      <c r="B2" t="inlineStr">
        <is>
          <t>2200001771</t>
        </is>
      </c>
      <c r="C2" t="inlineStr">
        <is>
          <t>箱体组件无凸台（带接收卡DH7508-S）/1000*1000*78-箱体组件/压铸箱体 ADC12 细砂纹黑色 有丝印</t>
        </is>
      </c>
    </row>
    <row r="3">
      <c r="A3" t="inlineStr">
        <is>
          <t>...3</t>
        </is>
      </c>
      <c r="B3" t="inlineStr">
        <is>
          <t>1700003743</t>
        </is>
      </c>
      <c r="C3" t="inlineStr">
        <is>
          <t>箱体 /CDKXB-YZX-A1D/1000*1000*78 压铸箱（丝印）无凸台/ ADC12  细砂纹黑色 后维护</t>
        </is>
      </c>
      <c r="E3" t="n">
        <v>1</v>
      </c>
      <c r="F3">
        <f>D3*E3</f>
        <v/>
      </c>
    </row>
    <row r="4">
      <c r="A4" t="inlineStr">
        <is>
          <t>...3</t>
        </is>
      </c>
      <c r="B4" t="inlineStr">
        <is>
          <t>1700002769</t>
        </is>
      </c>
      <c r="C4" t="inlineStr">
        <is>
          <t>接收卡安装板/CDKXB-YZX-A3/300*240*1.5 /AL5052本色</t>
        </is>
      </c>
      <c r="E4" t="n">
        <v>1</v>
      </c>
      <c r="F4">
        <f>D4*E4</f>
        <v/>
      </c>
    </row>
    <row r="5">
      <c r="A5" t="inlineStr">
        <is>
          <t>...3</t>
        </is>
      </c>
      <c r="B5" t="inlineStr">
        <is>
          <t>1700002770</t>
        </is>
      </c>
      <c r="C5" t="inlineStr">
        <is>
          <t>电源 MRV570-1接收卡 MON300点检卡 共用安装板/CDKXB-YZX-A4/250*250*1.5 / AL5052本色</t>
        </is>
      </c>
      <c r="E5" t="n">
        <v>1</v>
      </c>
      <c r="F5">
        <f>D5*E5</f>
        <v/>
      </c>
    </row>
    <row r="6">
      <c r="C6" t="inlineStr">
        <is>
          <t>安装件总计</t>
        </is>
      </c>
      <c r="F6">
        <f>SUM(F4:F5)</f>
        <v/>
      </c>
    </row>
    <row r="7"/>
    <row r="8"/>
    <row r="9">
      <c r="A9" t="inlineStr">
        <is>
          <t>...3</t>
        </is>
      </c>
      <c r="B9" t="inlineStr">
        <is>
          <t>1600000335</t>
        </is>
      </c>
      <c r="C9" t="inlineStr">
        <is>
          <t>外六角十字螺钉/M4*8/304不锈钢（盐雾时间超过48H)A2-70/本色</t>
        </is>
      </c>
      <c r="E9" t="n">
        <v>144</v>
      </c>
      <c r="F9">
        <f>D9*E9</f>
        <v/>
      </c>
    </row>
    <row r="10">
      <c r="A10" t="inlineStr">
        <is>
          <t>...3</t>
        </is>
      </c>
      <c r="B10" t="inlineStr">
        <is>
          <t>1600000061</t>
        </is>
      </c>
      <c r="C10" t="inlineStr">
        <is>
          <t>3合1螺钉/M3*8/碳钢/镀白锌</t>
        </is>
      </c>
      <c r="E10" t="n">
        <v>24</v>
      </c>
      <c r="F10">
        <f>D10*E10</f>
        <v/>
      </c>
    </row>
    <row r="11">
      <c r="A11" t="inlineStr">
        <is>
          <t>...3</t>
        </is>
      </c>
      <c r="B11" t="inlineStr">
        <is>
          <t>1600000027</t>
        </is>
      </c>
      <c r="C11" t="inlineStr">
        <is>
          <t>圆头十字螺钉/M4*8/碳钢/镀白锌</t>
        </is>
      </c>
      <c r="E11" t="n">
        <v>2</v>
      </c>
      <c r="F11">
        <f>D11*E11</f>
        <v/>
      </c>
    </row>
    <row r="12">
      <c r="A12" t="inlineStr">
        <is>
          <t>...3</t>
        </is>
      </c>
      <c r="B12" t="inlineStr">
        <is>
          <t>1600000063</t>
        </is>
      </c>
      <c r="C12" t="inlineStr">
        <is>
          <t>3合1螺钉/M4*8/碳钢/镀白锌</t>
        </is>
      </c>
      <c r="E12" t="n">
        <v>4</v>
      </c>
      <c r="F12">
        <f>D12*E12</f>
        <v/>
      </c>
    </row>
    <row r="13">
      <c r="A13" t="inlineStr">
        <is>
          <t>...3</t>
        </is>
      </c>
      <c r="B13" t="inlineStr">
        <is>
          <t>1000000989</t>
        </is>
      </c>
      <c r="C13" t="inlineStr">
        <is>
          <t>接收卡/NV7508</t>
        </is>
      </c>
      <c r="E13" t="n">
        <v>1</v>
      </c>
    </row>
    <row r="14">
      <c r="A14" t="inlineStr">
        <is>
          <t>...3</t>
        </is>
      </c>
      <c r="B14" t="inlineStr">
        <is>
          <t>1300000104</t>
        </is>
      </c>
      <c r="C14" t="inlineStr">
        <is>
          <t>接线排/TB2504/4位</t>
        </is>
      </c>
      <c r="E14" t="n">
        <v>1</v>
      </c>
      <c r="F14">
        <f>D14*E14</f>
        <v/>
      </c>
    </row>
    <row r="15">
      <c r="A15" t="inlineStr">
        <is>
          <t>...3</t>
        </is>
      </c>
      <c r="B15" t="inlineStr">
        <is>
          <t>1400000152</t>
        </is>
      </c>
      <c r="C15" t="inlineStr">
        <is>
          <t>16P 2.54mm-2*8P插座带蝴蝶扣同向排线/200mm/镀锡铜7*0.12mm</t>
        </is>
      </c>
      <c r="E15" t="n">
        <v>1</v>
      </c>
      <c r="F15">
        <f>D15*E15</f>
        <v/>
      </c>
    </row>
    <row r="16">
      <c r="A16" t="inlineStr">
        <is>
          <t>...3</t>
        </is>
      </c>
      <c r="B16" t="inlineStr">
        <is>
          <t>1400000070</t>
        </is>
      </c>
      <c r="C16" t="inlineStr">
        <is>
          <t>16P 2.54mm-2*8P插座带蝴蝶扣同向排线/330mm/镀锡铜7*0.12mm</t>
        </is>
      </c>
      <c r="E16" t="n">
        <v>3</v>
      </c>
      <c r="F16">
        <f>D16*E16</f>
        <v/>
      </c>
    </row>
    <row r="17">
      <c r="A17" t="inlineStr">
        <is>
          <t>...3</t>
        </is>
      </c>
      <c r="B17" t="inlineStr">
        <is>
          <t>1400000141</t>
        </is>
      </c>
      <c r="C17" t="inlineStr">
        <is>
          <t>16P 2.54mm-2*8P插座带蝴蝶扣同向排线/350mm/镀锡铜7*0.12mm</t>
        </is>
      </c>
      <c r="E17" t="n">
        <v>1</v>
      </c>
      <c r="F17">
        <f>D17*E17</f>
        <v/>
      </c>
    </row>
    <row r="18">
      <c r="A18" t="inlineStr">
        <is>
          <t>...3</t>
        </is>
      </c>
      <c r="B18" t="inlineStr">
        <is>
          <t>1400000071</t>
        </is>
      </c>
      <c r="C18" t="inlineStr">
        <is>
          <t>16P 2.54mm-2*8P插座带蝴蝶扣同向排线/600mm/镀锡铜7*0.12mm</t>
        </is>
      </c>
      <c r="E18" t="n">
        <v>1</v>
      </c>
      <c r="F18">
        <f>D18*E18</f>
        <v/>
      </c>
    </row>
    <row r="19">
      <c r="A19" t="inlineStr">
        <is>
          <t>...3</t>
        </is>
      </c>
      <c r="B19" t="inlineStr">
        <is>
          <t>1400000073</t>
        </is>
      </c>
      <c r="C19" t="inlineStr">
        <is>
          <t>16P 2.54mm-2*8P插座带蝴蝶扣同向排线/800mm/镀锡铜7*0.12mm</t>
        </is>
      </c>
      <c r="E19" t="n">
        <v>2</v>
      </c>
      <c r="F19">
        <f>D19*E19</f>
        <v/>
      </c>
    </row>
    <row r="20">
      <c r="A20" t="inlineStr">
        <is>
          <t>...3</t>
        </is>
      </c>
      <c r="B20" t="inlineStr">
        <is>
          <t>1400000228</t>
        </is>
      </c>
      <c r="C20" t="inlineStr">
        <is>
          <t>一拖四5V单元板电源线/主线长0.98m 分支线长0.12m 间隔0.26m焊接分支线 接线叉SNB2-4 /分支线BVR铜软1mm² 主线国标BVR铜软4mm²</t>
        </is>
      </c>
      <c r="E20" t="n">
        <v>2</v>
      </c>
      <c r="F20">
        <f>D20*E20</f>
        <v/>
      </c>
    </row>
    <row r="21">
      <c r="A21" t="inlineStr">
        <is>
          <t>...3</t>
        </is>
      </c>
      <c r="B21" t="inlineStr">
        <is>
          <t>2200001070</t>
        </is>
      </c>
      <c r="C21" t="inlineStr">
        <is>
          <t>铜芯聚氯乙烯绝缘连接软电线/RV1mm² 线长400mm/带SNB2-4 SNB2-3接线叉子/黑色</t>
        </is>
      </c>
      <c r="E21" t="n">
        <v>1</v>
      </c>
      <c r="F21">
        <f>D21*E21</f>
        <v/>
      </c>
    </row>
    <row r="22">
      <c r="A22" t="inlineStr">
        <is>
          <t>....4</t>
        </is>
      </c>
      <c r="B22" t="inlineStr">
        <is>
          <t>1400000045</t>
        </is>
      </c>
      <c r="C22" t="inlineStr">
        <is>
          <t>铜芯聚氯乙烯绝缘连接软电线/RV1mm²电压300-500V/黑色</t>
        </is>
      </c>
      <c r="F22">
        <f>D22*E22</f>
        <v/>
      </c>
    </row>
    <row r="23">
      <c r="A23" t="inlineStr">
        <is>
          <t>....4</t>
        </is>
      </c>
      <c r="B23" t="inlineStr">
        <is>
          <t>1300000130</t>
        </is>
      </c>
      <c r="C23" t="inlineStr">
        <is>
          <t>冷压接线端子/SNB2-4/国标紫铜U型/16*6.4*0.8mm</t>
        </is>
      </c>
      <c r="F23">
        <f>D23*E23</f>
        <v/>
      </c>
    </row>
    <row r="24">
      <c r="A24" t="inlineStr">
        <is>
          <t>....4</t>
        </is>
      </c>
      <c r="B24" t="inlineStr">
        <is>
          <t>1300000129</t>
        </is>
      </c>
      <c r="C24" t="inlineStr">
        <is>
          <t>冷压接线端子/SNB2-3/国标紫铜U型/16*5.7*0.8mm</t>
        </is>
      </c>
      <c r="F24">
        <f>D24*E24</f>
        <v/>
      </c>
    </row>
    <row r="25">
      <c r="A25" t="inlineStr">
        <is>
          <t>....4</t>
        </is>
      </c>
      <c r="B25" t="inlineStr">
        <is>
          <t>1700000078</t>
        </is>
      </c>
      <c r="C25" t="inlineStr">
        <is>
          <t>热缩管φ4/黑色</t>
        </is>
      </c>
      <c r="F25">
        <f>D25*E25</f>
        <v/>
      </c>
    </row>
    <row r="26">
      <c r="A26" t="inlineStr">
        <is>
          <t>...3</t>
        </is>
      </c>
      <c r="B26" t="inlineStr">
        <is>
          <t>2200001071</t>
        </is>
      </c>
      <c r="C26" t="inlineStr">
        <is>
          <t>铜芯聚氯乙烯绝缘连接软电线/RV1mm² 线长400mm/带SNB2-4 SNB2-3接线叉子/红色</t>
        </is>
      </c>
      <c r="E26" t="n">
        <v>1</v>
      </c>
      <c r="F26">
        <f>D26*E26</f>
        <v/>
      </c>
    </row>
    <row r="27">
      <c r="A27" t="inlineStr">
        <is>
          <t>....4</t>
        </is>
      </c>
      <c r="B27" t="inlineStr">
        <is>
          <t>1400000046</t>
        </is>
      </c>
      <c r="C27" t="inlineStr">
        <is>
          <t>铜芯聚氯乙烯绝缘连接软电线/RV1mm²电压300-500V/红色</t>
        </is>
      </c>
      <c r="F27">
        <f>D27*E27</f>
        <v/>
      </c>
    </row>
    <row r="28">
      <c r="A28" t="inlineStr">
        <is>
          <t>....4</t>
        </is>
      </c>
      <c r="B28" t="inlineStr">
        <is>
          <t>1300000130</t>
        </is>
      </c>
      <c r="C28" t="inlineStr">
        <is>
          <t>冷压接线端子/SNB2-4/国标紫铜U型/16*6.4*0.8mm</t>
        </is>
      </c>
      <c r="F28">
        <f>D28*E28</f>
        <v/>
      </c>
    </row>
    <row r="29">
      <c r="A29" t="inlineStr">
        <is>
          <t>....4</t>
        </is>
      </c>
      <c r="B29" t="inlineStr">
        <is>
          <t>1300000129</t>
        </is>
      </c>
      <c r="C29" t="inlineStr">
        <is>
          <t>冷压接线端子/SNB2-3/国标紫铜U型/16*5.7*0.8mm</t>
        </is>
      </c>
      <c r="F29">
        <f>D29*E29</f>
        <v/>
      </c>
    </row>
    <row r="30">
      <c r="A30" t="inlineStr">
        <is>
          <t>....4</t>
        </is>
      </c>
      <c r="B30" t="inlineStr">
        <is>
          <t>1700000078</t>
        </is>
      </c>
      <c r="C30" t="inlineStr">
        <is>
          <t>热缩管φ4/黑色</t>
        </is>
      </c>
      <c r="F30">
        <f>D30*E30</f>
        <v/>
      </c>
    </row>
    <row r="31">
      <c r="A31" t="inlineStr">
        <is>
          <t>...3</t>
        </is>
      </c>
      <c r="B31" t="inlineStr">
        <is>
          <t>2200001072</t>
        </is>
      </c>
      <c r="C31" t="inlineStr">
        <is>
          <t>铜芯聚氯乙烯绝缘连接软电线/RV1.5mm²线长300mm/带RNB2-4黄绿色</t>
        </is>
      </c>
      <c r="E31" t="n">
        <v>2</v>
      </c>
      <c r="F31">
        <f>D31*E31</f>
        <v/>
      </c>
    </row>
    <row r="32">
      <c r="A32" t="inlineStr">
        <is>
          <t>....4</t>
        </is>
      </c>
      <c r="B32" t="inlineStr">
        <is>
          <t>1400000061</t>
        </is>
      </c>
      <c r="C32" t="inlineStr">
        <is>
          <t>铜芯聚氯乙烯绝缘阻燃软电线/ZR BVR1*1.5mm²电压450-750V/黄绿色</t>
        </is>
      </c>
      <c r="F32">
        <f>D32*E32</f>
        <v/>
      </c>
    </row>
    <row r="33">
      <c r="A33" t="inlineStr">
        <is>
          <t>....4</t>
        </is>
      </c>
      <c r="B33" t="inlineStr">
        <is>
          <t>1300000127</t>
        </is>
      </c>
      <c r="C33" t="inlineStr">
        <is>
          <t>冷压接线端子/RNB2-4/国标紫铜O型/14.4*6.6*0.8mm</t>
        </is>
      </c>
      <c r="F33">
        <f>D33*E33</f>
        <v/>
      </c>
    </row>
    <row r="34">
      <c r="A34" t="inlineStr">
        <is>
          <t>...3</t>
        </is>
      </c>
      <c r="B34" t="inlineStr">
        <is>
          <t>2200001073</t>
        </is>
      </c>
      <c r="C34" t="inlineStr">
        <is>
          <t>铜芯聚氯乙烯绝缘连接软电线/RV1.5mm²线长200mm/带RNB2-4 SNB2-4黄绿色</t>
        </is>
      </c>
      <c r="E34" t="n">
        <v>1</v>
      </c>
      <c r="F34">
        <f>D34*E34</f>
        <v/>
      </c>
    </row>
    <row r="35">
      <c r="A35" t="inlineStr">
        <is>
          <t>....4</t>
        </is>
      </c>
      <c r="B35" t="inlineStr">
        <is>
          <t>1400000061</t>
        </is>
      </c>
      <c r="C35" t="inlineStr">
        <is>
          <t>铜芯聚氯乙烯绝缘阻燃软电线/ZR BVR1*1.5mm²电压450-750V/黄绿色</t>
        </is>
      </c>
      <c r="F35">
        <f>D35*E35</f>
        <v/>
      </c>
    </row>
    <row r="36">
      <c r="A36" t="inlineStr">
        <is>
          <t>....4</t>
        </is>
      </c>
      <c r="B36" t="inlineStr">
        <is>
          <t>1300000127</t>
        </is>
      </c>
      <c r="C36" t="inlineStr">
        <is>
          <t>冷压接线端子/RNB2-4/国标紫铜O型/14.4*6.6*0.8mm</t>
        </is>
      </c>
      <c r="F36">
        <f>D36*E36</f>
        <v/>
      </c>
    </row>
    <row r="37">
      <c r="A37" t="inlineStr">
        <is>
          <t>....4</t>
        </is>
      </c>
      <c r="B37" t="inlineStr">
        <is>
          <t>1300000130</t>
        </is>
      </c>
      <c r="C37" t="inlineStr">
        <is>
          <t>冷压接线端子/SNB2-4/国标紫铜U型/16*6.4*0.8mm</t>
        </is>
      </c>
      <c r="F37">
        <f>D37*E37</f>
        <v/>
      </c>
    </row>
    <row r="38">
      <c r="A38" t="inlineStr">
        <is>
          <t>....4</t>
        </is>
      </c>
      <c r="B38" t="inlineStr">
        <is>
          <t>1700000078</t>
        </is>
      </c>
      <c r="C38" t="inlineStr">
        <is>
          <t>热缩管φ4/黑色</t>
        </is>
      </c>
      <c r="F38">
        <f>D38*E38</f>
        <v/>
      </c>
    </row>
    <row r="39">
      <c r="A39" t="inlineStr">
        <is>
          <t>...3</t>
        </is>
      </c>
      <c r="B39" t="inlineStr">
        <is>
          <t>2200001074</t>
        </is>
      </c>
      <c r="C39" t="inlineStr">
        <is>
          <t>聚氯乙烯绝缘护套电缆电线/RVV3*1.5mm²线长1000mm（内芯棕色、蓝色、黄绿色）/带SNB2-4/黑色</t>
        </is>
      </c>
      <c r="E39" t="n">
        <v>1</v>
      </c>
      <c r="F39">
        <f>D39*E39</f>
        <v/>
      </c>
    </row>
    <row r="40">
      <c r="A40" t="inlineStr">
        <is>
          <t>....4</t>
        </is>
      </c>
      <c r="B40" t="inlineStr">
        <is>
          <t>1400000001</t>
        </is>
      </c>
      <c r="C40" t="inlineStr">
        <is>
          <t>聚氯乙烯绝缘护套电缆电线/RVV3*1.5mm²电压300-500V（内芯棕色、蓝色、黄绿色 多股软芯线）/黑色</t>
        </is>
      </c>
      <c r="F40">
        <f>D40*E40</f>
        <v/>
      </c>
    </row>
    <row r="41">
      <c r="A41" t="inlineStr">
        <is>
          <t>....4</t>
        </is>
      </c>
      <c r="B41" t="inlineStr">
        <is>
          <t>1300000130</t>
        </is>
      </c>
      <c r="C41" t="inlineStr">
        <is>
          <t>冷压接线端子/SNB2-4/国标紫铜U型/16*6.4*0.8mm</t>
        </is>
      </c>
      <c r="F41">
        <f>D41*E41</f>
        <v/>
      </c>
    </row>
    <row r="42">
      <c r="A42" t="inlineStr">
        <is>
          <t>....4</t>
        </is>
      </c>
      <c r="B42" t="inlineStr">
        <is>
          <t>1700000078</t>
        </is>
      </c>
      <c r="C42" t="inlineStr">
        <is>
          <t>热缩管φ4/黑色</t>
        </is>
      </c>
      <c r="F42">
        <f>D42*E42</f>
        <v/>
      </c>
    </row>
    <row r="43">
      <c r="A43" t="inlineStr">
        <is>
          <t>...3</t>
        </is>
      </c>
      <c r="B43" t="inlineStr">
        <is>
          <t>2200001075</t>
        </is>
      </c>
      <c r="C43" t="inlineStr">
        <is>
          <t>聚氯乙烯绝缘护套电缆电线/RVV3*1.5mm²线长400mm（内芯棕色、蓝色、黄绿色）/带SNB2-4 SNB3.5-4/黑色</t>
        </is>
      </c>
      <c r="E43" t="n">
        <v>1</v>
      </c>
      <c r="F43">
        <f>D43*E43</f>
        <v/>
      </c>
    </row>
    <row r="44">
      <c r="A44" t="inlineStr">
        <is>
          <t>....4</t>
        </is>
      </c>
      <c r="B44" t="inlineStr">
        <is>
          <t>1400000001</t>
        </is>
      </c>
      <c r="C44" t="inlineStr">
        <is>
          <t>聚氯乙烯绝缘护套电缆电线/RVV3*1.5mm²电压300-500V（内芯棕色、蓝色、黄绿色 多股软芯线）/黑色</t>
        </is>
      </c>
      <c r="F44">
        <f>D44*E44</f>
        <v/>
      </c>
    </row>
    <row r="45">
      <c r="A45" t="inlineStr">
        <is>
          <t>....4</t>
        </is>
      </c>
      <c r="B45" t="inlineStr">
        <is>
          <t>1300000130</t>
        </is>
      </c>
      <c r="C45" t="inlineStr">
        <is>
          <t>冷压接线端子/SNB2-4/国标紫铜U型/16*6.4*0.8mm</t>
        </is>
      </c>
      <c r="F45">
        <f>D45*E45</f>
        <v/>
      </c>
    </row>
    <row r="46">
      <c r="A46" t="inlineStr">
        <is>
          <t>....4</t>
        </is>
      </c>
      <c r="B46" t="inlineStr">
        <is>
          <t>1300000131</t>
        </is>
      </c>
      <c r="C46" t="inlineStr">
        <is>
          <t>冷压接线端子/SNB3.5-4/国标紫铜U型/18.3*8*1mm</t>
        </is>
      </c>
      <c r="F46">
        <f>D46*E46</f>
        <v/>
      </c>
    </row>
    <row r="47">
      <c r="A47" t="inlineStr">
        <is>
          <t>....4</t>
        </is>
      </c>
      <c r="B47" t="inlineStr">
        <is>
          <t>1700000078</t>
        </is>
      </c>
      <c r="C47" t="inlineStr">
        <is>
          <t>热缩管φ4/黑色</t>
        </is>
      </c>
      <c r="F47">
        <f>D47*E47</f>
        <v/>
      </c>
    </row>
    <row r="48">
      <c r="A48" t="inlineStr">
        <is>
          <t>....4</t>
        </is>
      </c>
      <c r="B48" t="inlineStr">
        <is>
          <t>1700000079</t>
        </is>
      </c>
      <c r="C48" t="inlineStr">
        <is>
          <t>热缩管φ5/黑色</t>
        </is>
      </c>
      <c r="F48">
        <f>D48*E48</f>
        <v/>
      </c>
    </row>
    <row r="49">
      <c r="A49" t="inlineStr">
        <is>
          <t>...3</t>
        </is>
      </c>
      <c r="B49" t="inlineStr">
        <is>
          <t>2200001076</t>
        </is>
      </c>
      <c r="C49" t="inlineStr">
        <is>
          <t>聚氯乙烯绝缘护套电缆电线/RVV3*2.5mm²线长1300mm（内芯棕色、蓝色、黄绿色）/带SNB3.5-4/黑色</t>
        </is>
      </c>
      <c r="E49" t="n">
        <v>1</v>
      </c>
      <c r="F49">
        <f>D49*E49</f>
        <v/>
      </c>
    </row>
    <row r="50">
      <c r="A50" t="inlineStr">
        <is>
          <t>....4</t>
        </is>
      </c>
      <c r="B50" t="inlineStr">
        <is>
          <t>1400000021</t>
        </is>
      </c>
      <c r="C50" t="inlineStr">
        <is>
          <t>轻型聚氯乙烯护套软线/602271EC52(RVV),3*2.5mm²电压300-500V/黑色（内芯棕色、蓝色、黄绿色）多股软芯线/N</t>
        </is>
      </c>
      <c r="F50">
        <f>D50*E50</f>
        <v/>
      </c>
    </row>
    <row r="51">
      <c r="A51" t="inlineStr">
        <is>
          <t>....4</t>
        </is>
      </c>
      <c r="B51" t="inlineStr">
        <is>
          <t>1300000131</t>
        </is>
      </c>
      <c r="C51" t="inlineStr">
        <is>
          <t>冷压接线端子/SNB3.5-4/国标紫铜U型/18.3*8*1mm</t>
        </is>
      </c>
      <c r="F51">
        <f>D51*E51</f>
        <v/>
      </c>
    </row>
    <row r="52">
      <c r="A52" t="inlineStr">
        <is>
          <t>....4</t>
        </is>
      </c>
      <c r="B52" t="inlineStr">
        <is>
          <t>1700000079</t>
        </is>
      </c>
      <c r="C52" t="inlineStr">
        <is>
          <t>热缩管φ5/黑色</t>
        </is>
      </c>
      <c r="F52">
        <f>D52*E52</f>
        <v/>
      </c>
    </row>
    <row r="53">
      <c r="A53" t="inlineStr">
        <is>
          <t>...3</t>
        </is>
      </c>
      <c r="B53" t="inlineStr">
        <is>
          <t>1700001490</t>
        </is>
      </c>
      <c r="C53" t="inlineStr">
        <is>
          <t>M4吊环铜螺钉/M4*7/φ9*17.5mm/黄铜本色</t>
        </is>
      </c>
      <c r="E53" t="n">
        <v>1</v>
      </c>
      <c r="F53">
        <f>D53*E53</f>
        <v/>
      </c>
    </row>
    <row r="54">
      <c r="A54" t="inlineStr">
        <is>
          <t>...3</t>
        </is>
      </c>
      <c r="B54" t="inlineStr">
        <is>
          <t>1700001493</t>
        </is>
      </c>
      <c r="C54" t="inlineStr">
        <is>
          <t>304不锈钢钥匙圈（平圈）/ 外圈25mm/不锈钢 A2-70/本色</t>
        </is>
      </c>
      <c r="E54" t="n">
        <v>1</v>
      </c>
      <c r="F54">
        <f>D54*E54</f>
        <v/>
      </c>
    </row>
    <row r="55">
      <c r="A55" t="inlineStr">
        <is>
          <t>...3</t>
        </is>
      </c>
      <c r="B55" t="inlineStr">
        <is>
          <t>1700000061</t>
        </is>
      </c>
      <c r="C55" t="inlineStr">
        <is>
          <t>尼龙扎带/3*150mm/白色</t>
        </is>
      </c>
      <c r="E55" t="n">
        <v>1</v>
      </c>
      <c r="F55">
        <f>D55*E55</f>
        <v/>
      </c>
    </row>
    <row r="56">
      <c r="C56" t="inlineStr">
        <is>
          <t>总计1平方辅料</t>
        </is>
      </c>
      <c r="F56">
        <f>SUM(F9:F55)</f>
        <v/>
      </c>
    </row>
    <row r="57"/>
    <row r="58">
      <c r="A58" t="inlineStr">
        <is>
          <t>..2</t>
        </is>
      </c>
      <c r="B58" t="inlineStr">
        <is>
          <t>1800000157</t>
        </is>
      </c>
      <c r="C58" t="inlineStr">
        <is>
          <t>珍珠棉/2000*1000*10/EPE白色</t>
        </is>
      </c>
      <c r="F58">
        <f>D58*E58</f>
        <v/>
      </c>
    </row>
    <row r="59">
      <c r="A59" t="inlineStr">
        <is>
          <t>..2</t>
        </is>
      </c>
      <c r="B59" t="inlineStr">
        <is>
          <t>1800001084</t>
        </is>
      </c>
      <c r="C59" t="inlineStr">
        <is>
          <t>压铸箱屏体十二平方木箱/CDKXB-YZX-A15B/内尺寸 2030*780*1060/胶合板本色</t>
        </is>
      </c>
      <c r="F59">
        <f>D59*E59</f>
        <v/>
      </c>
    </row>
    <row r="60">
      <c r="C60" t="inlineStr">
        <is>
          <t>包材总计</t>
        </is>
      </c>
      <c r="F60">
        <f>SUM(F58:F59)+6</f>
        <v/>
      </c>
    </row>
    <row r="61"/>
    <row r="62"/>
    <row r="63"/>
    <row r="64">
      <c r="A64" t="inlineStr">
        <is>
          <t>..2</t>
        </is>
      </c>
      <c r="B64" t="inlineStr">
        <is>
          <t>1600000204</t>
        </is>
      </c>
      <c r="C64" t="inlineStr">
        <is>
          <t>内六角组合螺钉/M8*25/不锈钢 A2-70/本色</t>
        </is>
      </c>
    </row>
    <row r="65">
      <c r="A65" t="inlineStr">
        <is>
          <t>..2</t>
        </is>
      </c>
      <c r="B65" t="inlineStr">
        <is>
          <t>1600000345</t>
        </is>
      </c>
      <c r="C65" t="inlineStr">
        <is>
          <t>内六角三合一螺丝/M6×16/不锈钢/本色</t>
        </is>
      </c>
    </row>
    <row r="66">
      <c r="A66" t="inlineStr">
        <is>
          <t>..2</t>
        </is>
      </c>
      <c r="B66" t="inlineStr">
        <is>
          <t>1600000079</t>
        </is>
      </c>
      <c r="C66" t="inlineStr">
        <is>
          <t>过线圈/PG16/尼龙/黑色</t>
        </is>
      </c>
    </row>
    <row r="67">
      <c r="A67" t="inlineStr">
        <is>
          <t>..2</t>
        </is>
      </c>
      <c r="B67" t="inlineStr">
        <is>
          <t>1700003222</t>
        </is>
      </c>
      <c r="C67" t="inlineStr">
        <is>
          <t>侧封板 /CDKXB-YZX-A10/49*49压铸箱侧封板  /AL=2 细砂黑色</t>
        </is>
      </c>
    </row>
    <row r="68">
      <c r="A68" t="inlineStr">
        <is>
          <t>..2</t>
        </is>
      </c>
      <c r="B68" t="inlineStr">
        <is>
          <t>1600000147</t>
        </is>
      </c>
      <c r="C68" t="inlineStr">
        <is>
          <t>沉头十字机牙螺钉（1号槽大头）/M3*6/不锈钢/本色</t>
        </is>
      </c>
    </row>
    <row r="69">
      <c r="A69" t="inlineStr">
        <is>
          <t>..2</t>
        </is>
      </c>
      <c r="B69" t="inlineStr">
        <is>
          <t>1800000906</t>
        </is>
      </c>
      <c r="C69" t="inlineStr">
        <is>
          <t>LOGO铭牌/CD-LGMP-MP01/ 120*80（厚度0.6-0.8） /空白铝铭牌 黑色</t>
        </is>
      </c>
    </row>
    <row r="70">
      <c r="A70" t="inlineStr">
        <is>
          <t>..2</t>
        </is>
      </c>
      <c r="B70" t="inlineStr">
        <is>
          <t>1800001120</t>
        </is>
      </c>
      <c r="C70" t="inlineStr">
        <is>
          <t>φ15绿底白字QC PASS不干胶贴</t>
        </is>
      </c>
    </row>
    <row r="71">
      <c r="A71" t="inlineStr">
        <is>
          <t>..2</t>
        </is>
      </c>
      <c r="B71" t="inlineStr">
        <is>
          <t>1800000797</t>
        </is>
      </c>
      <c r="C71" t="inlineStr">
        <is>
          <t>防水亚银标签纸/80 *120 *300/进口背胶</t>
        </is>
      </c>
    </row>
    <row r="72">
      <c r="A72" t="inlineStr">
        <is>
          <t>..2</t>
        </is>
      </c>
      <c r="B72" t="inlineStr">
        <is>
          <t>1400000082</t>
        </is>
      </c>
      <c r="C72" t="inlineStr">
        <is>
          <t>超五类非屏蔽网线/3M</t>
        </is>
      </c>
    </row>
    <row r="73">
      <c r="A73" t="inlineStr">
        <is>
          <t>..2</t>
        </is>
      </c>
      <c r="B73" t="inlineStr">
        <is>
          <t>1400000173</t>
        </is>
      </c>
      <c r="C73" t="inlineStr">
        <is>
          <t>纯铜超五类单屏蔽室外网线/5M 黑色</t>
        </is>
      </c>
    </row>
    <row r="74">
      <c r="A74" t="inlineStr">
        <is>
          <t>..2</t>
        </is>
      </c>
      <c r="B74" t="inlineStr">
        <is>
          <t>2200001077</t>
        </is>
      </c>
      <c r="C74" t="inlineStr">
        <is>
          <t>聚氯乙烯绝缘护套电缆电线/RVV3*2.5mm² 线长5000mm（内芯棕色、蓝色、黄绿色）/带C45-4 SNB3.5-4/黑色</t>
        </is>
      </c>
    </row>
    <row r="75">
      <c r="A75" t="inlineStr">
        <is>
          <t>...3</t>
        </is>
      </c>
      <c r="B75" t="inlineStr">
        <is>
          <t>1400000021</t>
        </is>
      </c>
      <c r="C75" t="inlineStr">
        <is>
          <t>轻型聚氯乙烯护套软线/602271EC52(RVV),3*2.5mm²电压300-500V/黑色（内芯棕色、蓝色、黄绿色）多股软芯线/N</t>
        </is>
      </c>
    </row>
    <row r="76">
      <c r="A76" t="inlineStr">
        <is>
          <t>...3</t>
        </is>
      </c>
      <c r="B76" t="inlineStr">
        <is>
          <t>1300000150</t>
        </is>
      </c>
      <c r="C76" t="inlineStr">
        <is>
          <t>冷压接线端子/C45-4/插片形DZ47国标紫铜/13*4.8*0.7mm</t>
        </is>
      </c>
    </row>
    <row r="77">
      <c r="A77" t="inlineStr">
        <is>
          <t>...3</t>
        </is>
      </c>
      <c r="B77" t="inlineStr">
        <is>
          <t>1300000131</t>
        </is>
      </c>
      <c r="C77" t="inlineStr">
        <is>
          <t>冷压接线端子/SNB3.5-4/国标紫铜U型/18.3*8*1mm</t>
        </is>
      </c>
    </row>
    <row r="78">
      <c r="A78" t="inlineStr">
        <is>
          <t>...3</t>
        </is>
      </c>
      <c r="B78" t="inlineStr">
        <is>
          <t>1700000079</t>
        </is>
      </c>
      <c r="C78" t="inlineStr">
        <is>
          <t>热缩管φ5/黑色</t>
        </is>
      </c>
    </row>
    <row r="79">
      <c r="C79" t="inlineStr">
        <is>
          <t>10平方整体用量总计共用辅料</t>
        </is>
      </c>
      <c r="E79">
        <f>SUM(E63:E78)</f>
        <v/>
      </c>
    </row>
    <row r="80">
      <c r="C80" t="inlineStr">
        <is>
          <t>10平方整体用量总计共用辅料，单价1平方</t>
        </is>
      </c>
      <c r="E80">
        <f>E79/10</f>
        <v/>
      </c>
    </row>
    <row r="81"/>
    <row r="82">
      <c r="A82" t="inlineStr">
        <is>
          <t>..2</t>
        </is>
      </c>
      <c r="B82" t="inlineStr">
        <is>
          <t>1600000346</t>
        </is>
      </c>
      <c r="C82" t="inlineStr">
        <is>
          <t>不锈钢三合一外六角十字栓/M8*25/不锈钢 A2-70/本色</t>
        </is>
      </c>
      <c r="F82" t="inlineStr">
        <is>
          <t>否</t>
        </is>
      </c>
      <c r="G82" t="n">
        <v>8</v>
      </c>
      <c r="H82" t="n">
        <v>8</v>
      </c>
    </row>
    <row r="83">
      <c r="A83" t="inlineStr">
        <is>
          <t>..2</t>
        </is>
      </c>
      <c r="B83" t="inlineStr">
        <is>
          <t>1600000291</t>
        </is>
      </c>
      <c r="C83" t="inlineStr">
        <is>
          <t>不锈钢三合一外六角十字螺栓/M6*16/不锈钢 A2-70/本色</t>
        </is>
      </c>
      <c r="F83" t="inlineStr">
        <is>
          <t>否</t>
        </is>
      </c>
      <c r="G83" t="n">
        <v>12</v>
      </c>
      <c r="H83" t="n">
        <v>12</v>
      </c>
    </row>
    <row r="84">
      <c r="A84" t="inlineStr">
        <is>
          <t>..2</t>
        </is>
      </c>
      <c r="B84" t="inlineStr">
        <is>
          <t>1600000051</t>
        </is>
      </c>
      <c r="C84" t="inlineStr">
        <is>
          <t>不锈钢平垫/M12/不锈钢 A2-70/本色</t>
        </is>
      </c>
      <c r="F84" t="inlineStr">
        <is>
          <t>否</t>
        </is>
      </c>
      <c r="G84" t="n">
        <v>44</v>
      </c>
      <c r="H84" t="n">
        <v>44</v>
      </c>
    </row>
    <row r="85">
      <c r="A85" t="inlineStr">
        <is>
          <t>..2</t>
        </is>
      </c>
      <c r="B85" t="inlineStr">
        <is>
          <t>1600000045</t>
        </is>
      </c>
      <c r="C85" t="inlineStr">
        <is>
          <t>不锈钢弹垫/M12/不锈钢 A2-70/本色</t>
        </is>
      </c>
      <c r="F85" t="inlineStr">
        <is>
          <t>否</t>
        </is>
      </c>
      <c r="G85" t="n">
        <v>44</v>
      </c>
      <c r="H85" t="n">
        <v>44</v>
      </c>
    </row>
    <row r="86">
      <c r="A86" t="inlineStr">
        <is>
          <t>..2</t>
        </is>
      </c>
      <c r="B86" t="inlineStr">
        <is>
          <t>1600000124</t>
        </is>
      </c>
      <c r="C86" t="inlineStr">
        <is>
          <t>外六角螺栓/M12*25/不锈钢 A2-70/本色</t>
        </is>
      </c>
      <c r="F86" t="inlineStr">
        <is>
          <t>否</t>
        </is>
      </c>
      <c r="G86" t="n">
        <v>44</v>
      </c>
      <c r="H86" t="n">
        <v>44</v>
      </c>
    </row>
    <row r="87">
      <c r="E87">
        <f>SUM(E82:E86)</f>
        <v/>
      </c>
    </row>
    <row r="88">
      <c r="C88" t="inlineStr">
        <is>
          <t>螺钉1平方</t>
        </is>
      </c>
      <c r="E88">
        <f>E87/10+5</f>
        <v/>
      </c>
    </row>
    <row r="89"/>
    <row r="90">
      <c r="A90" t="inlineStr">
        <is>
          <t>..2</t>
        </is>
      </c>
      <c r="B90" t="inlineStr">
        <is>
          <t>1700003197</t>
        </is>
      </c>
      <c r="C90" t="inlineStr">
        <is>
          <t>压铸箱几字安装件/CDTPJ-AZL-A19/114*30*39*4/Q235 热镀锌</t>
        </is>
      </c>
      <c r="F90" t="inlineStr">
        <is>
          <t>否</t>
        </is>
      </c>
      <c r="G90" t="n">
        <v>20</v>
      </c>
      <c r="H90" t="n">
        <v>20</v>
      </c>
    </row>
    <row r="91">
      <c r="A91" t="inlineStr">
        <is>
          <t>..2</t>
        </is>
      </c>
      <c r="B91" t="inlineStr">
        <is>
          <t>1700003198</t>
        </is>
      </c>
      <c r="C91" t="inlineStr">
        <is>
          <t>压铸箱Z字安装件/CDTPJ-AZL-A20/81*30*39*4/Q235 热镀锌</t>
        </is>
      </c>
      <c r="F91" t="inlineStr">
        <is>
          <t>否</t>
        </is>
      </c>
      <c r="G91" t="n">
        <v>4</v>
      </c>
      <c r="H91" t="n">
        <v>4</v>
      </c>
    </row>
    <row r="92"/>
    <row r="93">
      <c r="C93" t="inlineStr">
        <is>
          <t>抱箍1平方</t>
        </is>
      </c>
      <c r="E93">
        <f>E92/10+5</f>
        <v/>
      </c>
    </row>
    <row r="9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BOM层级</t>
        </is>
      </c>
      <c r="B1" t="inlineStr">
        <is>
          <t>子项物料编码</t>
        </is>
      </c>
      <c r="C1" t="inlineStr">
        <is>
          <t>物料名称</t>
        </is>
      </c>
      <c r="D1" t="inlineStr">
        <is>
          <t>含税单价</t>
        </is>
      </c>
      <c r="E1" t="inlineStr">
        <is>
          <t>价税合计</t>
        </is>
      </c>
      <c r="F1" t="inlineStr">
        <is>
          <t>标准用量</t>
        </is>
      </c>
      <c r="G1" t="inlineStr">
        <is>
          <t>实际数量</t>
        </is>
      </c>
    </row>
    <row r="2">
      <c r="A2" t="inlineStr">
        <is>
          <t>0</t>
        </is>
      </c>
      <c r="B2" t="inlineStr">
        <is>
          <t>3000001526</t>
        </is>
      </c>
      <c r="C2" t="inlineStr">
        <is>
          <t>门架式可变信息标志（全彩）/P10.416 1R1G1B 500*250/CDCKB10+MJ01/10100*1100*180/SGCC=1.5 蓝灰色(钣金箱体） 2025-OS039  K945回城方向</t>
        </is>
      </c>
      <c r="F2" t="n">
        <v>1</v>
      </c>
      <c r="G2" t="n">
        <v>1</v>
      </c>
    </row>
    <row r="3">
      <c r="A3" t="inlineStr">
        <is>
          <t>.1</t>
        </is>
      </c>
      <c r="B3" t="inlineStr">
        <is>
          <t>2300001420</t>
        </is>
      </c>
      <c r="C3" t="inlineStr">
        <is>
          <t>门架式可变信息标志（全彩）/P10.416 1R1G1B 500*250/CDCKB10+MJ01/10100*1100*180/SGCC=1.5 蓝灰色(钣金箱体） 2025-OS039 祼机</t>
        </is>
      </c>
      <c r="F3" t="n">
        <v>1</v>
      </c>
      <c r="G3" t="n">
        <v>1</v>
      </c>
    </row>
    <row r="4">
      <c r="A4" t="inlineStr">
        <is>
          <t>..2</t>
        </is>
      </c>
      <c r="B4" t="inlineStr">
        <is>
          <t>2200001588</t>
        </is>
      </c>
      <c r="C4" t="inlineStr">
        <is>
          <t>屏体/CDKXB-MJ33-C1/10100*1100*180/SGCC=1.5MM 蓝灰色</t>
        </is>
      </c>
      <c r="F4" t="n">
        <v>1</v>
      </c>
      <c r="G4" t="n">
        <v>1</v>
      </c>
    </row>
    <row r="5">
      <c r="C5" t="inlineStr">
        <is>
          <t>箱体1平方单价</t>
        </is>
      </c>
      <c r="E5">
        <f>E4/10</f>
        <v/>
      </c>
    </row>
    <row r="6"/>
    <row r="7">
      <c r="A7" t="inlineStr">
        <is>
          <t>..2</t>
        </is>
      </c>
      <c r="B7" t="inlineStr">
        <is>
          <t>1600000100</t>
        </is>
      </c>
      <c r="C7" t="inlineStr">
        <is>
          <t>3合1螺钉/M3*6/碳钢/包黑色</t>
        </is>
      </c>
      <c r="F7" t="n">
        <v>120</v>
      </c>
      <c r="G7" t="n">
        <v>120</v>
      </c>
    </row>
    <row r="8">
      <c r="A8" t="inlineStr">
        <is>
          <t>..2</t>
        </is>
      </c>
      <c r="B8" t="inlineStr">
        <is>
          <t>1600000063</t>
        </is>
      </c>
      <c r="C8" t="inlineStr">
        <is>
          <t>3合1螺钉/M4*8/碳钢/镀白锌</t>
        </is>
      </c>
      <c r="F8" t="n">
        <v>40</v>
      </c>
      <c r="G8" t="n">
        <v>40</v>
      </c>
    </row>
    <row r="9">
      <c r="A9" t="inlineStr">
        <is>
          <t>..2</t>
        </is>
      </c>
      <c r="B9" t="inlineStr">
        <is>
          <t>1600000061</t>
        </is>
      </c>
      <c r="C9" t="inlineStr">
        <is>
          <t>3合1螺钉/M3*8/碳钢/镀白锌</t>
        </is>
      </c>
      <c r="F9" t="n">
        <v>132</v>
      </c>
      <c r="G9" t="n">
        <v>132</v>
      </c>
    </row>
    <row r="10">
      <c r="A10" t="inlineStr">
        <is>
          <t>..2</t>
        </is>
      </c>
      <c r="B10" t="inlineStr">
        <is>
          <t>1600000026</t>
        </is>
      </c>
      <c r="C10" t="inlineStr">
        <is>
          <t>圆头十字螺钉/M4*6/碳钢/镀白锌</t>
        </is>
      </c>
      <c r="F10" t="n">
        <v>1440</v>
      </c>
      <c r="G10" t="n">
        <v>1440</v>
      </c>
    </row>
    <row r="11">
      <c r="A11" t="inlineStr">
        <is>
          <t>..2</t>
        </is>
      </c>
      <c r="B11" t="inlineStr">
        <is>
          <t>1600000027</t>
        </is>
      </c>
      <c r="C11" t="inlineStr">
        <is>
          <t>圆头十字螺钉/M4*8/碳钢/镀白锌</t>
        </is>
      </c>
      <c r="F11" t="n">
        <v>28</v>
      </c>
      <c r="G11" t="n">
        <v>28</v>
      </c>
    </row>
    <row r="12">
      <c r="A12" t="inlineStr">
        <is>
          <t>..2</t>
        </is>
      </c>
      <c r="B12" t="inlineStr">
        <is>
          <t>2200001584</t>
        </is>
      </c>
      <c r="C12" t="inlineStr">
        <is>
          <t>单元板（模组）P10.416直插模组/全彩1R1G1B/347椭圆灯珠/48*24/驱动芯片16289S/75接口/静态/正面灌胶/工作电压DC5V±10%/亮度≥15000cd/㎡/视认角度≤65°/500*250*27/VEN00061/VEN00143</t>
        </is>
      </c>
      <c r="F12" t="n">
        <v>80</v>
      </c>
      <c r="G12" t="n">
        <v>80</v>
      </c>
    </row>
    <row r="13">
      <c r="A13" t="inlineStr">
        <is>
          <t>...3</t>
        </is>
      </c>
      <c r="B13" t="inlineStr">
        <is>
          <t>1000000734</t>
        </is>
      </c>
      <c r="C13" t="inlineStr">
        <is>
          <t>插装发光二极管/红色/347椭圆/HZ-347PR3H0F1XE-X2/发光强度1000-1200mcd/波长620-625/电压1.7-2.1V/5mA/视角65℃/带卡口/VEN00061</t>
        </is>
      </c>
      <c r="F13" t="n">
        <v>92160</v>
      </c>
      <c r="G13" t="n">
        <v>92160</v>
      </c>
    </row>
    <row r="14">
      <c r="A14" t="inlineStr">
        <is>
          <t>...3</t>
        </is>
      </c>
      <c r="B14" t="inlineStr">
        <is>
          <t>1000000755</t>
        </is>
      </c>
      <c r="C14" t="inlineStr">
        <is>
          <t>插装发光二极管/绿色/347椭圆/HZ-347PG3H0F1TE-X1/发光强度2300-2500mcd  2500-2800mcd两段50%比例混用/波长528-531 531-534两段50%比例混用/电压2.4-2.8V/5mA/视角65℃/带卡口/VEN00061</t>
        </is>
      </c>
      <c r="F14" t="n">
        <v>92160</v>
      </c>
      <c r="G14" t="n">
        <v>92160</v>
      </c>
    </row>
    <row r="15">
      <c r="A15" t="inlineStr">
        <is>
          <t>...3</t>
        </is>
      </c>
      <c r="B15" t="inlineStr">
        <is>
          <t>1000000736</t>
        </is>
      </c>
      <c r="C15" t="inlineStr">
        <is>
          <t>插装发光二极管/蓝色/347椭圆/HZ-347PB3H0F1TE-X2/发光强度460-500mcd 500-550mcd/波长466-469nm 469-472nm两段50%比例混用/电压2.4-2.8V/5mA/视角65℃/带卡口/VEN00061</t>
        </is>
      </c>
      <c r="F15" t="n">
        <v>92160</v>
      </c>
      <c r="G15" t="n">
        <v>92160</v>
      </c>
    </row>
    <row r="16">
      <c r="A16" t="inlineStr">
        <is>
          <t>...3</t>
        </is>
      </c>
      <c r="B16" t="inlineStr">
        <is>
          <t>1700003210</t>
        </is>
      </c>
      <c r="C16" t="inlineStr">
        <is>
          <t>P10.416底壳/CDKXB-YZMZ-B1/500*250*18 /VEN00452 PC+15%GF 本色</t>
        </is>
      </c>
      <c r="F16" t="n">
        <v>80</v>
      </c>
      <c r="G16" t="n">
        <v>80</v>
      </c>
    </row>
    <row r="17">
      <c r="A17" t="inlineStr">
        <is>
          <t>...3</t>
        </is>
      </c>
      <c r="B17" t="inlineStr">
        <is>
          <t>1700003211</t>
        </is>
      </c>
      <c r="C17" t="inlineStr">
        <is>
          <t>P10.416面罩/CDKXB-YZMZ-B2/250*250 /VEN00452 PC+15%GF 本色</t>
        </is>
      </c>
      <c r="F17" t="n">
        <v>160</v>
      </c>
      <c r="G17" t="n">
        <v>160</v>
      </c>
    </row>
    <row r="18">
      <c r="A18" t="inlineStr">
        <is>
          <t>...3</t>
        </is>
      </c>
      <c r="B18" t="inlineStr">
        <is>
          <t>1700003212</t>
        </is>
      </c>
      <c r="C18" t="inlineStr">
        <is>
          <t>模组胶圈/CDKXB-YZMZ-B3/500*250*3.4 /VEN00452 硅橡胶 30度 本色</t>
        </is>
      </c>
      <c r="F18" t="n">
        <v>80</v>
      </c>
      <c r="G18" t="n">
        <v>80</v>
      </c>
    </row>
    <row r="19">
      <c r="A19" t="inlineStr">
        <is>
          <t>..2</t>
        </is>
      </c>
      <c r="B19" t="inlineStr">
        <is>
          <t>1000000555</t>
        </is>
      </c>
      <c r="C19" t="inlineStr">
        <is>
          <t>控制卡/JT200</t>
        </is>
      </c>
      <c r="F19" t="n">
        <v>1</v>
      </c>
      <c r="G19" t="n">
        <v>1</v>
      </c>
    </row>
    <row r="20">
      <c r="A20" t="inlineStr">
        <is>
          <t>..2</t>
        </is>
      </c>
      <c r="B20" t="inlineStr">
        <is>
          <t>1000000671</t>
        </is>
      </c>
      <c r="C20" t="inlineStr">
        <is>
          <t>接收卡/DH7508-S</t>
        </is>
      </c>
      <c r="F20" t="n">
        <v>5</v>
      </c>
      <c r="G20" t="n">
        <v>5</v>
      </c>
    </row>
    <row r="21">
      <c r="A21" t="inlineStr">
        <is>
          <t>..2</t>
        </is>
      </c>
      <c r="B21" t="inlineStr">
        <is>
          <t>1900000039</t>
        </is>
      </c>
      <c r="C21" t="inlineStr">
        <is>
          <t>光探头/ALP050-1.5M-P/CON4-2.54插头</t>
        </is>
      </c>
      <c r="F21" t="n">
        <v>1</v>
      </c>
      <c r="G21" t="n">
        <v>1</v>
      </c>
    </row>
    <row r="22">
      <c r="A22" t="inlineStr">
        <is>
          <t>..2</t>
        </is>
      </c>
      <c r="B22" t="inlineStr">
        <is>
          <t>1500000128</t>
        </is>
      </c>
      <c r="C22" t="inlineStr">
        <is>
          <t>开关电源/A-200AF-5/5V/40A/效率≥90%工作温度-20~+70℃/CL</t>
        </is>
      </c>
      <c r="F22" t="n">
        <v>20</v>
      </c>
      <c r="G22" t="n">
        <v>20</v>
      </c>
    </row>
    <row r="23">
      <c r="A23" t="inlineStr">
        <is>
          <t>..2</t>
        </is>
      </c>
      <c r="B23" t="inlineStr">
        <is>
          <t>1000000466</t>
        </is>
      </c>
      <c r="C23" t="inlineStr">
        <is>
          <t>空开/DZ47sN3C32(32A,3P)/N</t>
        </is>
      </c>
      <c r="F23" t="n">
        <v>1</v>
      </c>
      <c r="G23" t="n">
        <v>1</v>
      </c>
    </row>
    <row r="24">
      <c r="A24" t="inlineStr">
        <is>
          <t>..2</t>
        </is>
      </c>
      <c r="B24" t="inlineStr">
        <is>
          <t>1700000010</t>
        </is>
      </c>
      <c r="C24" t="inlineStr">
        <is>
          <t>单相电源防雷器/CD-D/AC20-2（丝印创迪LOGO）/VEN00054</t>
        </is>
      </c>
      <c r="F24" t="n">
        <v>1</v>
      </c>
      <c r="G24" t="n">
        <v>1</v>
      </c>
    </row>
    <row r="25">
      <c r="A25" t="inlineStr">
        <is>
          <t>..2</t>
        </is>
      </c>
      <c r="B25" t="inlineStr">
        <is>
          <t>1700000021</t>
        </is>
      </c>
      <c r="C25" t="inlineStr">
        <is>
          <t>信号防雷器/CD-WL/RJ45/千兆/带导轨（丝印创迪LOGO）/VEN00054</t>
        </is>
      </c>
      <c r="F25" t="n">
        <v>1</v>
      </c>
      <c r="G25" t="n">
        <v>1</v>
      </c>
    </row>
    <row r="26">
      <c r="A26" t="inlineStr">
        <is>
          <t>..2</t>
        </is>
      </c>
      <c r="B26" t="inlineStr">
        <is>
          <t>1300000116</t>
        </is>
      </c>
      <c r="C26" t="inlineStr">
        <is>
          <t>AC30模数化插座/250V/10-16A/3孔</t>
        </is>
      </c>
      <c r="F26" t="n">
        <v>1</v>
      </c>
      <c r="G26" t="n">
        <v>1</v>
      </c>
    </row>
    <row r="27">
      <c r="A27" t="inlineStr">
        <is>
          <t>..2</t>
        </is>
      </c>
      <c r="B27" t="inlineStr">
        <is>
          <t>1300000120</t>
        </is>
      </c>
      <c r="C27" t="inlineStr">
        <is>
          <t>接线端子固定卡/E-UK</t>
        </is>
      </c>
      <c r="F27" t="n">
        <v>4</v>
      </c>
      <c r="G27" t="n">
        <v>4</v>
      </c>
    </row>
    <row r="28">
      <c r="A28" t="inlineStr">
        <is>
          <t>..2</t>
        </is>
      </c>
      <c r="B28" t="inlineStr">
        <is>
          <t>1000000480</t>
        </is>
      </c>
      <c r="C28" t="inlineStr">
        <is>
          <t>空开背条/L=1000*35*7.5mm/C45导轨，1mm厚，国标</t>
        </is>
      </c>
      <c r="F28" t="n">
        <v>0.3</v>
      </c>
      <c r="G28" t="n">
        <v>0.3</v>
      </c>
    </row>
    <row r="29">
      <c r="A29" t="inlineStr">
        <is>
          <t>..2</t>
        </is>
      </c>
      <c r="B29" t="inlineStr">
        <is>
          <t>1300000104</t>
        </is>
      </c>
      <c r="C29" t="inlineStr">
        <is>
          <t>接线排/TB2504/4位</t>
        </is>
      </c>
      <c r="F29" t="n">
        <v>5</v>
      </c>
      <c r="G29" t="n">
        <v>5</v>
      </c>
    </row>
    <row r="30">
      <c r="A30" t="inlineStr">
        <is>
          <t>..2</t>
        </is>
      </c>
      <c r="B30" t="inlineStr">
        <is>
          <t>1400000070</t>
        </is>
      </c>
      <c r="C30" t="inlineStr">
        <is>
          <t>16P 2.54mm-2*8P插座带蝴蝶扣同向排线/330mm/镀锡铜7*0.12mm</t>
        </is>
      </c>
      <c r="F30" t="n">
        <v>60</v>
      </c>
      <c r="G30" t="n">
        <v>60</v>
      </c>
    </row>
    <row r="31">
      <c r="A31" t="inlineStr">
        <is>
          <t>..2</t>
        </is>
      </c>
      <c r="B31" t="inlineStr">
        <is>
          <t>1400000071</t>
        </is>
      </c>
      <c r="C31" t="inlineStr">
        <is>
          <t>16P 2.54mm-2*8P插座带蝴蝶扣同向排线/600mm/镀锡铜7*0.12mm</t>
        </is>
      </c>
      <c r="F31" t="n">
        <v>10</v>
      </c>
      <c r="G31" t="n">
        <v>10</v>
      </c>
    </row>
    <row r="32">
      <c r="A32" t="inlineStr">
        <is>
          <t>..2</t>
        </is>
      </c>
      <c r="B32" t="inlineStr">
        <is>
          <t>1400000073</t>
        </is>
      </c>
      <c r="C32" t="inlineStr">
        <is>
          <t>16P 2.54mm-2*8P插座带蝴蝶扣同向排线/800mm/镀锡铜7*0.12mm</t>
        </is>
      </c>
      <c r="F32" t="n">
        <v>5</v>
      </c>
      <c r="G32" t="n">
        <v>5</v>
      </c>
    </row>
    <row r="33">
      <c r="A33" t="inlineStr">
        <is>
          <t>..2</t>
        </is>
      </c>
      <c r="B33" t="inlineStr">
        <is>
          <t>1700003108</t>
        </is>
      </c>
      <c r="C33" t="inlineStr">
        <is>
          <t>RJ45网口防尘塞/硅胶 黑色</t>
        </is>
      </c>
      <c r="F33" t="n">
        <v>1</v>
      </c>
      <c r="G33" t="n">
        <v>1</v>
      </c>
    </row>
    <row r="34">
      <c r="A34" t="inlineStr">
        <is>
          <t>..2</t>
        </is>
      </c>
      <c r="B34" t="inlineStr">
        <is>
          <t>1400000081</t>
        </is>
      </c>
      <c r="C34" t="inlineStr">
        <is>
          <t>超五类非屏蔽网线/1M</t>
        </is>
      </c>
      <c r="F34" t="n">
        <v>2</v>
      </c>
      <c r="G34" t="n">
        <v>2</v>
      </c>
    </row>
    <row r="35">
      <c r="A35" t="inlineStr">
        <is>
          <t>..2</t>
        </is>
      </c>
      <c r="B35" t="inlineStr">
        <is>
          <t>1400000082</t>
        </is>
      </c>
      <c r="C35" t="inlineStr">
        <is>
          <t>超五类非屏蔽网线/3M</t>
        </is>
      </c>
      <c r="F35" t="n">
        <v>4</v>
      </c>
      <c r="G35" t="n">
        <v>4</v>
      </c>
    </row>
    <row r="36">
      <c r="A36" t="inlineStr">
        <is>
          <t>..2</t>
        </is>
      </c>
      <c r="B36" t="inlineStr">
        <is>
          <t>1400000142</t>
        </is>
      </c>
      <c r="C36" t="inlineStr">
        <is>
          <t>一拖一5V单元板电源线/主线长0.5m 分支线长0.3m  接线叉SNB2-4 /分支线BVR铜软0.75mm² 主线国标BVR铜软2.5mm²</t>
        </is>
      </c>
      <c r="F36" t="n">
        <v>21</v>
      </c>
      <c r="G36" t="n">
        <v>21</v>
      </c>
    </row>
    <row r="37">
      <c r="A37" t="inlineStr">
        <is>
          <t>..2</t>
        </is>
      </c>
      <c r="B37" t="inlineStr">
        <is>
          <t>1400000216</t>
        </is>
      </c>
      <c r="C37" t="inlineStr">
        <is>
          <t>一拖二5V单元板电源线/主线长0.55m 分支线长0.15m  接线叉SNB2-4 /分支线BVR铜软1mm² 国标BVR铜软4mm²</t>
        </is>
      </c>
      <c r="F37" t="n">
        <v>30</v>
      </c>
      <c r="G37" t="n">
        <v>30</v>
      </c>
    </row>
    <row r="38">
      <c r="A38" t="inlineStr">
        <is>
          <t>..2</t>
        </is>
      </c>
      <c r="B38" t="inlineStr">
        <is>
          <t>1700000061</t>
        </is>
      </c>
      <c r="C38" t="inlineStr">
        <is>
          <t>尼龙扎带/3*150mm/白色</t>
        </is>
      </c>
      <c r="F38" t="n">
        <v>100</v>
      </c>
      <c r="G38" t="n">
        <v>100</v>
      </c>
    </row>
    <row r="39">
      <c r="A39" t="inlineStr">
        <is>
          <t>..2</t>
        </is>
      </c>
      <c r="B39" t="inlineStr">
        <is>
          <t>1400000045</t>
        </is>
      </c>
      <c r="C39" t="inlineStr">
        <is>
          <t>铜芯聚氯乙烯绝缘连接软电线/RV1mm²电压300-500V/黑色</t>
        </is>
      </c>
      <c r="F39" t="n">
        <v>3</v>
      </c>
      <c r="G39" t="n">
        <v>3</v>
      </c>
    </row>
    <row r="40">
      <c r="A40" t="inlineStr">
        <is>
          <t>..2</t>
        </is>
      </c>
      <c r="B40" t="inlineStr">
        <is>
          <t>1400000046</t>
        </is>
      </c>
      <c r="C40" t="inlineStr">
        <is>
          <t>铜芯聚氯乙烯绝缘连接软电线/RV1mm²电压300-500V/红色</t>
        </is>
      </c>
      <c r="F40" t="n">
        <v>3</v>
      </c>
      <c r="G40" t="n">
        <v>3</v>
      </c>
    </row>
    <row r="41">
      <c r="A41" t="inlineStr">
        <is>
          <t>..2</t>
        </is>
      </c>
      <c r="B41" t="inlineStr">
        <is>
          <t>1400000058</t>
        </is>
      </c>
      <c r="C41" t="inlineStr">
        <is>
          <t>铜芯聚氯乙烯绝缘软电缆/BVR1*2.5mm²电压450-750V/棕色</t>
        </is>
      </c>
      <c r="F41" t="n">
        <v>23</v>
      </c>
      <c r="G41" t="n">
        <v>23</v>
      </c>
    </row>
    <row r="42">
      <c r="A42" t="inlineStr">
        <is>
          <t>..2</t>
        </is>
      </c>
      <c r="B42" t="inlineStr">
        <is>
          <t>1400000056</t>
        </is>
      </c>
      <c r="C42" t="inlineStr">
        <is>
          <t>铜芯聚氯乙烯绝缘软电缆/BVR1*2.5mm²电压450-750V/蓝色</t>
        </is>
      </c>
      <c r="F42" t="n">
        <v>23</v>
      </c>
      <c r="G42" t="n">
        <v>23</v>
      </c>
    </row>
    <row r="43">
      <c r="A43" t="inlineStr">
        <is>
          <t>..2</t>
        </is>
      </c>
      <c r="B43" t="inlineStr">
        <is>
          <t>1400000054</t>
        </is>
      </c>
      <c r="C43" t="inlineStr">
        <is>
          <t>铜芯聚氯乙烯绝缘软电缆/BVR1*2.5mm²电压450-750V/黄绿色</t>
        </is>
      </c>
      <c r="F43" t="n">
        <v>35</v>
      </c>
      <c r="G43" t="n">
        <v>35</v>
      </c>
    </row>
    <row r="44">
      <c r="A44" t="inlineStr">
        <is>
          <t>..2</t>
        </is>
      </c>
      <c r="B44" t="inlineStr">
        <is>
          <t>1400000099</t>
        </is>
      </c>
      <c r="C44" t="inlineStr">
        <is>
          <t>轻型聚氯乙烯护套软线/602271EC52(RVV),3*4mm²电压300-500V/黑色（内芯棕色、蓝色、黄绿色）多股软芯线/N</t>
        </is>
      </c>
      <c r="F44" t="n">
        <v>12</v>
      </c>
      <c r="G44" t="n">
        <v>12</v>
      </c>
    </row>
    <row r="45">
      <c r="A45" t="inlineStr">
        <is>
          <t>..2</t>
        </is>
      </c>
      <c r="B45" t="inlineStr">
        <is>
          <t>1800000505</t>
        </is>
      </c>
      <c r="C45" t="inlineStr">
        <is>
          <t>SXZK-LOGO图样/CD-LG-SXZK</t>
        </is>
      </c>
      <c r="F45" t="n">
        <v>1</v>
      </c>
      <c r="G45" t="n">
        <v>1</v>
      </c>
    </row>
    <row r="46">
      <c r="A46" t="inlineStr">
        <is>
          <t>..2</t>
        </is>
      </c>
      <c r="B46" t="inlineStr">
        <is>
          <t>1300000131</t>
        </is>
      </c>
      <c r="C46" t="inlineStr">
        <is>
          <t>冷压接线端子/SNB3.5-4/国标紫铜U型/18.3*8*1mm</t>
        </is>
      </c>
      <c r="F46" t="n">
        <v>50</v>
      </c>
      <c r="G46" t="n">
        <v>50</v>
      </c>
    </row>
    <row r="47">
      <c r="A47" t="inlineStr">
        <is>
          <t>..2</t>
        </is>
      </c>
      <c r="B47" t="inlineStr">
        <is>
          <t>1300000130</t>
        </is>
      </c>
      <c r="C47" t="inlineStr">
        <is>
          <t>冷压接线端子/SNB2-4/国标紫铜U型/16*6.4*0.8mm</t>
        </is>
      </c>
      <c r="F47" t="n">
        <v>127</v>
      </c>
      <c r="G47" t="n">
        <v>127</v>
      </c>
    </row>
    <row r="48">
      <c r="A48" t="inlineStr">
        <is>
          <t>..2</t>
        </is>
      </c>
      <c r="B48" t="inlineStr">
        <is>
          <t>1300000129</t>
        </is>
      </c>
      <c r="C48" t="inlineStr">
        <is>
          <t>冷压接线端子/SNB2-3/国标紫铜U型/16*5.7*0.8mm</t>
        </is>
      </c>
      <c r="F48" t="n">
        <v>10</v>
      </c>
      <c r="G48" t="n">
        <v>10</v>
      </c>
    </row>
    <row r="49">
      <c r="A49" t="inlineStr">
        <is>
          <t>..2</t>
        </is>
      </c>
      <c r="B49" t="inlineStr">
        <is>
          <t>1300000127</t>
        </is>
      </c>
      <c r="C49" t="inlineStr">
        <is>
          <t>冷压接线端子/RNB2-4/国标紫铜O型/14.4*6.6*0.8mm</t>
        </is>
      </c>
      <c r="F49" t="n">
        <v>45</v>
      </c>
      <c r="G49" t="n">
        <v>45</v>
      </c>
    </row>
    <row r="50">
      <c r="A50" t="inlineStr">
        <is>
          <t>..2</t>
        </is>
      </c>
      <c r="B50" t="inlineStr">
        <is>
          <t>1300000126</t>
        </is>
      </c>
      <c r="C50" t="inlineStr">
        <is>
          <t>冷压接线端子/C45-2.5/插片形DZ47国标紫铜/13*4.8*0.7mm</t>
        </is>
      </c>
      <c r="F50" t="n">
        <v>17</v>
      </c>
      <c r="G50" t="n">
        <v>17</v>
      </c>
    </row>
    <row r="51">
      <c r="A51" t="inlineStr">
        <is>
          <t>..2</t>
        </is>
      </c>
      <c r="B51" t="inlineStr">
        <is>
          <t>1700000078</t>
        </is>
      </c>
      <c r="C51" t="inlineStr">
        <is>
          <t>热缩管φ4/黑色</t>
        </is>
      </c>
      <c r="F51" t="n">
        <v>2.5</v>
      </c>
      <c r="G51" t="n">
        <v>2.5</v>
      </c>
    </row>
    <row r="52">
      <c r="A52" t="inlineStr">
        <is>
          <t>..2</t>
        </is>
      </c>
      <c r="B52" t="inlineStr">
        <is>
          <t>1800000700</t>
        </is>
      </c>
      <c r="C52" t="inlineStr">
        <is>
          <t>可变信息标志产品屏体内部信号线接线示意图/150 *210 /A4光面黄底不干胶标签贴纸</t>
        </is>
      </c>
      <c r="F52" t="n">
        <v>1</v>
      </c>
      <c r="G52" t="n">
        <v>1</v>
      </c>
    </row>
    <row r="53">
      <c r="A53" t="inlineStr">
        <is>
          <t>..2</t>
        </is>
      </c>
      <c r="B53" t="inlineStr">
        <is>
          <t>1800000797</t>
        </is>
      </c>
      <c r="C53" t="inlineStr">
        <is>
          <t>防水亚银标签纸/80 *120 *300/进口背胶</t>
        </is>
      </c>
      <c r="F53" t="n">
        <v>40</v>
      </c>
      <c r="G53" t="n">
        <v>40</v>
      </c>
    </row>
    <row r="54">
      <c r="A54" t="inlineStr">
        <is>
          <t>..2</t>
        </is>
      </c>
      <c r="B54" t="inlineStr">
        <is>
          <t>1800000798</t>
        </is>
      </c>
      <c r="C54" t="inlineStr">
        <is>
          <t>产品安装位置（桩号）/防水亚银标签纸/80 *120 *300/进口背胶</t>
        </is>
      </c>
      <c r="F54" t="n">
        <v>1</v>
      </c>
      <c r="G54" t="n">
        <v>1</v>
      </c>
    </row>
    <row r="55">
      <c r="A55" t="inlineStr">
        <is>
          <t>..2</t>
        </is>
      </c>
      <c r="B55" t="inlineStr">
        <is>
          <t>1800000436</t>
        </is>
      </c>
      <c r="C55" t="inlineStr">
        <is>
          <t>防水亚银标签纸/50 *125 *300/进口背胶</t>
        </is>
      </c>
      <c r="F55" t="n">
        <v>1</v>
      </c>
      <c r="G55" t="n">
        <v>1</v>
      </c>
    </row>
    <row r="56">
      <c r="A56" t="inlineStr">
        <is>
          <t>..2</t>
        </is>
      </c>
      <c r="B56" t="inlineStr">
        <is>
          <t>1800000274</t>
        </is>
      </c>
      <c r="C56" t="inlineStr">
        <is>
          <t>可变信息标志通用使用说明书</t>
        </is>
      </c>
      <c r="D56" t="n">
        <v>0</v>
      </c>
      <c r="F56" t="n">
        <v>1</v>
      </c>
      <c r="G56" t="n">
        <v>1</v>
      </c>
    </row>
    <row r="57">
      <c r="E57">
        <f>SUM(E7:E56)</f>
        <v/>
      </c>
    </row>
    <row r="58">
      <c r="C58" t="inlineStr">
        <is>
          <t>1平方辅料单价</t>
        </is>
      </c>
      <c r="E58">
        <f>E57/10</f>
        <v/>
      </c>
    </row>
    <row r="59"/>
    <row r="60">
      <c r="A60" t="inlineStr">
        <is>
          <t>..2</t>
        </is>
      </c>
      <c r="B60" t="inlineStr">
        <is>
          <t>1800000165</t>
        </is>
      </c>
      <c r="C60" t="inlineStr">
        <is>
          <t>可变信息标志纸箱/CDKXB-MJ05F-F6/内2010*1110*220 外2025*1125*235/ 5层瓦楞 本色</t>
        </is>
      </c>
      <c r="F60" t="n">
        <v>3</v>
      </c>
      <c r="G60" t="n">
        <v>3</v>
      </c>
    </row>
    <row r="61">
      <c r="A61" t="inlineStr">
        <is>
          <t>..2</t>
        </is>
      </c>
      <c r="B61" t="inlineStr">
        <is>
          <t>1800000166</t>
        </is>
      </c>
      <c r="C61" t="inlineStr">
        <is>
          <t>可变信息标志纸箱/CDKXB-MJ05F-F7/内2060*1110*220 外2075*1125*235/ 5层瓦楞 本色</t>
        </is>
      </c>
      <c r="F61" t="n">
        <v>2</v>
      </c>
      <c r="G61" t="n">
        <v>2</v>
      </c>
    </row>
    <row r="62">
      <c r="E62">
        <f>SUM(E60:E61)</f>
        <v/>
      </c>
    </row>
    <row r="63">
      <c r="C63" t="inlineStr">
        <is>
          <t>包材总计</t>
        </is>
      </c>
      <c r="E63">
        <f>E62/10+2</f>
        <v/>
      </c>
    </row>
    <row r="64"/>
    <row r="65">
      <c r="A65" t="inlineStr">
        <is>
          <t>.1</t>
        </is>
      </c>
      <c r="B65" t="inlineStr">
        <is>
          <t>1700000358</t>
        </is>
      </c>
      <c r="C65" t="inlineStr">
        <is>
          <t>两孔几字连接板-M12/CDTPJ-AZL-A6/130*40*39*4/热镀锌=4MM</t>
        </is>
      </c>
      <c r="F65" t="n">
        <v>18</v>
      </c>
      <c r="G65" t="n">
        <v>18</v>
      </c>
    </row>
    <row r="66">
      <c r="A66" t="inlineStr">
        <is>
          <t>.1</t>
        </is>
      </c>
      <c r="B66" t="inlineStr">
        <is>
          <t>1700000760</t>
        </is>
      </c>
      <c r="C66" t="inlineStr">
        <is>
          <t>单孔几字连接板-M12/CDTPJ-AZL-A6-2/90*50*39*4/SGCC=4MM 热镀锌本色</t>
        </is>
      </c>
      <c r="F66" t="n">
        <v>4</v>
      </c>
      <c r="G66" t="n">
        <v>4</v>
      </c>
    </row>
    <row r="67">
      <c r="A67" t="inlineStr">
        <is>
          <t>.1</t>
        </is>
      </c>
      <c r="B67" t="inlineStr">
        <is>
          <t>1600000087</t>
        </is>
      </c>
      <c r="C67" t="inlineStr">
        <is>
          <t>不锈钢螺母/M12/不锈钢 A2-70/本色</t>
        </is>
      </c>
      <c r="F67" t="n">
        <v>36</v>
      </c>
      <c r="G67" t="n">
        <v>36</v>
      </c>
    </row>
    <row r="68">
      <c r="A68" t="inlineStr">
        <is>
          <t>.1</t>
        </is>
      </c>
      <c r="B68" t="inlineStr">
        <is>
          <t>1600000051</t>
        </is>
      </c>
      <c r="C68" t="inlineStr">
        <is>
          <t>不锈钢平垫/M12/不锈钢 A2-70/本色</t>
        </is>
      </c>
      <c r="F68" t="n">
        <v>80</v>
      </c>
      <c r="G68" t="n">
        <v>80</v>
      </c>
    </row>
    <row r="69">
      <c r="A69" t="inlineStr">
        <is>
          <t>.1</t>
        </is>
      </c>
      <c r="B69" t="inlineStr">
        <is>
          <t>1600000045</t>
        </is>
      </c>
      <c r="C69" t="inlineStr">
        <is>
          <t>不锈钢弹垫/M12/不锈钢 A2-70/本色</t>
        </is>
      </c>
      <c r="F69" t="n">
        <v>60</v>
      </c>
      <c r="G69" t="n">
        <v>60</v>
      </c>
    </row>
    <row r="70">
      <c r="A70" t="inlineStr">
        <is>
          <t>.1</t>
        </is>
      </c>
      <c r="B70" t="inlineStr">
        <is>
          <t>1600000135</t>
        </is>
      </c>
      <c r="C70" t="inlineStr">
        <is>
          <t>外六角螺栓/M12*50/不锈钢 A2-70/本色</t>
        </is>
      </c>
      <c r="F70" t="n">
        <v>20</v>
      </c>
      <c r="G70" t="n">
        <v>20</v>
      </c>
    </row>
    <row r="71">
      <c r="A71" t="inlineStr">
        <is>
          <t>.1</t>
        </is>
      </c>
      <c r="B71" t="inlineStr">
        <is>
          <t>1600000038</t>
        </is>
      </c>
      <c r="C71" t="inlineStr">
        <is>
          <t>外六角螺栓/M12*30/不锈钢 A2-70/本色</t>
        </is>
      </c>
      <c r="F71" t="n">
        <v>56</v>
      </c>
      <c r="G71" t="n">
        <v>56</v>
      </c>
    </row>
    <row r="72">
      <c r="A72" t="inlineStr">
        <is>
          <t>.1</t>
        </is>
      </c>
      <c r="B72" t="inlineStr">
        <is>
          <t>1600000183</t>
        </is>
      </c>
      <c r="C72" t="inlineStr">
        <is>
          <t>尼龙圆形平垫片（硬性材料）/12*24*2mm/黑色</t>
        </is>
      </c>
      <c r="F72" t="n">
        <v>32</v>
      </c>
      <c r="G72" t="n">
        <v>32</v>
      </c>
    </row>
    <row r="73">
      <c r="E73">
        <f>SUM(E65:E72)</f>
        <v/>
      </c>
    </row>
    <row r="74">
      <c r="C74" t="inlineStr">
        <is>
          <t>抱箍螺钉1平方</t>
        </is>
      </c>
      <c r="E74">
        <f>E73/10+5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箱体单价</t>
        </is>
      </c>
    </row>
    <row r="2">
      <c r="A2" t="inlineStr">
        <is>
          <t>序号</t>
        </is>
      </c>
      <c r="B2" t="inlineStr">
        <is>
          <t>名称</t>
        </is>
      </c>
      <c r="C2" t="inlineStr">
        <is>
          <t>数量</t>
        </is>
      </c>
      <c r="D2" t="inlineStr">
        <is>
          <t>单位</t>
        </is>
      </c>
      <c r="E2" t="inlineStr">
        <is>
          <t>箱体单价</t>
        </is>
      </c>
      <c r="F2" t="inlineStr">
        <is>
          <t>配件单价</t>
        </is>
      </c>
      <c r="G2" t="inlineStr">
        <is>
          <t>综合单价</t>
        </is>
      </c>
      <c r="H2" t="inlineStr">
        <is>
          <t>备注</t>
        </is>
      </c>
    </row>
    <row r="3">
      <c r="A3" t="n">
        <v>1</v>
      </c>
      <c r="B3" t="inlineStr">
        <is>
          <t>压铸铝箱体</t>
        </is>
      </c>
      <c r="C3" t="n">
        <v>1</v>
      </c>
      <c r="D3" t="inlineStr">
        <is>
          <t>㎡</t>
        </is>
      </c>
      <c r="F3" t="n">
        <v>0</v>
      </c>
      <c r="G3">
        <f>E3+F3</f>
        <v/>
      </c>
      <c r="H3" t="inlineStr">
        <is>
          <t>不含包边</t>
        </is>
      </c>
    </row>
    <row r="4">
      <c r="A4" t="n">
        <v>2</v>
      </c>
      <c r="B4" t="inlineStr">
        <is>
          <t>镀锌钢板箱体</t>
        </is>
      </c>
      <c r="C4" t="n">
        <v>1</v>
      </c>
      <c r="D4" t="inlineStr">
        <is>
          <t>㎡</t>
        </is>
      </c>
      <c r="G4">
        <f>E4+F4</f>
        <v/>
      </c>
      <c r="H4" t="inlineStr">
        <is>
          <t>不含包边</t>
        </is>
      </c>
    </row>
    <row r="5">
      <c r="A5" t="n">
        <v>3</v>
      </c>
      <c r="B5" t="inlineStr">
        <is>
          <t>镀锌钢板箱体</t>
        </is>
      </c>
      <c r="C5" t="n">
        <v>1</v>
      </c>
      <c r="D5" t="inlineStr">
        <is>
          <t>㎡</t>
        </is>
      </c>
      <c r="G5">
        <f>E5+F5</f>
        <v/>
      </c>
      <c r="H5" t="inlineStr">
        <is>
          <t>含包边</t>
        </is>
      </c>
    </row>
    <row r="6">
      <c r="A6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电源单价</t>
        </is>
      </c>
    </row>
    <row r="2">
      <c r="A2" t="inlineStr">
        <is>
          <t>序号</t>
        </is>
      </c>
      <c r="B2" t="inlineStr">
        <is>
          <t>规格</t>
        </is>
      </c>
      <c r="C2" t="inlineStr">
        <is>
          <t>功率因素</t>
        </is>
      </c>
      <c r="D2" t="inlineStr">
        <is>
          <t>温度</t>
        </is>
      </c>
      <c r="E2" t="inlineStr">
        <is>
          <t>数量</t>
        </is>
      </c>
      <c r="F2" t="inlineStr">
        <is>
          <t>单位</t>
        </is>
      </c>
      <c r="G2" t="inlineStr">
        <is>
          <t>单价</t>
        </is>
      </c>
      <c r="H2" t="inlineStr">
        <is>
          <t>备注</t>
        </is>
      </c>
    </row>
    <row r="3">
      <c r="A3" t="n">
        <v>1</v>
      </c>
      <c r="B3" t="inlineStr">
        <is>
          <t>100W/5V</t>
        </is>
      </c>
      <c r="C3" t="inlineStr">
        <is>
          <t>常规</t>
        </is>
      </c>
      <c r="D3" t="inlineStr">
        <is>
          <t>常规</t>
        </is>
      </c>
      <c r="E3" t="n">
        <v>1</v>
      </c>
      <c r="F3" t="inlineStr">
        <is>
          <t>个</t>
        </is>
      </c>
    </row>
    <row r="4">
      <c r="A4" t="n">
        <v>2</v>
      </c>
      <c r="B4" t="inlineStr">
        <is>
          <t>100W/5V</t>
        </is>
      </c>
      <c r="C4" t="inlineStr">
        <is>
          <t>高功率因素</t>
        </is>
      </c>
      <c r="D4" t="inlineStr">
        <is>
          <t>常规</t>
        </is>
      </c>
      <c r="E4" t="n">
        <v>1</v>
      </c>
      <c r="F4" t="inlineStr">
        <is>
          <t>个</t>
        </is>
      </c>
    </row>
    <row r="5">
      <c r="A5" t="n">
        <v>3</v>
      </c>
      <c r="B5" t="inlineStr">
        <is>
          <t>100W/5V</t>
        </is>
      </c>
      <c r="C5" t="inlineStr">
        <is>
          <t>高功率因素</t>
        </is>
      </c>
      <c r="D5" t="inlineStr">
        <is>
          <t>低温</t>
        </is>
      </c>
      <c r="E5" t="n">
        <v>1</v>
      </c>
      <c r="F5" t="inlineStr">
        <is>
          <t>个</t>
        </is>
      </c>
    </row>
    <row r="6">
      <c r="A6" t="n">
        <v>5</v>
      </c>
      <c r="B6" t="inlineStr">
        <is>
          <t>110W/3.2V+3.8V</t>
        </is>
      </c>
      <c r="C6" t="inlineStr">
        <is>
          <t>高功率因素</t>
        </is>
      </c>
      <c r="D6" t="inlineStr">
        <is>
          <t>常规</t>
        </is>
      </c>
      <c r="E6" t="n">
        <v>1</v>
      </c>
      <c r="F6" t="inlineStr">
        <is>
          <t>个</t>
        </is>
      </c>
    </row>
    <row r="7">
      <c r="A7" t="n">
        <v>6</v>
      </c>
      <c r="B7" t="inlineStr">
        <is>
          <t>110W/3.2V+3.8V</t>
        </is>
      </c>
      <c r="C7" t="inlineStr">
        <is>
          <t>高功率因素</t>
        </is>
      </c>
      <c r="D7" t="inlineStr">
        <is>
          <t>低温</t>
        </is>
      </c>
      <c r="E7" t="n">
        <v>1</v>
      </c>
      <c r="F7" t="inlineStr">
        <is>
          <t>个</t>
        </is>
      </c>
    </row>
    <row r="8">
      <c r="A8" t="n">
        <v>5</v>
      </c>
      <c r="B8" t="inlineStr">
        <is>
          <t>175W/3.2V+3.8V</t>
        </is>
      </c>
      <c r="C8" t="inlineStr">
        <is>
          <t>高功率因素</t>
        </is>
      </c>
      <c r="D8" t="inlineStr">
        <is>
          <t>常规</t>
        </is>
      </c>
      <c r="E8" t="n">
        <v>1</v>
      </c>
      <c r="F8" t="inlineStr">
        <is>
          <t>个</t>
        </is>
      </c>
    </row>
    <row r="9">
      <c r="A9" t="n">
        <v>6</v>
      </c>
      <c r="B9" t="inlineStr">
        <is>
          <t>175W/3.2V+3.8V</t>
        </is>
      </c>
      <c r="C9" t="inlineStr">
        <is>
          <t>高功率因素</t>
        </is>
      </c>
      <c r="D9" t="inlineStr">
        <is>
          <t>低温</t>
        </is>
      </c>
      <c r="E9" t="n">
        <v>1</v>
      </c>
      <c r="F9" t="inlineStr">
        <is>
          <t>个</t>
        </is>
      </c>
    </row>
    <row r="10">
      <c r="A10" t="n">
        <v>7</v>
      </c>
      <c r="B10" t="inlineStr">
        <is>
          <t>200W/5V</t>
        </is>
      </c>
      <c r="C10" t="inlineStr">
        <is>
          <t>常规</t>
        </is>
      </c>
      <c r="D10" t="inlineStr">
        <is>
          <t>常规</t>
        </is>
      </c>
      <c r="E10" t="n">
        <v>1</v>
      </c>
      <c r="F10" t="inlineStr">
        <is>
          <t>个</t>
        </is>
      </c>
      <c r="H10" t="inlineStr">
        <is>
          <t>44厚款</t>
        </is>
      </c>
    </row>
    <row r="11">
      <c r="A11" t="n">
        <v>8</v>
      </c>
      <c r="B11" t="inlineStr">
        <is>
          <t>200W/5V</t>
        </is>
      </c>
      <c r="C11" t="inlineStr">
        <is>
          <t>高功率因素</t>
        </is>
      </c>
      <c r="D11" t="inlineStr">
        <is>
          <t>常规</t>
        </is>
      </c>
      <c r="E11" t="n">
        <v>1</v>
      </c>
      <c r="F11" t="inlineStr">
        <is>
          <t>个</t>
        </is>
      </c>
    </row>
    <row r="12">
      <c r="A12" t="n">
        <v>9</v>
      </c>
      <c r="B12" t="inlineStr">
        <is>
          <t>200W/5V</t>
        </is>
      </c>
      <c r="C12" t="inlineStr">
        <is>
          <t>高功率因素</t>
        </is>
      </c>
      <c r="D12" t="inlineStr">
        <is>
          <t>低温</t>
        </is>
      </c>
      <c r="E12" t="n">
        <v>1</v>
      </c>
      <c r="F12" t="inlineStr">
        <is>
          <t>个</t>
        </is>
      </c>
    </row>
    <row r="13">
      <c r="A13" t="n">
        <v>5</v>
      </c>
      <c r="B13" t="inlineStr">
        <is>
          <t>175W/3.2V+3.8V</t>
        </is>
      </c>
      <c r="C13" t="inlineStr">
        <is>
          <t>高功率因素</t>
        </is>
      </c>
      <c r="D13" t="inlineStr">
        <is>
          <t>常规</t>
        </is>
      </c>
      <c r="E13" t="n">
        <v>1</v>
      </c>
      <c r="F13" t="inlineStr">
        <is>
          <t>个</t>
        </is>
      </c>
    </row>
    <row r="14">
      <c r="A14" t="n">
        <v>6</v>
      </c>
      <c r="B14" t="inlineStr">
        <is>
          <t>175W/3.2V+3.8V</t>
        </is>
      </c>
      <c r="C14" t="inlineStr">
        <is>
          <t>高功率因素</t>
        </is>
      </c>
      <c r="D14" t="inlineStr">
        <is>
          <t>低温</t>
        </is>
      </c>
      <c r="E14" t="n">
        <v>1</v>
      </c>
      <c r="F14" t="inlineStr">
        <is>
          <t>个</t>
        </is>
      </c>
    </row>
    <row r="15">
      <c r="A15" t="n">
        <v>13</v>
      </c>
      <c r="B15" t="inlineStr">
        <is>
          <t>300W/5V</t>
        </is>
      </c>
      <c r="C15" t="inlineStr">
        <is>
          <t>常规</t>
        </is>
      </c>
      <c r="D15" t="inlineStr">
        <is>
          <t>常规</t>
        </is>
      </c>
      <c r="E15" t="n">
        <v>1</v>
      </c>
      <c r="F15" t="inlineStr">
        <is>
          <t>个</t>
        </is>
      </c>
    </row>
    <row r="16">
      <c r="A16" t="n">
        <v>14</v>
      </c>
      <c r="B16" t="inlineStr">
        <is>
          <t>300W/5V</t>
        </is>
      </c>
      <c r="C16" t="inlineStr">
        <is>
          <t>高功率因素</t>
        </is>
      </c>
      <c r="D16" t="inlineStr">
        <is>
          <t>常规</t>
        </is>
      </c>
      <c r="E16" t="n">
        <v>1</v>
      </c>
      <c r="F16" t="inlineStr">
        <is>
          <t>个</t>
        </is>
      </c>
    </row>
    <row r="17">
      <c r="A17" t="n">
        <v>15</v>
      </c>
      <c r="B17" t="inlineStr">
        <is>
          <t>300W/5V</t>
        </is>
      </c>
      <c r="C17" t="inlineStr">
        <is>
          <t>高功率因素</t>
        </is>
      </c>
      <c r="D17" t="inlineStr">
        <is>
          <t>低温</t>
        </is>
      </c>
      <c r="E17" t="n">
        <v>1</v>
      </c>
      <c r="F17" t="inlineStr">
        <is>
          <t>个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支架单价</t>
        </is>
      </c>
    </row>
    <row r="2">
      <c r="A2" t="inlineStr">
        <is>
          <t>序号</t>
        </is>
      </c>
      <c r="B2" t="inlineStr">
        <is>
          <t>名称</t>
        </is>
      </c>
      <c r="C2" t="inlineStr">
        <is>
          <t>数量</t>
        </is>
      </c>
      <c r="D2" t="inlineStr">
        <is>
          <t>单位</t>
        </is>
      </c>
      <c r="E2" t="inlineStr">
        <is>
          <t>支架单价</t>
        </is>
      </c>
      <c r="F2" t="inlineStr">
        <is>
          <t>螺钉配件单价</t>
        </is>
      </c>
      <c r="G2" t="inlineStr">
        <is>
          <t>综合单价</t>
        </is>
      </c>
      <c r="H2" t="inlineStr">
        <is>
          <t>备注</t>
        </is>
      </c>
    </row>
    <row r="3">
      <c r="A3" t="n">
        <v>1</v>
      </c>
      <c r="B3" t="inlineStr">
        <is>
          <t>收费大棚吊装吊架</t>
        </is>
      </c>
      <c r="C3" t="n">
        <v>1</v>
      </c>
      <c r="D3" t="inlineStr">
        <is>
          <t>平方</t>
        </is>
      </c>
      <c r="E3" t="n">
        <v>400</v>
      </c>
      <c r="F3" t="n">
        <v>30</v>
      </c>
      <c r="G3">
        <f>E3+F3</f>
        <v/>
      </c>
    </row>
    <row r="4">
      <c r="A4" t="n">
        <v>2</v>
      </c>
      <c r="B4" t="inlineStr">
        <is>
          <t>收费大棚背部支架</t>
        </is>
      </c>
      <c r="C4" t="n">
        <v>1</v>
      </c>
      <c r="D4" t="inlineStr">
        <is>
          <t>平方</t>
        </is>
      </c>
      <c r="G4">
        <f>E4+F4</f>
        <v/>
      </c>
    </row>
    <row r="5">
      <c r="A5" t="n">
        <v>3</v>
      </c>
      <c r="B5" t="inlineStr">
        <is>
          <t>路段1米高支撑架</t>
        </is>
      </c>
      <c r="C5" t="n">
        <v>1</v>
      </c>
      <c r="D5" t="inlineStr">
        <is>
          <t>平方</t>
        </is>
      </c>
      <c r="E5" t="n">
        <v>110</v>
      </c>
      <c r="F5">
        <f>安装抱箍和螺钉!L5</f>
        <v/>
      </c>
      <c r="G5">
        <f>E5+F5</f>
        <v/>
      </c>
    </row>
    <row r="6">
      <c r="A6" t="n">
        <v>4</v>
      </c>
      <c r="B6" t="inlineStr">
        <is>
          <t>路段2米高支撑架</t>
        </is>
      </c>
      <c r="C6" t="n">
        <v>1</v>
      </c>
      <c r="D6" t="inlineStr">
        <is>
          <t>平方</t>
        </is>
      </c>
      <c r="E6" t="n">
        <v>160</v>
      </c>
      <c r="F6">
        <f>安装抱箍和螺钉!L6</f>
        <v/>
      </c>
      <c r="G6">
        <f>E6+F6</f>
        <v/>
      </c>
    </row>
    <row r="7">
      <c r="A7" t="n">
        <v>5</v>
      </c>
      <c r="B7" t="inlineStr">
        <is>
          <t>路段1㎡支撑架</t>
        </is>
      </c>
      <c r="C7" t="n">
        <v>1</v>
      </c>
      <c r="D7" t="inlineStr">
        <is>
          <t>套</t>
        </is>
      </c>
      <c r="E7" t="n">
        <v>400</v>
      </c>
      <c r="F7">
        <f>安装抱箍和螺钉!L7</f>
        <v/>
      </c>
      <c r="G7">
        <f>E7+F7</f>
        <v/>
      </c>
    </row>
    <row r="8">
      <c r="A8" t="n">
        <v>6</v>
      </c>
      <c r="B8" t="inlineStr">
        <is>
          <t>路段2㎡支撑架</t>
        </is>
      </c>
      <c r="C8" t="n">
        <v>1</v>
      </c>
      <c r="D8" t="inlineStr">
        <is>
          <t>套</t>
        </is>
      </c>
      <c r="E8" t="n">
        <v>400</v>
      </c>
      <c r="F8">
        <f>安装抱箍和螺钉!L8</f>
        <v/>
      </c>
      <c r="G8">
        <f>E8+F8</f>
        <v/>
      </c>
    </row>
    <row r="9">
      <c r="A9" t="n">
        <v>6</v>
      </c>
      <c r="B9" t="inlineStr">
        <is>
          <t>路段4㎡支撑架</t>
        </is>
      </c>
      <c r="C9" t="n">
        <v>1</v>
      </c>
      <c r="D9" t="inlineStr">
        <is>
          <t>套</t>
        </is>
      </c>
      <c r="E9" t="n">
        <v>400</v>
      </c>
      <c r="F9">
        <f>安装抱箍和螺钉!L9</f>
        <v/>
      </c>
      <c r="G9">
        <f>E9+F9</f>
        <v/>
      </c>
    </row>
    <row r="10">
      <c r="A10" t="n">
        <v>7</v>
      </c>
      <c r="B10" t="inlineStr">
        <is>
          <t>悬臂含走道支架</t>
        </is>
      </c>
      <c r="C10" t="n">
        <v>1</v>
      </c>
      <c r="D10" t="inlineStr">
        <is>
          <t>套</t>
        </is>
      </c>
      <c r="F10">
        <f>安装抱箍和螺钉!L9</f>
        <v/>
      </c>
      <c r="G10">
        <f>E10+F10</f>
        <v/>
      </c>
      <c r="H10" t="inlineStr">
        <is>
          <t>3.2*1.6</t>
        </is>
      </c>
    </row>
    <row r="11">
      <c r="A11" t="n">
        <v>8</v>
      </c>
      <c r="B11" t="inlineStr">
        <is>
          <t>悬臂含走道支架</t>
        </is>
      </c>
      <c r="C11" t="n">
        <v>1</v>
      </c>
      <c r="D11" t="inlineStr">
        <is>
          <t>套</t>
        </is>
      </c>
      <c r="F11">
        <f>安装抱箍和螺钉!L10</f>
        <v/>
      </c>
      <c r="G11">
        <f>E11+F11</f>
        <v/>
      </c>
      <c r="H11" t="inlineStr">
        <is>
          <t>4*2</t>
        </is>
      </c>
    </row>
    <row r="12">
      <c r="A12" t="n">
        <v>9</v>
      </c>
      <c r="B12" t="inlineStr">
        <is>
          <t>洞内屏2支架2节支架</t>
        </is>
      </c>
      <c r="C12" t="n">
        <v>1</v>
      </c>
      <c r="D12" t="inlineStr">
        <is>
          <t>套</t>
        </is>
      </c>
      <c r="E12">
        <f>E24</f>
        <v/>
      </c>
      <c r="F12">
        <f>E35+8*10</f>
        <v/>
      </c>
      <c r="G12">
        <f>E12+F12</f>
        <v/>
      </c>
      <c r="H12" t="inlineStr">
        <is>
          <t>含膨胀螺栓</t>
        </is>
      </c>
    </row>
    <row r="13">
      <c r="A13" t="n">
        <v>10</v>
      </c>
      <c r="B13" t="inlineStr">
        <is>
          <t>洞内屏2支架3节支架</t>
        </is>
      </c>
      <c r="C13" t="n">
        <v>1</v>
      </c>
      <c r="D13" t="inlineStr">
        <is>
          <t>套</t>
        </is>
      </c>
      <c r="E13">
        <f>E43</f>
        <v/>
      </c>
      <c r="F13">
        <f>E53+8*10</f>
        <v/>
      </c>
      <c r="G13">
        <f>E13+F13</f>
        <v/>
      </c>
      <c r="H13" t="inlineStr">
        <is>
          <t>含膨胀螺栓</t>
        </is>
      </c>
    </row>
    <row r="14">
      <c r="A14" t="n">
        <v>11</v>
      </c>
      <c r="B14" t="inlineStr">
        <is>
          <t>洞内屏3支架3节支架</t>
        </is>
      </c>
      <c r="C14" t="n">
        <v>1</v>
      </c>
      <c r="D14" t="inlineStr">
        <is>
          <t>套</t>
        </is>
      </c>
      <c r="E14">
        <f>E63</f>
        <v/>
      </c>
      <c r="F14">
        <f>E73+12*10</f>
        <v/>
      </c>
      <c r="G14">
        <f>E14+F14</f>
        <v/>
      </c>
      <c r="H14" t="inlineStr">
        <is>
          <t>含膨胀螺栓</t>
        </is>
      </c>
    </row>
    <row r="15">
      <c r="A15" t="n">
        <v>12</v>
      </c>
      <c r="B15" t="inlineStr">
        <is>
          <t>洞内侧壁1.6*3.2支架</t>
        </is>
      </c>
      <c r="C15" t="n">
        <v>1</v>
      </c>
      <c r="D15" t="inlineStr">
        <is>
          <t>套</t>
        </is>
      </c>
      <c r="E15">
        <f>400*1.6*3.2</f>
        <v/>
      </c>
      <c r="F15">
        <f>1.6*3.2*3*16</f>
        <v/>
      </c>
      <c r="G15">
        <f>E15+F15</f>
        <v/>
      </c>
      <c r="H15" t="inlineStr">
        <is>
          <t>含膨胀螺栓</t>
        </is>
      </c>
    </row>
    <row r="16">
      <c r="A16" t="n">
        <v>13</v>
      </c>
      <c r="B16" t="inlineStr">
        <is>
          <t>洞内侧壁1*2支架</t>
        </is>
      </c>
      <c r="C16" t="n">
        <v>1</v>
      </c>
      <c r="D16" t="inlineStr">
        <is>
          <t>套</t>
        </is>
      </c>
      <c r="E16">
        <f>400*2</f>
        <v/>
      </c>
      <c r="F16">
        <f>1*2*4*16</f>
        <v/>
      </c>
      <c r="G16">
        <f>E16+F16</f>
        <v/>
      </c>
      <c r="H16" t="inlineStr">
        <is>
          <t>含膨胀螺栓</t>
        </is>
      </c>
    </row>
    <row r="17">
      <c r="A17" t="n">
        <v>14</v>
      </c>
      <c r="B17" t="inlineStr">
        <is>
          <t>服务区</t>
        </is>
      </c>
      <c r="C17" t="n">
        <v>1</v>
      </c>
      <c r="D17" t="inlineStr">
        <is>
          <t>平方</t>
        </is>
      </c>
      <c r="E17" t="n">
        <v>600</v>
      </c>
      <c r="F17" t="n">
        <v>50</v>
      </c>
      <c r="G17">
        <f>E17+F17</f>
        <v/>
      </c>
    </row>
    <row r="18"/>
    <row r="19">
      <c r="A19" t="inlineStr">
        <is>
          <t>洞内两支架两节</t>
        </is>
      </c>
    </row>
    <row r="20">
      <c r="A20" t="inlineStr">
        <is>
          <t>BOM层级</t>
        </is>
      </c>
      <c r="B20" t="inlineStr">
        <is>
          <t>子项物料编码</t>
        </is>
      </c>
      <c r="C20" t="inlineStr">
        <is>
          <t>物料名称</t>
        </is>
      </c>
      <c r="D20" t="inlineStr">
        <is>
          <t>含税单价</t>
        </is>
      </c>
      <c r="E20" t="inlineStr">
        <is>
          <t>价税合计</t>
        </is>
      </c>
      <c r="F20" t="inlineStr">
        <is>
          <t>标准用量</t>
        </is>
      </c>
      <c r="G20" t="inlineStr">
        <is>
          <t>实际数量</t>
        </is>
      </c>
      <c r="H20" t="inlineStr">
        <is>
          <t>替代方式</t>
        </is>
      </c>
    </row>
    <row r="21">
      <c r="A21" t="inlineStr">
        <is>
          <t>0</t>
        </is>
      </c>
      <c r="B21" t="inlineStr">
        <is>
          <t>3000001603</t>
        </is>
      </c>
      <c r="C21" t="inlineStr">
        <is>
          <t>洞内拱顶可变信息标志（双色)/P25 2R1G 200*200/CDCKB25+DN01/2500*1300*200/SGCC=1.5  蓝灰色(钣金箱体）2025-BS013</t>
        </is>
      </c>
      <c r="D21" t="n">
        <v>10413.57</v>
      </c>
      <c r="E21" t="n">
        <v>10413.57</v>
      </c>
      <c r="F21" t="n">
        <v>1</v>
      </c>
      <c r="G21" t="n">
        <v>1</v>
      </c>
    </row>
    <row r="22">
      <c r="A22" t="inlineStr">
        <is>
          <t>.1</t>
        </is>
      </c>
      <c r="B22" t="inlineStr">
        <is>
          <t>1700000482</t>
        </is>
      </c>
      <c r="C22" t="inlineStr">
        <is>
          <t>洞内吊架顶安装板/CDTPJ-AZL-C2B/280*200*295/Q235=20MM 热镀锌本色</t>
        </is>
      </c>
      <c r="D22" t="n">
        <v>167.96</v>
      </c>
      <c r="E22" t="n">
        <v>335.92</v>
      </c>
      <c r="F22" t="n">
        <v>2</v>
      </c>
      <c r="G22" t="n">
        <v>2</v>
      </c>
    </row>
    <row r="23">
      <c r="A23" t="inlineStr">
        <is>
          <t>.1</t>
        </is>
      </c>
      <c r="B23" t="inlineStr">
        <is>
          <t>1700000107</t>
        </is>
      </c>
      <c r="C23" t="inlineStr">
        <is>
          <t>洞内吊架下安装支架/CDTPJ-AZL-C4/300*200*300/槽钢+Q235 热镀锌本色</t>
        </is>
      </c>
      <c r="D23" t="n">
        <v>131.12</v>
      </c>
      <c r="E23" t="n">
        <v>262.24</v>
      </c>
      <c r="F23" t="n">
        <v>2</v>
      </c>
      <c r="G23" t="n">
        <v>2</v>
      </c>
    </row>
    <row r="24">
      <c r="C24" t="inlineStr">
        <is>
          <t>2支架成本总计</t>
        </is>
      </c>
      <c r="E24">
        <f>SUM(E22:E23)</f>
        <v/>
      </c>
    </row>
    <row r="25"/>
    <row r="26">
      <c r="A26" t="inlineStr">
        <is>
          <t>洞内两支架两节</t>
        </is>
      </c>
    </row>
    <row r="27">
      <c r="A27" t="inlineStr">
        <is>
          <t>.1</t>
        </is>
      </c>
      <c r="B27" t="inlineStr">
        <is>
          <t>1600000048</t>
        </is>
      </c>
      <c r="C27" t="inlineStr">
        <is>
          <t>不锈钢弹垫/M24/不锈钢 A2-70/本色</t>
        </is>
      </c>
      <c r="D27" t="n">
        <v>0.57</v>
      </c>
      <c r="E27" t="n">
        <v>2.28</v>
      </c>
      <c r="F27" t="n">
        <v>4</v>
      </c>
      <c r="G27" t="n">
        <v>4</v>
      </c>
    </row>
    <row r="28">
      <c r="A28" t="inlineStr">
        <is>
          <t>.1</t>
        </is>
      </c>
      <c r="B28" t="inlineStr">
        <is>
          <t>1600000054</t>
        </is>
      </c>
      <c r="C28" t="inlineStr">
        <is>
          <t>不锈钢平垫/M24/不锈钢 A2-70/本色</t>
        </is>
      </c>
      <c r="D28" t="n">
        <v>0.71</v>
      </c>
      <c r="E28" t="n">
        <v>5.68</v>
      </c>
      <c r="F28" t="n">
        <v>8</v>
      </c>
      <c r="G28" t="n">
        <v>8</v>
      </c>
    </row>
    <row r="29">
      <c r="A29" t="inlineStr">
        <is>
          <t>.1</t>
        </is>
      </c>
      <c r="B29" t="inlineStr">
        <is>
          <t>1600000007</t>
        </is>
      </c>
      <c r="C29" t="inlineStr">
        <is>
          <t>螺母/M24/不锈钢；A2-70/本色</t>
        </is>
      </c>
      <c r="D29" t="n">
        <v>2.35</v>
      </c>
      <c r="E29" t="n">
        <v>18.8</v>
      </c>
      <c r="F29" t="n">
        <v>8</v>
      </c>
      <c r="G29" t="n">
        <v>8</v>
      </c>
    </row>
    <row r="30">
      <c r="A30" t="inlineStr">
        <is>
          <t>.1</t>
        </is>
      </c>
      <c r="B30" t="inlineStr">
        <is>
          <t>1600000042</t>
        </is>
      </c>
      <c r="C30" t="inlineStr">
        <is>
          <t>外六角螺栓/M24*80/不锈钢 A2-70/本色</t>
        </is>
      </c>
      <c r="D30" t="n">
        <v>8.1</v>
      </c>
      <c r="E30" t="n">
        <v>32.4</v>
      </c>
      <c r="F30" t="n">
        <v>4</v>
      </c>
      <c r="G30" t="n">
        <v>4</v>
      </c>
    </row>
    <row r="31">
      <c r="A31" t="inlineStr">
        <is>
          <t>.1</t>
        </is>
      </c>
      <c r="B31" t="inlineStr">
        <is>
          <t>1600000041</t>
        </is>
      </c>
      <c r="C31" t="inlineStr">
        <is>
          <t>外六角螺栓/M18*60/不锈钢 A2-70/本色</t>
        </is>
      </c>
      <c r="D31" t="n">
        <v>3.36</v>
      </c>
      <c r="E31" t="n">
        <v>26.88</v>
      </c>
      <c r="F31" t="n">
        <v>8</v>
      </c>
      <c r="G31" t="n">
        <v>8</v>
      </c>
    </row>
    <row r="32">
      <c r="A32" t="inlineStr">
        <is>
          <t>.1</t>
        </is>
      </c>
      <c r="B32" t="inlineStr">
        <is>
          <t>1600000047</t>
        </is>
      </c>
      <c r="C32" t="inlineStr">
        <is>
          <t>不锈钢弹垫/M18/不锈钢 A2-70/本色</t>
        </is>
      </c>
      <c r="D32" t="n">
        <v>0.22</v>
      </c>
      <c r="E32" t="n">
        <v>1.76</v>
      </c>
      <c r="F32" t="n">
        <v>8</v>
      </c>
      <c r="G32" t="n">
        <v>8</v>
      </c>
    </row>
    <row r="33">
      <c r="A33" t="inlineStr">
        <is>
          <t>.1</t>
        </is>
      </c>
      <c r="B33" t="inlineStr">
        <is>
          <t>1600000053</t>
        </is>
      </c>
      <c r="C33" t="inlineStr">
        <is>
          <t>不锈钢平垫/M18/不锈钢 A2-70/本色</t>
        </is>
      </c>
      <c r="D33" t="n">
        <v>0.33</v>
      </c>
      <c r="E33" t="n">
        <v>5.28</v>
      </c>
      <c r="F33" t="n">
        <v>16</v>
      </c>
      <c r="G33" t="n">
        <v>16</v>
      </c>
    </row>
    <row r="34">
      <c r="A34" t="inlineStr">
        <is>
          <t>.1</t>
        </is>
      </c>
      <c r="B34" t="inlineStr">
        <is>
          <t>1600000006</t>
        </is>
      </c>
      <c r="C34" t="inlineStr">
        <is>
          <t>螺母/M18/不锈钢；A2-70/本色</t>
        </is>
      </c>
      <c r="D34" t="n">
        <v>1.05</v>
      </c>
      <c r="E34" t="n">
        <v>8.4</v>
      </c>
      <c r="F34" t="n">
        <v>8</v>
      </c>
      <c r="G34" t="n">
        <v>8</v>
      </c>
    </row>
    <row r="35">
      <c r="C35" t="inlineStr">
        <is>
          <t>总计螺钉</t>
        </is>
      </c>
      <c r="E35">
        <f>SUM(E27:E34)</f>
        <v/>
      </c>
    </row>
    <row r="36"/>
    <row r="37">
      <c r="A37" t="inlineStr">
        <is>
          <t>洞内两支架三节</t>
        </is>
      </c>
    </row>
    <row r="38">
      <c r="A38" t="inlineStr">
        <is>
          <t>BOM层级</t>
        </is>
      </c>
      <c r="B38" t="inlineStr">
        <is>
          <t>子项物料编码</t>
        </is>
      </c>
      <c r="C38" t="inlineStr">
        <is>
          <t>物料名称</t>
        </is>
      </c>
      <c r="D38" t="inlineStr">
        <is>
          <t>含税单价</t>
        </is>
      </c>
      <c r="E38" t="inlineStr">
        <is>
          <t>价税合计</t>
        </is>
      </c>
      <c r="F38" t="inlineStr">
        <is>
          <t>标准用量</t>
        </is>
      </c>
      <c r="G38" t="inlineStr">
        <is>
          <t>实际数量</t>
        </is>
      </c>
    </row>
    <row r="39">
      <c r="A39" t="inlineStr">
        <is>
          <t>0</t>
        </is>
      </c>
      <c r="B39" t="inlineStr">
        <is>
          <t>3000001744</t>
        </is>
      </c>
      <c r="C39" t="inlineStr">
        <is>
          <t>洞内拱顶可变信息标志（双色)/P25 2R1G 400*200/CDCKB25+DN01/2500*1300*200/SGCC=1.5 蓝灰色(钣金箱体）2025-S561</t>
        </is>
      </c>
      <c r="D39" t="n">
        <v>10132.8</v>
      </c>
      <c r="E39" t="n">
        <v>10132.8</v>
      </c>
      <c r="F39" t="n">
        <v>1</v>
      </c>
      <c r="G39" t="n">
        <v>1</v>
      </c>
    </row>
    <row r="40">
      <c r="A40" t="inlineStr">
        <is>
          <t>.1</t>
        </is>
      </c>
      <c r="B40" t="inlineStr">
        <is>
          <t>1700000482</t>
        </is>
      </c>
      <c r="C40" t="inlineStr">
        <is>
          <t>洞内吊架顶安装板/CDTPJ-AZL-C2B/280*200*295/Q235=20MM 热镀锌本色</t>
        </is>
      </c>
      <c r="D40" t="n">
        <v>167.96</v>
      </c>
      <c r="E40" t="n">
        <v>335.92</v>
      </c>
      <c r="F40" t="n">
        <v>2</v>
      </c>
      <c r="G40" t="n">
        <v>2</v>
      </c>
    </row>
    <row r="41">
      <c r="A41" t="inlineStr">
        <is>
          <t>.1</t>
        </is>
      </c>
      <c r="B41" t="inlineStr">
        <is>
          <t>1700000107</t>
        </is>
      </c>
      <c r="C41" t="inlineStr">
        <is>
          <t>洞内吊架下安装支架/CDTPJ-AZL-C4/300*200*300/槽钢+Q235 热镀锌本色</t>
        </is>
      </c>
      <c r="D41" t="n">
        <v>131.12</v>
      </c>
      <c r="E41" t="n">
        <v>262.24</v>
      </c>
      <c r="F41" t="n">
        <v>2</v>
      </c>
      <c r="G41" t="n">
        <v>2</v>
      </c>
    </row>
    <row r="42">
      <c r="A42" t="inlineStr">
        <is>
          <t>.1</t>
        </is>
      </c>
      <c r="B42" t="inlineStr">
        <is>
          <t>1700000106</t>
        </is>
      </c>
      <c r="C42" t="inlineStr">
        <is>
          <t>洞内吊架中间调节槽钢/CDTPJ-AZL-C3/120*53*450/槽钢 热镀锌本色</t>
        </is>
      </c>
      <c r="D42" t="n">
        <v>45.799999</v>
      </c>
      <c r="E42" t="n">
        <v>91.59999999999999</v>
      </c>
      <c r="F42" t="n">
        <v>2</v>
      </c>
      <c r="G42" t="n">
        <v>2</v>
      </c>
    </row>
    <row r="43">
      <c r="C43" t="inlineStr">
        <is>
          <t>3件套支架总计</t>
        </is>
      </c>
      <c r="E43">
        <f>SUM(E40:E42)</f>
        <v/>
      </c>
    </row>
    <row r="44">
      <c r="A44" t="inlineStr">
        <is>
          <t>洞内两支架三节</t>
        </is>
      </c>
    </row>
    <row r="45">
      <c r="A45" t="inlineStr">
        <is>
          <t>.1</t>
        </is>
      </c>
      <c r="B45" t="inlineStr">
        <is>
          <t>1600000041</t>
        </is>
      </c>
      <c r="C45" t="inlineStr">
        <is>
          <t>外六角螺栓/M18*60/不锈钢 A2-70/本色</t>
        </is>
      </c>
      <c r="D45" t="n">
        <v>3.36</v>
      </c>
      <c r="E45" t="n">
        <v>26.88</v>
      </c>
      <c r="F45" t="n">
        <v>8</v>
      </c>
      <c r="G45" t="n">
        <v>8</v>
      </c>
    </row>
    <row r="46">
      <c r="A46" t="inlineStr">
        <is>
          <t>.1</t>
        </is>
      </c>
      <c r="B46" t="inlineStr">
        <is>
          <t>1600000047</t>
        </is>
      </c>
      <c r="C46" t="inlineStr">
        <is>
          <t>不锈钢弹垫/M18/不锈钢 A2-70/本色</t>
        </is>
      </c>
      <c r="D46" t="n">
        <v>0.22</v>
      </c>
      <c r="E46" t="n">
        <v>1.76</v>
      </c>
      <c r="F46" t="n">
        <v>8</v>
      </c>
      <c r="G46" t="n">
        <v>8</v>
      </c>
    </row>
    <row r="47">
      <c r="A47" t="inlineStr">
        <is>
          <t>.1</t>
        </is>
      </c>
      <c r="B47" t="inlineStr">
        <is>
          <t>1600000053</t>
        </is>
      </c>
      <c r="C47" t="inlineStr">
        <is>
          <t>不锈钢平垫/M18/不锈钢 A2-70/本色</t>
        </is>
      </c>
      <c r="D47" t="n">
        <v>0.33</v>
      </c>
      <c r="E47" t="n">
        <v>5.28</v>
      </c>
      <c r="F47" t="n">
        <v>16</v>
      </c>
      <c r="G47" t="n">
        <v>16</v>
      </c>
    </row>
    <row r="48">
      <c r="A48" t="inlineStr">
        <is>
          <t>.1</t>
        </is>
      </c>
      <c r="B48" t="inlineStr">
        <is>
          <t>1600000006</t>
        </is>
      </c>
      <c r="C48" t="inlineStr">
        <is>
          <t>螺母/M18/不锈钢；A2-70/本色</t>
        </is>
      </c>
      <c r="D48" t="n">
        <v>1.05</v>
      </c>
      <c r="E48" t="n">
        <v>8.4</v>
      </c>
      <c r="F48" t="n">
        <v>8</v>
      </c>
      <c r="G48" t="n">
        <v>8</v>
      </c>
    </row>
    <row r="49">
      <c r="A49" t="inlineStr">
        <is>
          <t>.1</t>
        </is>
      </c>
      <c r="B49" t="inlineStr">
        <is>
          <t>1600000048</t>
        </is>
      </c>
      <c r="C49" t="inlineStr">
        <is>
          <t>不锈钢弹垫/M24/不锈钢 A2-70/本色</t>
        </is>
      </c>
      <c r="D49" t="n">
        <v>0.57</v>
      </c>
      <c r="E49" t="n">
        <v>4.56</v>
      </c>
      <c r="F49" t="n">
        <v>8</v>
      </c>
      <c r="G49" t="n">
        <v>8</v>
      </c>
    </row>
    <row r="50">
      <c r="A50" t="inlineStr">
        <is>
          <t>.1</t>
        </is>
      </c>
      <c r="B50" t="inlineStr">
        <is>
          <t>1600000054</t>
        </is>
      </c>
      <c r="C50" t="inlineStr">
        <is>
          <t>不锈钢平垫/M24/不锈钢 A2-70/本色</t>
        </is>
      </c>
      <c r="D50" t="n">
        <v>0.71</v>
      </c>
      <c r="E50" t="n">
        <v>11.36</v>
      </c>
      <c r="F50" t="n">
        <v>16</v>
      </c>
      <c r="G50" t="n">
        <v>16</v>
      </c>
    </row>
    <row r="51">
      <c r="A51" t="inlineStr">
        <is>
          <t>.1</t>
        </is>
      </c>
      <c r="B51" t="inlineStr">
        <is>
          <t>1600000007</t>
        </is>
      </c>
      <c r="C51" t="inlineStr">
        <is>
          <t>螺母/M24/不锈钢；A2-70/本色</t>
        </is>
      </c>
      <c r="D51" t="n">
        <v>2.35</v>
      </c>
      <c r="E51" t="n">
        <v>37.6</v>
      </c>
      <c r="F51" t="n">
        <v>16</v>
      </c>
      <c r="G51" t="n">
        <v>16</v>
      </c>
    </row>
    <row r="52">
      <c r="A52" t="n">
        <v>0.1</v>
      </c>
      <c r="B52" t="inlineStr">
        <is>
          <t>1600000042</t>
        </is>
      </c>
      <c r="C52" t="inlineStr">
        <is>
          <t>外六角螺栓/M24*80/不锈钢 A2-70/本色</t>
        </is>
      </c>
      <c r="D52" t="n">
        <v>8.1</v>
      </c>
      <c r="E52" t="n">
        <v>64.8</v>
      </c>
      <c r="F52" t="n">
        <v>8</v>
      </c>
      <c r="G52" t="n">
        <v>8</v>
      </c>
    </row>
    <row r="53">
      <c r="C53" t="inlineStr">
        <is>
          <t>3件套螺钉总计</t>
        </is>
      </c>
      <c r="E53">
        <f>SUM(E45:E52)</f>
        <v/>
      </c>
    </row>
    <row r="54"/>
    <row r="55"/>
    <row r="56"/>
    <row r="57">
      <c r="A57" t="inlineStr">
        <is>
          <t>洞内三支架三节</t>
        </is>
      </c>
    </row>
    <row r="58">
      <c r="A58" t="inlineStr">
        <is>
          <t>BOM层级</t>
        </is>
      </c>
      <c r="B58" t="inlineStr">
        <is>
          <t>子项物料编码</t>
        </is>
      </c>
      <c r="C58" t="inlineStr">
        <is>
          <t>物料名称</t>
        </is>
      </c>
      <c r="D58" t="inlineStr">
        <is>
          <t>含税单价</t>
        </is>
      </c>
      <c r="E58" t="inlineStr">
        <is>
          <t>价税合计</t>
        </is>
      </c>
      <c r="F58" t="inlineStr">
        <is>
          <t>标准用量</t>
        </is>
      </c>
      <c r="G58" t="inlineStr">
        <is>
          <t>实际数量</t>
        </is>
      </c>
    </row>
    <row r="59">
      <c r="A59" t="inlineStr">
        <is>
          <t>0</t>
        </is>
      </c>
      <c r="B59" t="inlineStr">
        <is>
          <t>3000001744</t>
        </is>
      </c>
      <c r="C59" t="inlineStr">
        <is>
          <t>洞内拱顶可变信息标志（双色)/P25 2R1G 400*200/CDCKB25+DN01/2500*1300*200/SGCC=1.5 蓝灰色(钣金箱体）2025-S561</t>
        </is>
      </c>
      <c r="D59" t="n">
        <v>10132.8</v>
      </c>
      <c r="E59" t="n">
        <v>10132.8</v>
      </c>
      <c r="F59" t="n">
        <v>1</v>
      </c>
      <c r="G59" t="n">
        <v>1</v>
      </c>
    </row>
    <row r="60">
      <c r="A60" t="inlineStr">
        <is>
          <t>.1</t>
        </is>
      </c>
      <c r="B60" t="inlineStr">
        <is>
          <t>1700000482</t>
        </is>
      </c>
      <c r="C60" t="inlineStr">
        <is>
          <t>洞内吊架顶安装板/CDTPJ-AZL-C2B/280*200*295/Q235=20MM 热镀锌本色</t>
        </is>
      </c>
      <c r="D60" t="n">
        <v>167.96</v>
      </c>
      <c r="E60">
        <f>D60*F60</f>
        <v/>
      </c>
      <c r="F60" t="n">
        <v>3</v>
      </c>
      <c r="G60" t="n">
        <v>3</v>
      </c>
    </row>
    <row r="61">
      <c r="A61" t="inlineStr">
        <is>
          <t>.1</t>
        </is>
      </c>
      <c r="B61" t="inlineStr">
        <is>
          <t>1700000107</t>
        </is>
      </c>
      <c r="C61" t="inlineStr">
        <is>
          <t>洞内吊架下安装支架/CDTPJ-AZL-C4/300*200*300/槽钢+Q235 热镀锌本色</t>
        </is>
      </c>
      <c r="D61" t="n">
        <v>131.12</v>
      </c>
      <c r="E61">
        <f>F61*D61</f>
        <v/>
      </c>
      <c r="F61" t="n">
        <v>3</v>
      </c>
      <c r="G61" t="n">
        <v>3</v>
      </c>
    </row>
    <row r="62">
      <c r="A62" t="inlineStr">
        <is>
          <t>.1</t>
        </is>
      </c>
      <c r="B62" t="inlineStr">
        <is>
          <t>1700000106</t>
        </is>
      </c>
      <c r="C62" t="inlineStr">
        <is>
          <t>洞内吊架中间调节槽钢/CDTPJ-AZL-C3/120*53*450/槽钢 热镀锌本色</t>
        </is>
      </c>
      <c r="D62" t="n">
        <v>86</v>
      </c>
      <c r="E62">
        <f>D62*F62</f>
        <v/>
      </c>
      <c r="F62" t="n">
        <v>3</v>
      </c>
      <c r="G62" t="n">
        <v>3</v>
      </c>
    </row>
    <row r="63">
      <c r="C63" t="inlineStr">
        <is>
          <t>3件套支架总计</t>
        </is>
      </c>
      <c r="E63">
        <f>SUM(E60:E62)</f>
        <v/>
      </c>
    </row>
    <row r="64">
      <c r="A64" t="inlineStr">
        <is>
          <t>洞内三支架三节</t>
        </is>
      </c>
    </row>
    <row r="65">
      <c r="A65" t="inlineStr">
        <is>
          <t>.1</t>
        </is>
      </c>
      <c r="B65" t="inlineStr">
        <is>
          <t>1600000041</t>
        </is>
      </c>
      <c r="C65" t="inlineStr">
        <is>
          <t>外六角螺栓/M18*60/不锈钢 A2-70/本色</t>
        </is>
      </c>
      <c r="D65" t="n">
        <v>3.36</v>
      </c>
      <c r="E65">
        <f>D65*F65</f>
        <v/>
      </c>
      <c r="F65" t="n">
        <v>12</v>
      </c>
      <c r="G65">
        <f>F65</f>
        <v/>
      </c>
    </row>
    <row r="66">
      <c r="A66" t="inlineStr">
        <is>
          <t>.1</t>
        </is>
      </c>
      <c r="B66" t="inlineStr">
        <is>
          <t>1600000047</t>
        </is>
      </c>
      <c r="C66" t="inlineStr">
        <is>
          <t>不锈钢弹垫/M18/不锈钢 A2-70/本色</t>
        </is>
      </c>
      <c r="D66" t="n">
        <v>0.22</v>
      </c>
      <c r="E66">
        <f>D66*F66</f>
        <v/>
      </c>
      <c r="F66" t="n">
        <v>12</v>
      </c>
      <c r="G66">
        <f>F66</f>
        <v/>
      </c>
    </row>
    <row r="67">
      <c r="A67" t="inlineStr">
        <is>
          <t>.1</t>
        </is>
      </c>
      <c r="B67" t="inlineStr">
        <is>
          <t>1600000053</t>
        </is>
      </c>
      <c r="C67" t="inlineStr">
        <is>
          <t>不锈钢平垫/M18/不锈钢 A2-70/本色</t>
        </is>
      </c>
      <c r="D67" t="n">
        <v>0.33</v>
      </c>
      <c r="E67">
        <f>D67*F67</f>
        <v/>
      </c>
      <c r="F67" t="n">
        <v>24</v>
      </c>
      <c r="G67">
        <f>F67</f>
        <v/>
      </c>
    </row>
    <row r="68">
      <c r="A68" t="inlineStr">
        <is>
          <t>.1</t>
        </is>
      </c>
      <c r="B68" t="inlineStr">
        <is>
          <t>1600000006</t>
        </is>
      </c>
      <c r="C68" t="inlineStr">
        <is>
          <t>螺母/M18/不锈钢；A2-70/本色</t>
        </is>
      </c>
      <c r="D68" t="n">
        <v>1.05</v>
      </c>
      <c r="E68">
        <f>D68*F68</f>
        <v/>
      </c>
      <c r="F68" t="n">
        <v>12</v>
      </c>
      <c r="G68">
        <f>F68</f>
        <v/>
      </c>
    </row>
    <row r="69">
      <c r="A69" t="inlineStr">
        <is>
          <t>.1</t>
        </is>
      </c>
      <c r="B69" t="inlineStr">
        <is>
          <t>1600000048</t>
        </is>
      </c>
      <c r="C69" t="inlineStr">
        <is>
          <t>不锈钢弹垫/M24/不锈钢 A2-70/本色</t>
        </is>
      </c>
      <c r="D69" t="n">
        <v>0.57</v>
      </c>
      <c r="E69">
        <f>D69*F69</f>
        <v/>
      </c>
      <c r="F69" t="n">
        <v>12</v>
      </c>
      <c r="G69">
        <f>F69</f>
        <v/>
      </c>
    </row>
    <row r="70">
      <c r="A70" t="inlineStr">
        <is>
          <t>.1</t>
        </is>
      </c>
      <c r="B70" t="inlineStr">
        <is>
          <t>1600000054</t>
        </is>
      </c>
      <c r="C70" t="inlineStr">
        <is>
          <t>不锈钢平垫/M24/不锈钢 A2-70/本色</t>
        </is>
      </c>
      <c r="D70" t="n">
        <v>0.71</v>
      </c>
      <c r="E70">
        <f>D70*F70</f>
        <v/>
      </c>
      <c r="F70" t="n">
        <v>24</v>
      </c>
      <c r="G70">
        <f>F70</f>
        <v/>
      </c>
    </row>
    <row r="71">
      <c r="A71" t="inlineStr">
        <is>
          <t>.1</t>
        </is>
      </c>
      <c r="B71" t="inlineStr">
        <is>
          <t>1600000007</t>
        </is>
      </c>
      <c r="C71" t="inlineStr">
        <is>
          <t>螺母/M24/不锈钢；A2-70/本色</t>
        </is>
      </c>
      <c r="D71" t="n">
        <v>2.35</v>
      </c>
      <c r="E71">
        <f>D71*F71</f>
        <v/>
      </c>
      <c r="F71" t="n">
        <v>24</v>
      </c>
      <c r="G71">
        <f>F71</f>
        <v/>
      </c>
    </row>
    <row r="72">
      <c r="A72" t="n">
        <v>0.1</v>
      </c>
      <c r="B72" t="inlineStr">
        <is>
          <t>1600000042</t>
        </is>
      </c>
      <c r="C72" t="inlineStr">
        <is>
          <t>外六角螺栓/M24*80/不锈钢 A2-70/本色</t>
        </is>
      </c>
      <c r="D72" t="n">
        <v>8.1</v>
      </c>
      <c r="E72">
        <f>D72*F72</f>
        <v/>
      </c>
      <c r="F72" t="n">
        <v>12</v>
      </c>
      <c r="G72">
        <f>F72</f>
        <v/>
      </c>
    </row>
    <row r="73">
      <c r="C73" t="inlineStr">
        <is>
          <t>3件套螺钉总计</t>
        </is>
      </c>
      <c r="E73">
        <f>SUM(E65:E72)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安装抱箍和螺钉单价</t>
        </is>
      </c>
    </row>
    <row r="2">
      <c r="A2" t="inlineStr">
        <is>
          <t>序号</t>
        </is>
      </c>
      <c r="B2" t="inlineStr">
        <is>
          <t>名称</t>
        </is>
      </c>
      <c r="C2" t="inlineStr">
        <is>
          <t>抱箍数量</t>
        </is>
      </c>
      <c r="D2" t="inlineStr">
        <is>
          <t>抱箍单价</t>
        </is>
      </c>
      <c r="E2" t="inlineStr">
        <is>
          <t>抱箍合计</t>
        </is>
      </c>
      <c r="F2" t="inlineStr">
        <is>
          <t>抱箍数量</t>
        </is>
      </c>
      <c r="G2" t="inlineStr">
        <is>
          <t>几字安装件单价</t>
        </is>
      </c>
      <c r="H2" t="inlineStr">
        <is>
          <t>几字安装件合计</t>
        </is>
      </c>
      <c r="I2" t="inlineStr">
        <is>
          <t>螺钉配件数量</t>
        </is>
      </c>
      <c r="J2" t="inlineStr">
        <is>
          <t>螺钉配件单价</t>
        </is>
      </c>
      <c r="K2" t="inlineStr">
        <is>
          <t>螺钉配件合计</t>
        </is>
      </c>
      <c r="L2" t="inlineStr">
        <is>
          <t>综合价格</t>
        </is>
      </c>
      <c r="M2" t="inlineStr">
        <is>
          <t>备注</t>
        </is>
      </c>
    </row>
    <row r="3">
      <c r="A3" t="n">
        <v>1</v>
      </c>
      <c r="B3" t="inlineStr">
        <is>
          <t>收费大棚吊装吊架</t>
        </is>
      </c>
      <c r="C3" t="n">
        <v>1</v>
      </c>
      <c r="E3">
        <f>C3*D3</f>
        <v/>
      </c>
      <c r="F3" t="n">
        <v>1</v>
      </c>
      <c r="H3">
        <f>G3*F3</f>
        <v/>
      </c>
      <c r="I3" t="n">
        <v>1</v>
      </c>
      <c r="K3">
        <f>J3*I3</f>
        <v/>
      </c>
      <c r="L3">
        <f>E3+H3+K3</f>
        <v/>
      </c>
    </row>
    <row r="4">
      <c r="A4" t="n">
        <v>2</v>
      </c>
      <c r="B4" t="inlineStr">
        <is>
          <t>收费大棚背部支架</t>
        </is>
      </c>
      <c r="C4" t="n">
        <v>1</v>
      </c>
      <c r="E4">
        <f>C4*D4</f>
        <v/>
      </c>
      <c r="F4" t="n">
        <v>1</v>
      </c>
      <c r="H4">
        <f>G4*F4</f>
        <v/>
      </c>
      <c r="I4" t="n">
        <v>1</v>
      </c>
      <c r="K4">
        <f>J4*I4</f>
        <v/>
      </c>
      <c r="L4">
        <f>E4+H4+K4</f>
        <v/>
      </c>
    </row>
    <row r="5">
      <c r="A5" t="n">
        <v>3</v>
      </c>
      <c r="B5" t="inlineStr">
        <is>
          <t>路段1米高支撑架</t>
        </is>
      </c>
      <c r="C5" t="n">
        <v>1</v>
      </c>
      <c r="E5">
        <f>C5*D5</f>
        <v/>
      </c>
      <c r="F5" t="n">
        <v>1</v>
      </c>
      <c r="H5">
        <f>G5*F5</f>
        <v/>
      </c>
      <c r="I5" t="n">
        <v>1</v>
      </c>
      <c r="K5">
        <f>J5*I5</f>
        <v/>
      </c>
      <c r="L5">
        <f>E5+H5+K5</f>
        <v/>
      </c>
    </row>
    <row r="6">
      <c r="A6" t="n">
        <v>4</v>
      </c>
      <c r="B6" t="inlineStr">
        <is>
          <t>路段2米高支撑架</t>
        </is>
      </c>
      <c r="C6" t="n">
        <v>1</v>
      </c>
      <c r="E6">
        <f>C6*D6</f>
        <v/>
      </c>
      <c r="F6" t="n">
        <v>1</v>
      </c>
      <c r="H6">
        <f>G6*F6</f>
        <v/>
      </c>
      <c r="I6" t="n">
        <v>1</v>
      </c>
      <c r="K6">
        <f>J6*I6</f>
        <v/>
      </c>
      <c r="L6">
        <f>E6+H6+K6</f>
        <v/>
      </c>
    </row>
    <row r="7">
      <c r="A7" t="n">
        <v>5</v>
      </c>
      <c r="B7" t="inlineStr">
        <is>
          <t>路段1㎡支撑架</t>
        </is>
      </c>
      <c r="C7" t="n">
        <v>1</v>
      </c>
      <c r="E7">
        <f>C7*D7</f>
        <v/>
      </c>
      <c r="F7" t="n">
        <v>1</v>
      </c>
      <c r="H7">
        <f>G7*F7</f>
        <v/>
      </c>
      <c r="I7" t="n">
        <v>1</v>
      </c>
      <c r="K7">
        <f>J7*I7</f>
        <v/>
      </c>
      <c r="L7">
        <f>E7+H7+K7</f>
        <v/>
      </c>
    </row>
    <row r="8">
      <c r="A8" t="n">
        <v>6</v>
      </c>
      <c r="B8" t="inlineStr">
        <is>
          <t>路段2㎡支撑架</t>
        </is>
      </c>
      <c r="C8" t="n">
        <v>1</v>
      </c>
      <c r="E8">
        <f>C8*D8</f>
        <v/>
      </c>
      <c r="F8" t="n">
        <v>1</v>
      </c>
      <c r="H8">
        <f>G8*F8</f>
        <v/>
      </c>
      <c r="I8" t="n">
        <v>1</v>
      </c>
      <c r="K8">
        <f>J8*I8</f>
        <v/>
      </c>
      <c r="L8">
        <f>E8+H8+K8</f>
        <v/>
      </c>
    </row>
    <row r="9">
      <c r="A9" t="n">
        <v>7</v>
      </c>
      <c r="B9" t="inlineStr">
        <is>
          <t>悬臂含走道支架3.2*1.6</t>
        </is>
      </c>
      <c r="C9" t="n">
        <v>1</v>
      </c>
      <c r="E9">
        <f>C9*D9</f>
        <v/>
      </c>
      <c r="F9" t="n">
        <v>1</v>
      </c>
      <c r="H9">
        <f>G9*F9</f>
        <v/>
      </c>
      <c r="I9" t="n">
        <v>1</v>
      </c>
      <c r="K9">
        <f>J9*I9</f>
        <v/>
      </c>
      <c r="L9">
        <f>E9+H9+K9</f>
        <v/>
      </c>
    </row>
    <row r="10">
      <c r="A10" t="n">
        <v>8</v>
      </c>
      <c r="B10" t="inlineStr">
        <is>
          <t>悬臂含走道支架4*2</t>
        </is>
      </c>
      <c r="C10" t="n">
        <v>1</v>
      </c>
      <c r="E10">
        <f>C10*D10</f>
        <v/>
      </c>
      <c r="F10" t="n">
        <v>1</v>
      </c>
      <c r="H10">
        <f>G10*F10</f>
        <v/>
      </c>
      <c r="I10" t="n">
        <v>1</v>
      </c>
      <c r="K10">
        <f>J10*I10</f>
        <v/>
      </c>
      <c r="L10">
        <f>E10+H10+K10</f>
        <v/>
      </c>
    </row>
    <row r="11">
      <c r="A11" t="n">
        <v>9</v>
      </c>
      <c r="B11" t="inlineStr">
        <is>
          <t>洞内屏2支架2节支架</t>
        </is>
      </c>
      <c r="C11" t="n">
        <v>1</v>
      </c>
      <c r="E11">
        <f>C11*D11</f>
        <v/>
      </c>
      <c r="F11" t="n">
        <v>1</v>
      </c>
      <c r="H11">
        <f>G11*F11</f>
        <v/>
      </c>
      <c r="I11" t="n">
        <v>1</v>
      </c>
      <c r="K11">
        <f>J11*I11</f>
        <v/>
      </c>
      <c r="L11">
        <f>E11+H11+K11</f>
        <v/>
      </c>
    </row>
    <row r="12">
      <c r="A12" t="n">
        <v>10</v>
      </c>
      <c r="B12" t="inlineStr">
        <is>
          <t>洞内屏2支架3节支架</t>
        </is>
      </c>
      <c r="C12" t="n">
        <v>1</v>
      </c>
      <c r="E12">
        <f>C12*D12</f>
        <v/>
      </c>
      <c r="F12" t="n">
        <v>1</v>
      </c>
      <c r="H12">
        <f>G12*F12</f>
        <v/>
      </c>
      <c r="I12" t="n">
        <v>1</v>
      </c>
      <c r="K12">
        <f>J12*I12</f>
        <v/>
      </c>
      <c r="L12">
        <f>E12+H12+K12</f>
        <v/>
      </c>
    </row>
    <row r="13">
      <c r="A13" t="n">
        <v>11</v>
      </c>
      <c r="B13" t="inlineStr">
        <is>
          <t>洞内屏3支架3节支架</t>
        </is>
      </c>
      <c r="C13" t="n">
        <v>1</v>
      </c>
      <c r="E13">
        <f>C13*D13</f>
        <v/>
      </c>
      <c r="F13" t="n">
        <v>1</v>
      </c>
      <c r="H13">
        <f>G13*F13</f>
        <v/>
      </c>
      <c r="I13" t="n">
        <v>1</v>
      </c>
      <c r="K13">
        <f>J13*I13</f>
        <v/>
      </c>
      <c r="L13">
        <f>E13+H13+K13</f>
        <v/>
      </c>
    </row>
    <row r="14">
      <c r="A14" t="n">
        <v>12</v>
      </c>
      <c r="B14" t="inlineStr">
        <is>
          <t>洞内侧壁1.6*3.2支架</t>
        </is>
      </c>
      <c r="C14" t="n">
        <v>1</v>
      </c>
      <c r="E14">
        <f>C14*D14</f>
        <v/>
      </c>
      <c r="F14" t="n">
        <v>1</v>
      </c>
      <c r="G14">
        <f>G13</f>
        <v/>
      </c>
      <c r="H14">
        <f>G14*F14</f>
        <v/>
      </c>
      <c r="I14" t="n">
        <v>1</v>
      </c>
      <c r="J14">
        <f>J13</f>
        <v/>
      </c>
      <c r="K14">
        <f>J14*I14</f>
        <v/>
      </c>
      <c r="L14">
        <f>E14+H14+K14</f>
        <v/>
      </c>
    </row>
    <row r="15">
      <c r="A15" t="n">
        <v>13</v>
      </c>
      <c r="B15" t="inlineStr">
        <is>
          <t>洞内侧壁1*2支架</t>
        </is>
      </c>
      <c r="C15" t="n">
        <v>1</v>
      </c>
      <c r="E15">
        <f>C15*D15</f>
        <v/>
      </c>
      <c r="F15" t="n">
        <v>1</v>
      </c>
      <c r="G15">
        <f>G14</f>
        <v/>
      </c>
      <c r="H15">
        <f>G15*F15</f>
        <v/>
      </c>
      <c r="I15" t="n">
        <v>1</v>
      </c>
      <c r="J15">
        <f>J14</f>
        <v/>
      </c>
      <c r="K15">
        <f>J15*I15</f>
        <v/>
      </c>
      <c r="L15">
        <f>E15+H15+K15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BOM层级</t>
        </is>
      </c>
      <c r="B1" t="inlineStr">
        <is>
          <t>子项物料编码</t>
        </is>
      </c>
      <c r="C1" t="inlineStr">
        <is>
          <t>物料名称</t>
        </is>
      </c>
      <c r="D1" t="inlineStr">
        <is>
          <t>含税单价</t>
        </is>
      </c>
      <c r="E1" t="inlineStr">
        <is>
          <t>合计</t>
        </is>
      </c>
      <c r="F1" t="inlineStr">
        <is>
          <t>数量</t>
        </is>
      </c>
    </row>
    <row r="2">
      <c r="A2" t="inlineStr">
        <is>
          <t>.1</t>
        </is>
      </c>
      <c r="B2" t="inlineStr">
        <is>
          <t>3000001386</t>
        </is>
      </c>
      <c r="C2" t="inlineStr">
        <is>
          <t>可变信息标志控制箱（单相含控制卡--无信号防雷版）/KXB-10P-A1-KZX+KZ03/400*610*140/SGCC=1.2 户外7035</t>
        </is>
      </c>
      <c r="F2" t="n">
        <v>1</v>
      </c>
    </row>
    <row r="3">
      <c r="A3" t="inlineStr">
        <is>
          <t>..2</t>
        </is>
      </c>
      <c r="B3" t="inlineStr">
        <is>
          <t>2300001283</t>
        </is>
      </c>
      <c r="C3" t="inlineStr">
        <is>
          <t>可变信息标志控制箱（单相含控制卡-无信号防雷版）/KXB-10P-A1-KZX+KZ03/400*610*140/SGCC=1.2 户外7035 裸机</t>
        </is>
      </c>
      <c r="F3" t="n">
        <v>1</v>
      </c>
    </row>
    <row r="4">
      <c r="A4" t="inlineStr">
        <is>
          <t>...3</t>
        </is>
      </c>
      <c r="B4" t="inlineStr">
        <is>
          <t>2200000649</t>
        </is>
      </c>
      <c r="C4" t="inlineStr">
        <is>
          <t>服务区情报板单相控制箱（背抱安装）箱体/KXB-KZ03D-D1/400*610*140/SGCC=1.2 户外7035</t>
        </is>
      </c>
      <c r="F4" t="n">
        <v>1</v>
      </c>
    </row>
    <row r="5">
      <c r="A5" t="inlineStr">
        <is>
          <t>...3</t>
        </is>
      </c>
      <c r="B5" t="inlineStr">
        <is>
          <t>1000000932</t>
        </is>
      </c>
      <c r="C5" t="inlineStr">
        <is>
          <t>多媒体播放盒/GX30T</t>
        </is>
      </c>
      <c r="F5" t="n">
        <v>1</v>
      </c>
    </row>
    <row r="6">
      <c r="A6" t="inlineStr">
        <is>
          <t>...3</t>
        </is>
      </c>
      <c r="B6" t="inlineStr">
        <is>
          <t>1500000042</t>
        </is>
      </c>
      <c r="C6" t="inlineStr">
        <is>
          <t>开关电源/LM25-23B05/5V/5A 25W/效率88%/工作温度范围：-30℃to +70℃/VEN00112</t>
        </is>
      </c>
      <c r="F6" t="n">
        <v>1</v>
      </c>
    </row>
    <row r="7">
      <c r="A7" t="inlineStr">
        <is>
          <t>...3</t>
        </is>
      </c>
      <c r="B7" t="inlineStr">
        <is>
          <t>1700000010</t>
        </is>
      </c>
      <c r="C7" t="inlineStr">
        <is>
          <t>单相电源防雷器/CD-D/AC20-2（丝印创迪LOGO）/VEN00054</t>
        </is>
      </c>
      <c r="F7" t="n">
        <v>1</v>
      </c>
    </row>
    <row r="8">
      <c r="A8" t="inlineStr">
        <is>
          <t>...3</t>
        </is>
      </c>
      <c r="B8" t="inlineStr">
        <is>
          <t>1900000039</t>
        </is>
      </c>
      <c r="C8" t="inlineStr">
        <is>
          <t>光探头/ALP050-1.5M-P/CON4-2.54插头</t>
        </is>
      </c>
      <c r="F8" t="n">
        <v>1</v>
      </c>
    </row>
    <row r="9">
      <c r="A9" t="inlineStr">
        <is>
          <t>...3</t>
        </is>
      </c>
      <c r="B9" t="inlineStr">
        <is>
          <t>1000000515</t>
        </is>
      </c>
      <c r="C9" t="inlineStr">
        <is>
          <t>空开/DZ47SC63(63A,1P)/N</t>
        </is>
      </c>
      <c r="F9" t="n">
        <v>1</v>
      </c>
    </row>
    <row r="10">
      <c r="A10" t="inlineStr">
        <is>
          <t>...3</t>
        </is>
      </c>
      <c r="B10" t="inlineStr">
        <is>
          <t>1000000464</t>
        </is>
      </c>
      <c r="C10" t="inlineStr">
        <is>
          <t>空开/DZ47sN1C32(32A,1P)/N</t>
        </is>
      </c>
      <c r="F10" t="n">
        <v>3</v>
      </c>
    </row>
    <row r="11">
      <c r="A11" t="inlineStr">
        <is>
          <t>...3</t>
        </is>
      </c>
      <c r="B11" t="inlineStr">
        <is>
          <t>1300000116</t>
        </is>
      </c>
      <c r="C11" t="inlineStr">
        <is>
          <t>AC30模数化插座/250V/10-16A/3孔</t>
        </is>
      </c>
      <c r="F11" t="n">
        <v>1</v>
      </c>
    </row>
    <row r="12">
      <c r="A12" t="inlineStr">
        <is>
          <t>...3</t>
        </is>
      </c>
      <c r="B12" t="inlineStr">
        <is>
          <t>1600000102</t>
        </is>
      </c>
      <c r="C12" t="inlineStr">
        <is>
          <t>过线圈/PG29/尼龙/白色</t>
        </is>
      </c>
      <c r="F12" t="n">
        <v>4</v>
      </c>
    </row>
    <row r="13">
      <c r="A13" t="inlineStr">
        <is>
          <t>...3</t>
        </is>
      </c>
      <c r="B13" t="inlineStr">
        <is>
          <t>1000000480</t>
        </is>
      </c>
      <c r="C13" t="inlineStr">
        <is>
          <t>空开背条/L=1000*35*7.5mm/C45导轨，1mm厚，国标</t>
        </is>
      </c>
      <c r="F13" t="n">
        <v>0.4</v>
      </c>
    </row>
    <row r="14">
      <c r="A14" t="inlineStr">
        <is>
          <t>...3</t>
        </is>
      </c>
      <c r="B14" t="inlineStr">
        <is>
          <t>1300000120</t>
        </is>
      </c>
      <c r="C14" t="inlineStr">
        <is>
          <t>接线端子固定卡/E-UK</t>
        </is>
      </c>
      <c r="F14" t="n">
        <v>4</v>
      </c>
    </row>
    <row r="15">
      <c r="A15" t="inlineStr">
        <is>
          <t>...3</t>
        </is>
      </c>
      <c r="B15" t="inlineStr">
        <is>
          <t>1300000153</t>
        </is>
      </c>
      <c r="C15" t="inlineStr">
        <is>
          <t>10孔桥型接线排/8*12地排/110.8*31.8*12.5mm/绿色</t>
        </is>
      </c>
      <c r="F15" t="n">
        <v>1</v>
      </c>
    </row>
    <row r="16">
      <c r="A16" t="inlineStr">
        <is>
          <t>...3</t>
        </is>
      </c>
      <c r="B16" t="inlineStr">
        <is>
          <t>1300000154</t>
        </is>
      </c>
      <c r="C16" t="inlineStr">
        <is>
          <t>10孔桥型接线排/8*12零排/110.8*31.8*12.5mm/蓝色</t>
        </is>
      </c>
      <c r="F16" t="n">
        <v>1</v>
      </c>
    </row>
    <row r="17">
      <c r="A17" t="inlineStr">
        <is>
          <t>...3</t>
        </is>
      </c>
      <c r="B17" t="inlineStr">
        <is>
          <t>1600000063</t>
        </is>
      </c>
      <c r="C17" t="inlineStr">
        <is>
          <t>3合1螺钉/M4*8/碳钢/镀白锌</t>
        </is>
      </c>
      <c r="F17" t="n">
        <v>2</v>
      </c>
    </row>
    <row r="18">
      <c r="A18" t="inlineStr">
        <is>
          <t>...3</t>
        </is>
      </c>
      <c r="B18" t="inlineStr">
        <is>
          <t>1600000027</t>
        </is>
      </c>
      <c r="C18" t="inlineStr">
        <is>
          <t>圆头十字螺钉/M4*8/碳钢/镀白锌</t>
        </is>
      </c>
      <c r="F18" t="n">
        <v>4</v>
      </c>
    </row>
    <row r="19">
      <c r="A19" t="inlineStr">
        <is>
          <t>...3</t>
        </is>
      </c>
      <c r="B19" t="inlineStr">
        <is>
          <t>1600000064</t>
        </is>
      </c>
      <c r="C19" t="inlineStr">
        <is>
          <t>3合1螺钉/M4×16/碳钢/镀白锌</t>
        </is>
      </c>
      <c r="F19" t="n">
        <v>4</v>
      </c>
    </row>
    <row r="20">
      <c r="A20" t="inlineStr">
        <is>
          <t>...3</t>
        </is>
      </c>
      <c r="B20" t="inlineStr">
        <is>
          <t>1600000100</t>
        </is>
      </c>
      <c r="C20" t="inlineStr">
        <is>
          <t>3合1螺钉/M3*6/碳钢/包黑色</t>
        </is>
      </c>
      <c r="F20" t="n">
        <v>10</v>
      </c>
    </row>
    <row r="21">
      <c r="A21" t="inlineStr">
        <is>
          <t>...3</t>
        </is>
      </c>
      <c r="B21" t="inlineStr">
        <is>
          <t>1600000004</t>
        </is>
      </c>
      <c r="C21" t="inlineStr">
        <is>
          <t>螺母/M6/碳钢/镀白锌</t>
        </is>
      </c>
      <c r="F21" t="n">
        <v>4</v>
      </c>
    </row>
    <row r="22">
      <c r="A22" t="inlineStr">
        <is>
          <t>...3</t>
        </is>
      </c>
      <c r="B22" t="inlineStr">
        <is>
          <t>1600000043</t>
        </is>
      </c>
      <c r="C22" t="inlineStr">
        <is>
          <t>不锈钢弹垫/M6/不锈钢 A2-70/本色</t>
        </is>
      </c>
      <c r="F22" t="n">
        <v>4</v>
      </c>
    </row>
    <row r="23">
      <c r="A23" t="inlineStr">
        <is>
          <t>...3</t>
        </is>
      </c>
      <c r="B23" t="inlineStr">
        <is>
          <t>1600000049</t>
        </is>
      </c>
      <c r="C23" t="inlineStr">
        <is>
          <t>不锈钢平垫/M6/不锈钢 A2-70/本色</t>
        </is>
      </c>
      <c r="F23" t="n">
        <v>4</v>
      </c>
    </row>
    <row r="24">
      <c r="A24" t="inlineStr">
        <is>
          <t>...3</t>
        </is>
      </c>
      <c r="B24" t="inlineStr">
        <is>
          <t>1400000142</t>
        </is>
      </c>
      <c r="C24" t="inlineStr">
        <is>
          <t>一拖一5V单元板电源线/主线长0.5m 分支线长0.3m  接线叉SNB2-4 /分支线BVR铜软0.75mm² 主线国标BVR铜软2.5mm²</t>
        </is>
      </c>
      <c r="F24" t="n">
        <v>1</v>
      </c>
    </row>
    <row r="25">
      <c r="A25" t="inlineStr">
        <is>
          <t>...3</t>
        </is>
      </c>
      <c r="B25" t="inlineStr">
        <is>
          <t>1700003108</t>
        </is>
      </c>
      <c r="C25" t="inlineStr">
        <is>
          <t>RJ45网口防尘塞/硅胶 黑色</t>
        </is>
      </c>
      <c r="F25" t="n">
        <v>1</v>
      </c>
    </row>
    <row r="26">
      <c r="A26" t="inlineStr">
        <is>
          <t>...3</t>
        </is>
      </c>
      <c r="B26" t="inlineStr">
        <is>
          <t>1400000060</t>
        </is>
      </c>
      <c r="C26" t="inlineStr">
        <is>
          <t>铜芯聚氯乙烯绝缘阻燃软电线/ZR BVR1*1.5mm²电压450-750V/红色</t>
        </is>
      </c>
      <c r="F26" t="n">
        <v>1</v>
      </c>
    </row>
    <row r="27">
      <c r="A27" t="inlineStr">
        <is>
          <t>...3</t>
        </is>
      </c>
      <c r="B27" t="inlineStr">
        <is>
          <t>1400000059</t>
        </is>
      </c>
      <c r="C27" t="inlineStr">
        <is>
          <t>铜芯聚氯乙烯绝缘阻燃软电线/ZR BVR1*1.5mm²电压450-750V/黑色</t>
        </is>
      </c>
      <c r="F27" t="n">
        <v>1</v>
      </c>
    </row>
    <row r="28">
      <c r="A28" t="inlineStr">
        <is>
          <t>...3</t>
        </is>
      </c>
      <c r="B28" t="inlineStr">
        <is>
          <t>1400000061</t>
        </is>
      </c>
      <c r="C28" t="inlineStr">
        <is>
          <t>铜芯聚氯乙烯绝缘阻燃软电线/ZR BVR1*1.5mm²电压450-750V/黄绿色</t>
        </is>
      </c>
      <c r="F28" t="n">
        <v>0.6</v>
      </c>
    </row>
    <row r="29">
      <c r="A29" t="inlineStr">
        <is>
          <t>...3</t>
        </is>
      </c>
      <c r="B29" t="inlineStr">
        <is>
          <t>1400000063</t>
        </is>
      </c>
      <c r="C29" t="inlineStr">
        <is>
          <t>铜芯聚氯乙烯绝缘阻燃软电线/ZR BVR1*1.5mm²电压450-750V/蓝色</t>
        </is>
      </c>
      <c r="F29" t="n">
        <v>0.4</v>
      </c>
    </row>
    <row r="30">
      <c r="A30" t="inlineStr">
        <is>
          <t>...3</t>
        </is>
      </c>
      <c r="B30" t="inlineStr">
        <is>
          <t>1400000065</t>
        </is>
      </c>
      <c r="C30" t="inlineStr">
        <is>
          <t>铜芯聚氯乙烯绝缘阻燃软电线/ZR BVR1*1.5mm²电压450-750V/棕色</t>
        </is>
      </c>
      <c r="F30" t="n">
        <v>0.4</v>
      </c>
    </row>
    <row r="31">
      <c r="A31" t="inlineStr">
        <is>
          <t>...3</t>
        </is>
      </c>
      <c r="B31" t="inlineStr">
        <is>
          <t>1400000056</t>
        </is>
      </c>
      <c r="C31" t="inlineStr">
        <is>
          <t>铜芯聚氯乙烯绝缘软电缆/BVR1*2.5mm²电压450-750V/蓝色</t>
        </is>
      </c>
      <c r="F31" t="n">
        <v>1.1</v>
      </c>
    </row>
    <row r="32">
      <c r="A32" t="inlineStr">
        <is>
          <t>...3</t>
        </is>
      </c>
      <c r="B32" t="inlineStr">
        <is>
          <t>1400000058</t>
        </is>
      </c>
      <c r="C32" t="inlineStr">
        <is>
          <t>铜芯聚氯乙烯绝缘软电缆/BVR1*2.5mm²电压450-750V/棕色</t>
        </is>
      </c>
      <c r="F32" t="n">
        <v>1.2</v>
      </c>
    </row>
    <row r="33">
      <c r="A33" t="inlineStr">
        <is>
          <t>...3</t>
        </is>
      </c>
      <c r="B33" t="inlineStr">
        <is>
          <t>1400000054</t>
        </is>
      </c>
      <c r="C33" t="inlineStr">
        <is>
          <t>铜芯聚氯乙烯绝缘软电缆/BVR1*2.5mm²电压450-750V/黄绿色</t>
        </is>
      </c>
      <c r="F33" t="n">
        <v>1.5</v>
      </c>
    </row>
    <row r="34">
      <c r="A34" t="inlineStr">
        <is>
          <t>...3</t>
        </is>
      </c>
      <c r="B34" t="inlineStr">
        <is>
          <t>1400000093</t>
        </is>
      </c>
      <c r="C34" t="inlineStr">
        <is>
          <t>铜芯聚氯乙烯绝缘软电缆/BVR1*4mm²电压450-750V/棕色</t>
        </is>
      </c>
      <c r="F34" t="n">
        <v>0.9</v>
      </c>
    </row>
    <row r="35">
      <c r="A35" t="inlineStr">
        <is>
          <t>...3</t>
        </is>
      </c>
      <c r="B35" t="inlineStr">
        <is>
          <t>1300000129</t>
        </is>
      </c>
      <c r="C35" t="inlineStr">
        <is>
          <t>冷压接线端子/SNB2-3/国标紫铜U型/16*5.7*0.8mm</t>
        </is>
      </c>
      <c r="F35" t="n">
        <v>7</v>
      </c>
    </row>
    <row r="36">
      <c r="A36" t="inlineStr">
        <is>
          <t>...3</t>
        </is>
      </c>
      <c r="B36" t="inlineStr">
        <is>
          <t>1300000126</t>
        </is>
      </c>
      <c r="C36" t="inlineStr">
        <is>
          <t>冷压接线端子/C45-2.5/插片形DZ47国标紫铜/13*4.8*0.7mm</t>
        </is>
      </c>
      <c r="F36" t="n">
        <v>32</v>
      </c>
    </row>
    <row r="37">
      <c r="A37" t="inlineStr">
        <is>
          <t>...3</t>
        </is>
      </c>
      <c r="B37" t="inlineStr">
        <is>
          <t>1300000151</t>
        </is>
      </c>
      <c r="C37" t="inlineStr">
        <is>
          <t>冷压接线端子/C45-6/插片形DZ47国标紫铜/13*4.8*0.7mm</t>
        </is>
      </c>
      <c r="F37" t="n">
        <v>18</v>
      </c>
    </row>
    <row r="38">
      <c r="A38" t="inlineStr">
        <is>
          <t>...3</t>
        </is>
      </c>
      <c r="B38" t="inlineStr">
        <is>
          <t>1300000128</t>
        </is>
      </c>
      <c r="C38" t="inlineStr">
        <is>
          <t>冷压接线端子/RNB2-6/国标紫铜O型/21.7*12*0.8mm</t>
        </is>
      </c>
      <c r="F38" t="n">
        <v>2</v>
      </c>
    </row>
    <row r="39">
      <c r="A39" t="inlineStr">
        <is>
          <t>...3</t>
        </is>
      </c>
      <c r="B39" t="inlineStr">
        <is>
          <t>1300000127</t>
        </is>
      </c>
      <c r="C39" t="inlineStr">
        <is>
          <t>冷压接线端子/RNB2-4/国标紫铜O型/14.4*6.6*0.8mm</t>
        </is>
      </c>
      <c r="F39" t="n">
        <v>3</v>
      </c>
    </row>
    <row r="40">
      <c r="A40" t="inlineStr">
        <is>
          <t>...3</t>
        </is>
      </c>
      <c r="B40" t="inlineStr">
        <is>
          <t>1700002806</t>
        </is>
      </c>
      <c r="C40" t="inlineStr">
        <is>
          <t>尼龙扎带/3*150mm/黑色</t>
        </is>
      </c>
      <c r="F40" t="n">
        <v>10</v>
      </c>
    </row>
    <row r="41">
      <c r="A41" t="inlineStr">
        <is>
          <t>...3</t>
        </is>
      </c>
      <c r="B41" t="inlineStr">
        <is>
          <t>1800000465</t>
        </is>
      </c>
      <c r="C41" t="inlineStr">
        <is>
          <t>重庆创迪LOGO图样/CD-LG-CDKJ</t>
        </is>
      </c>
      <c r="F41" t="n">
        <v>1</v>
      </c>
    </row>
    <row r="42">
      <c r="A42" t="inlineStr">
        <is>
          <t>...3</t>
        </is>
      </c>
      <c r="B42" t="inlineStr">
        <is>
          <t>1800000005</t>
        </is>
      </c>
      <c r="C42" t="inlineStr">
        <is>
          <t>亚银标签纸/50*125</t>
        </is>
      </c>
      <c r="F42" t="n">
        <v>1</v>
      </c>
    </row>
    <row r="43">
      <c r="A43" t="inlineStr">
        <is>
          <t>...3</t>
        </is>
      </c>
      <c r="B43" t="inlineStr">
        <is>
          <t>1800000012</t>
        </is>
      </c>
      <c r="C43" t="inlineStr">
        <is>
          <t>合格证不干胶贴/φ25</t>
        </is>
      </c>
      <c r="F43" t="n">
        <v>1</v>
      </c>
    </row>
    <row r="44">
      <c r="A44" t="inlineStr">
        <is>
          <t>...3</t>
        </is>
      </c>
      <c r="B44" t="inlineStr">
        <is>
          <t>1800000967</t>
        </is>
      </c>
      <c r="C44" t="inlineStr">
        <is>
          <t>可变信息标志控制箱单相含控制卡-无信号防雷版使用说明书</t>
        </is>
      </c>
      <c r="F44" t="n">
        <v>1</v>
      </c>
    </row>
    <row r="45">
      <c r="A45" t="inlineStr">
        <is>
          <t>...3</t>
        </is>
      </c>
      <c r="B45" t="inlineStr">
        <is>
          <t>1800000968</t>
        </is>
      </c>
      <c r="C45" t="inlineStr">
        <is>
          <t>可变信息标志单相洞外控制箱产品无信号防雷版接线示意图/150 *210 /A4光面黄底不干胶标签贴纸</t>
        </is>
      </c>
      <c r="F45" t="n">
        <v>1</v>
      </c>
    </row>
    <row r="46">
      <c r="A46" t="inlineStr">
        <is>
          <t>...3</t>
        </is>
      </c>
      <c r="B46" t="inlineStr">
        <is>
          <t>1800000109</t>
        </is>
      </c>
      <c r="C46" t="inlineStr">
        <is>
          <t>纸箱/CDTPJ-ZXL-D17/内670*410*150外685*425*165/ 5层瓦楞 本色</t>
        </is>
      </c>
      <c r="F46" t="n">
        <v>1</v>
      </c>
    </row>
    <row r="47">
      <c r="A47" t="inlineStr">
        <is>
          <t>..2</t>
        </is>
      </c>
      <c r="B47" t="inlineStr">
        <is>
          <t>1700000384</t>
        </is>
      </c>
      <c r="C47" t="inlineStr">
        <is>
          <t>控制箱背抱 几字连接板/KXB-KZ03-A5/140*40*33/SGCC=3 户外7035</t>
        </is>
      </c>
      <c r="F47" t="n">
        <v>2</v>
      </c>
    </row>
    <row r="48">
      <c r="A48" t="inlineStr">
        <is>
          <t>..2</t>
        </is>
      </c>
      <c r="B48" t="inlineStr">
        <is>
          <t>1600000036</t>
        </is>
      </c>
      <c r="C48" t="inlineStr">
        <is>
          <t>外六角螺栓/M10*30/不锈钢/本色</t>
        </is>
      </c>
      <c r="F48" t="n">
        <v>4</v>
      </c>
    </row>
    <row r="49">
      <c r="A49" t="inlineStr">
        <is>
          <t>..2</t>
        </is>
      </c>
      <c r="B49" t="inlineStr">
        <is>
          <t>1600000044</t>
        </is>
      </c>
      <c r="C49" t="inlineStr">
        <is>
          <t>不锈钢弹垫/M10/不锈钢 A2-70/本色</t>
        </is>
      </c>
      <c r="F49" t="n">
        <v>4</v>
      </c>
    </row>
    <row r="50">
      <c r="A50" t="inlineStr">
        <is>
          <t>..2</t>
        </is>
      </c>
      <c r="B50" t="inlineStr">
        <is>
          <t>1600000050</t>
        </is>
      </c>
      <c r="C50" t="inlineStr">
        <is>
          <t>不锈钢平垫/M10/不锈钢 A2-70/本色</t>
        </is>
      </c>
      <c r="F50" t="n">
        <v>4</v>
      </c>
    </row>
    <row r="51">
      <c r="A51" t="inlineStr">
        <is>
          <t>.1</t>
        </is>
      </c>
      <c r="B51" t="inlineStr">
        <is>
          <t>1700003261</t>
        </is>
      </c>
      <c r="C51" t="inlineStr">
        <is>
          <t>PA尼龙波纹管（闭口）/AD34.5内径29mm外径34.5mm PA6尼龙/工作温度-40℃-100℃/黑色</t>
        </is>
      </c>
      <c r="F51" t="n">
        <v>4</v>
      </c>
    </row>
    <row r="52">
      <c r="C52" t="inlineStr">
        <is>
          <t>总计辅材和箱体10平方</t>
        </is>
      </c>
      <c r="E52">
        <f>SUM(E4:E51)</f>
        <v/>
      </c>
    </row>
    <row r="53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P10.416情报板屏单价(1㎡单价)</t>
        </is>
      </c>
    </row>
    <row r="2">
      <c r="A2" t="inlineStr">
        <is>
          <t>序号</t>
        </is>
      </c>
      <c r="B2" t="inlineStr">
        <is>
          <t>材料</t>
        </is>
      </c>
      <c r="C2" t="inlineStr">
        <is>
          <t>高度屏体安装高度</t>
        </is>
      </c>
      <c r="D2" t="inlineStr">
        <is>
          <t>灯珠</t>
        </is>
      </c>
      <c r="E2" t="inlineStr">
        <is>
          <t>1㎡模组数量</t>
        </is>
      </c>
      <c r="F2" t="inlineStr">
        <is>
          <t>模组单价</t>
        </is>
      </c>
      <c r="G2" t="inlineStr">
        <is>
          <t>1㎡模组价格合计</t>
        </is>
      </c>
      <c r="H2" t="inlineStr">
        <is>
          <t>箱体单价</t>
        </is>
      </c>
      <c r="I2" t="inlineStr">
        <is>
          <t>常规电源数量</t>
        </is>
      </c>
      <c r="J2" t="inlineStr">
        <is>
          <t>电源单价</t>
        </is>
      </c>
      <c r="K2" t="inlineStr">
        <is>
          <t>电源合计</t>
        </is>
      </c>
      <c r="L2" t="inlineStr">
        <is>
          <t>安装支架（选配）</t>
        </is>
      </c>
      <c r="M2" t="inlineStr">
        <is>
          <t>安装抱箍和螺钉</t>
        </is>
      </c>
      <c r="N2" t="inlineStr">
        <is>
          <t>包材</t>
        </is>
      </c>
      <c r="O2" t="inlineStr">
        <is>
          <t>辅材</t>
        </is>
      </c>
      <c r="P2" t="inlineStr">
        <is>
          <t>总计</t>
        </is>
      </c>
      <c r="Q2" t="inlineStr">
        <is>
          <t>备注</t>
        </is>
      </c>
    </row>
    <row r="3">
      <c r="A3" t="inlineStr">
        <is>
          <t>1.1</t>
        </is>
      </c>
      <c r="B3" t="inlineStr">
        <is>
          <t>压铸铝箱体不含包边（含包边加110元/㎡）</t>
        </is>
      </c>
      <c r="C3" t="inlineStr">
        <is>
          <t>1m</t>
        </is>
      </c>
      <c r="D3" t="inlineStr">
        <is>
          <t>310F5
/1R1G</t>
        </is>
      </c>
      <c r="E3" t="n">
        <v>8</v>
      </c>
      <c r="G3">
        <f>E3*F3</f>
        <v/>
      </c>
      <c r="H3">
        <f>箱体!G3</f>
        <v/>
      </c>
      <c r="I3" t="n">
        <v>2</v>
      </c>
      <c r="J3">
        <f>电源!G11</f>
        <v/>
      </c>
      <c r="K3">
        <f>J3*I3</f>
        <v/>
      </c>
      <c r="N3">
        <f>压铸铝辅材!F60</f>
        <v/>
      </c>
      <c r="O3">
        <f>压铸铝辅材!F56+压铸铝辅材!E80+20</f>
        <v/>
      </c>
      <c r="P3">
        <f>G3+H3+K3+L3+M3+N3+O3</f>
        <v/>
      </c>
      <c r="Q3" t="inlineStr">
        <is>
          <t>模组单价见规格单价表；箱体/电源见本册价目</t>
        </is>
      </c>
    </row>
    <row r="4">
      <c r="A4" t="inlineStr">
        <is>
          <t>1.2</t>
        </is>
      </c>
      <c r="D4" t="inlineStr">
        <is>
          <t>310F5
/1R1G1B</t>
        </is>
      </c>
      <c r="E4">
        <f>E3</f>
        <v/>
      </c>
      <c r="G4">
        <f>E4*F4</f>
        <v/>
      </c>
      <c r="H4">
        <f>H3</f>
        <v/>
      </c>
      <c r="I4">
        <f>I3</f>
        <v/>
      </c>
      <c r="J4">
        <f>J3</f>
        <v/>
      </c>
      <c r="K4">
        <f>J4*I4</f>
        <v/>
      </c>
      <c r="L4">
        <f>L3</f>
        <v/>
      </c>
      <c r="M4">
        <f>M3</f>
        <v/>
      </c>
      <c r="N4">
        <f>N3</f>
        <v/>
      </c>
      <c r="O4">
        <f>O3</f>
        <v/>
      </c>
      <c r="P4">
        <f>G4+H4+K4+L4+M4+N4+O4</f>
        <v/>
      </c>
      <c r="Q4" t="inlineStr">
        <is>
          <t>模组单价见规格单价表；箱体/电源见本册价目</t>
        </is>
      </c>
    </row>
    <row r="5">
      <c r="A5" t="inlineStr">
        <is>
          <t>1.3</t>
        </is>
      </c>
      <c r="B5" t="inlineStr">
        <is>
          <t>镀锌钢板箱体含包边</t>
        </is>
      </c>
      <c r="C5" t="inlineStr">
        <is>
          <t>1m</t>
        </is>
      </c>
      <c r="D5" t="inlineStr">
        <is>
          <t>310F5
/1R1G</t>
        </is>
      </c>
      <c r="E5" t="n">
        <v>8</v>
      </c>
      <c r="F5">
        <f>F3</f>
        <v/>
      </c>
      <c r="G5">
        <f>E5*F5</f>
        <v/>
      </c>
      <c r="H5">
        <f>箱体!G5</f>
        <v/>
      </c>
      <c r="I5" t="n">
        <v>2</v>
      </c>
      <c r="J5">
        <f>J3</f>
        <v/>
      </c>
      <c r="K5">
        <f>J5*I5</f>
        <v/>
      </c>
      <c r="N5">
        <f>铁箱辅材!E63</f>
        <v/>
      </c>
      <c r="O5">
        <f>铁箱辅材!E58+20</f>
        <v/>
      </c>
      <c r="P5">
        <f>G5+H5+K5+L5+M5+N5+O5</f>
        <v/>
      </c>
      <c r="Q5" t="inlineStr">
        <is>
          <t>模组单价见规格单价表；箱体/电源见本册价目</t>
        </is>
      </c>
    </row>
    <row r="6">
      <c r="A6" t="inlineStr">
        <is>
          <t>1.4</t>
        </is>
      </c>
      <c r="D6" t="inlineStr">
        <is>
          <t>310F5
/1R1G1B</t>
        </is>
      </c>
      <c r="E6">
        <f>E5</f>
        <v/>
      </c>
      <c r="F6">
        <f>F4</f>
        <v/>
      </c>
      <c r="G6">
        <f>E6*F6</f>
        <v/>
      </c>
      <c r="H6">
        <f>H5</f>
        <v/>
      </c>
      <c r="I6">
        <f>I5</f>
        <v/>
      </c>
      <c r="J6">
        <f>J5</f>
        <v/>
      </c>
      <c r="K6">
        <f>J6*I6</f>
        <v/>
      </c>
      <c r="L6">
        <f>L5</f>
        <v/>
      </c>
      <c r="M6">
        <f>M5</f>
        <v/>
      </c>
      <c r="N6">
        <f>N5</f>
        <v/>
      </c>
      <c r="O6">
        <f>O5</f>
        <v/>
      </c>
      <c r="P6">
        <f>G6+H6+K6+L6+M6+N6+O6</f>
        <v/>
      </c>
      <c r="Q6" t="inlineStr">
        <is>
          <t>模组单价见规格单价表；箱体/电源见本册价目</t>
        </is>
      </c>
    </row>
    <row r="7">
      <c r="A7" t="inlineStr">
        <is>
          <t>P15.625情报板屏单价(1㎡单价)</t>
        </is>
      </c>
    </row>
    <row r="8">
      <c r="A8" t="inlineStr">
        <is>
          <t>序号</t>
        </is>
      </c>
      <c r="B8" t="inlineStr">
        <is>
          <t>材料</t>
        </is>
      </c>
      <c r="C8" t="inlineStr">
        <is>
          <t>高度屏体安装高度</t>
        </is>
      </c>
      <c r="D8" t="inlineStr">
        <is>
          <t>灯珠</t>
        </is>
      </c>
      <c r="E8" t="inlineStr">
        <is>
          <t>1㎡模组数量</t>
        </is>
      </c>
      <c r="F8" t="inlineStr">
        <is>
          <t>模组单价</t>
        </is>
      </c>
      <c r="G8" t="inlineStr">
        <is>
          <t>1㎡模组价格合计</t>
        </is>
      </c>
      <c r="H8" t="inlineStr">
        <is>
          <t>箱体单价</t>
        </is>
      </c>
      <c r="I8" t="inlineStr">
        <is>
          <t>常规电源数量</t>
        </is>
      </c>
      <c r="J8" t="inlineStr">
        <is>
          <t>电源单价</t>
        </is>
      </c>
      <c r="K8" t="inlineStr">
        <is>
          <t>电源合计</t>
        </is>
      </c>
      <c r="L8" t="inlineStr">
        <is>
          <t>安装支架（选配）</t>
        </is>
      </c>
      <c r="M8" t="inlineStr">
        <is>
          <t>安装抱箍和螺钉</t>
        </is>
      </c>
      <c r="N8" t="inlineStr">
        <is>
          <t>包材</t>
        </is>
      </c>
      <c r="O8" t="inlineStr">
        <is>
          <t>辅材</t>
        </is>
      </c>
      <c r="P8" t="inlineStr">
        <is>
          <t>总计</t>
        </is>
      </c>
      <c r="Q8" t="inlineStr">
        <is>
          <t>备注</t>
        </is>
      </c>
    </row>
    <row r="9">
      <c r="A9" t="inlineStr">
        <is>
          <t>2.1</t>
        </is>
      </c>
      <c r="B9" t="inlineStr">
        <is>
          <t>压铸铝箱体不含包边（含包边加110元/㎡）</t>
        </is>
      </c>
      <c r="C9" t="inlineStr">
        <is>
          <t>1m</t>
        </is>
      </c>
      <c r="D9" t="inlineStr">
        <is>
          <t>310F5
/1R1G</t>
        </is>
      </c>
      <c r="E9" t="n">
        <v>8</v>
      </c>
      <c r="G9">
        <f>E9*F9</f>
        <v/>
      </c>
      <c r="H9">
        <f>H3</f>
        <v/>
      </c>
      <c r="I9" t="n">
        <v>2</v>
      </c>
      <c r="J9">
        <f>电源!G10</f>
        <v/>
      </c>
      <c r="K9">
        <f>J9*I9</f>
        <v/>
      </c>
      <c r="L9">
        <f>L3</f>
        <v/>
      </c>
      <c r="M9">
        <f>M3</f>
        <v/>
      </c>
      <c r="N9">
        <f>N3</f>
        <v/>
      </c>
      <c r="O9">
        <f>O3</f>
        <v/>
      </c>
      <c r="P9">
        <f>G9+H9+K9+L9+M9+N9+O9</f>
        <v/>
      </c>
      <c r="Q9" t="inlineStr">
        <is>
          <t>模组单价见规格单价表；箱体/电源见本册价目</t>
        </is>
      </c>
    </row>
    <row r="10">
      <c r="A10" t="inlineStr">
        <is>
          <t>2.2</t>
        </is>
      </c>
      <c r="D10" t="inlineStr">
        <is>
          <t>310F5
/1R1G1B</t>
        </is>
      </c>
      <c r="E10" t="n">
        <v>8</v>
      </c>
      <c r="G10">
        <f>E10*F10</f>
        <v/>
      </c>
      <c r="H10">
        <f>H9</f>
        <v/>
      </c>
      <c r="I10">
        <f>I9</f>
        <v/>
      </c>
      <c r="J10">
        <f>J9</f>
        <v/>
      </c>
      <c r="K10">
        <f>J10*I10</f>
        <v/>
      </c>
      <c r="L10">
        <f>L9</f>
        <v/>
      </c>
      <c r="M10">
        <f>M9</f>
        <v/>
      </c>
      <c r="N10">
        <f>N9</f>
        <v/>
      </c>
      <c r="O10">
        <f>O9</f>
        <v/>
      </c>
      <c r="P10">
        <f>G10+H10+K10+L10+M10+N10+O10</f>
        <v/>
      </c>
      <c r="Q10" t="inlineStr">
        <is>
          <t>模组单价见规格单价表；箱体/电源见本册价目</t>
        </is>
      </c>
    </row>
    <row r="11">
      <c r="A11" t="inlineStr">
        <is>
          <t>2.3</t>
        </is>
      </c>
      <c r="D11" t="inlineStr">
        <is>
          <t>310F5
/2R1G</t>
        </is>
      </c>
      <c r="E11" t="n">
        <v>8</v>
      </c>
      <c r="G11">
        <f>E11*F11</f>
        <v/>
      </c>
      <c r="H11">
        <f>H10</f>
        <v/>
      </c>
      <c r="I11">
        <f>I10</f>
        <v/>
      </c>
      <c r="J11">
        <f>J10</f>
        <v/>
      </c>
      <c r="K11">
        <f>J11*I11</f>
        <v/>
      </c>
      <c r="L11">
        <f>L10</f>
        <v/>
      </c>
      <c r="M11">
        <f>M10</f>
        <v/>
      </c>
      <c r="N11">
        <f>N10</f>
        <v/>
      </c>
      <c r="O11">
        <f>O10</f>
        <v/>
      </c>
      <c r="P11">
        <f>G11+H11+K11+L11+M11+N11+O11</f>
        <v/>
      </c>
      <c r="Q11" t="inlineStr">
        <is>
          <t>模组单价见规格单价表；箱体/电源见本册价目</t>
        </is>
      </c>
    </row>
    <row r="12">
      <c r="A12" t="inlineStr">
        <is>
          <t>2.4</t>
        </is>
      </c>
      <c r="D12" t="inlineStr">
        <is>
          <t>310F5
/2R1G1B</t>
        </is>
      </c>
      <c r="E12">
        <f>E9</f>
        <v/>
      </c>
      <c r="G12">
        <f>E12*F12</f>
        <v/>
      </c>
      <c r="H12">
        <f>H11</f>
        <v/>
      </c>
      <c r="I12">
        <f>I11</f>
        <v/>
      </c>
      <c r="J12">
        <f>J11</f>
        <v/>
      </c>
      <c r="K12">
        <f>J12*I12</f>
        <v/>
      </c>
      <c r="L12">
        <f>L11</f>
        <v/>
      </c>
      <c r="M12">
        <f>M11</f>
        <v/>
      </c>
      <c r="N12">
        <f>N11</f>
        <v/>
      </c>
      <c r="O12">
        <f>O11</f>
        <v/>
      </c>
      <c r="P12">
        <f>G12+H12+K12+L12+M12+N12+O12</f>
        <v/>
      </c>
      <c r="Q12" t="inlineStr">
        <is>
          <t>模组单价见规格单价表；箱体/电源见本册价目</t>
        </is>
      </c>
    </row>
    <row r="13">
      <c r="A13" t="inlineStr">
        <is>
          <t>2.5</t>
        </is>
      </c>
      <c r="B13" t="inlineStr">
        <is>
          <t>镀锌钢板箱体含包边</t>
        </is>
      </c>
      <c r="C13" t="inlineStr">
        <is>
          <t>1m</t>
        </is>
      </c>
      <c r="D13" t="inlineStr">
        <is>
          <t>310F5
/1R1G</t>
        </is>
      </c>
      <c r="E13" t="n">
        <v>8</v>
      </c>
      <c r="F13">
        <f>F9</f>
        <v/>
      </c>
      <c r="G13">
        <f>E13*F13</f>
        <v/>
      </c>
      <c r="H13">
        <f>H5</f>
        <v/>
      </c>
      <c r="I13">
        <f>I12</f>
        <v/>
      </c>
      <c r="J13">
        <f>J12</f>
        <v/>
      </c>
      <c r="K13">
        <f>J13*I13</f>
        <v/>
      </c>
      <c r="L13">
        <f>L5</f>
        <v/>
      </c>
      <c r="M13">
        <f>M5</f>
        <v/>
      </c>
      <c r="N13">
        <f>N5</f>
        <v/>
      </c>
      <c r="O13">
        <f>O5</f>
        <v/>
      </c>
      <c r="P13">
        <f>G13+H13+K13+L13+M13+N13+O13</f>
        <v/>
      </c>
      <c r="Q13" t="inlineStr">
        <is>
          <t>模组单价见规格单价表；箱体/电源见本册价目</t>
        </is>
      </c>
    </row>
    <row r="14">
      <c r="A14" t="inlineStr">
        <is>
          <t>2.6</t>
        </is>
      </c>
      <c r="D14" t="inlineStr">
        <is>
          <t>310F5
/1R1G1B</t>
        </is>
      </c>
      <c r="E14" t="n">
        <v>8</v>
      </c>
      <c r="F14">
        <f>F10</f>
        <v/>
      </c>
      <c r="G14">
        <f>E14*F14</f>
        <v/>
      </c>
      <c r="H14">
        <f>H13</f>
        <v/>
      </c>
      <c r="I14">
        <f>I13</f>
        <v/>
      </c>
      <c r="J14">
        <f>J13</f>
        <v/>
      </c>
      <c r="K14">
        <f>J14*I14</f>
        <v/>
      </c>
      <c r="L14">
        <f>L13</f>
        <v/>
      </c>
      <c r="M14">
        <f>M13</f>
        <v/>
      </c>
      <c r="N14">
        <f>N13</f>
        <v/>
      </c>
      <c r="O14">
        <f>O13</f>
        <v/>
      </c>
      <c r="P14">
        <f>G14+H14+K14+L14+M14+N14+O14</f>
        <v/>
      </c>
      <c r="Q14" t="inlineStr">
        <is>
          <t>模组单价见规格单价表；箱体/电源见本册价目</t>
        </is>
      </c>
    </row>
    <row r="15">
      <c r="A15" t="inlineStr">
        <is>
          <t>2.7</t>
        </is>
      </c>
      <c r="D15" t="inlineStr">
        <is>
          <t>310F5
/2R1G</t>
        </is>
      </c>
      <c r="E15" t="n">
        <v>8</v>
      </c>
      <c r="F15">
        <f>F11</f>
        <v/>
      </c>
      <c r="G15">
        <f>E15*F15</f>
        <v/>
      </c>
      <c r="H15">
        <f>H14</f>
        <v/>
      </c>
      <c r="I15">
        <f>I14</f>
        <v/>
      </c>
      <c r="J15">
        <f>J14</f>
        <v/>
      </c>
      <c r="K15">
        <f>J15*I15</f>
        <v/>
      </c>
      <c r="L15">
        <f>L14</f>
        <v/>
      </c>
      <c r="M15">
        <f>M14</f>
        <v/>
      </c>
      <c r="N15">
        <f>N14</f>
        <v/>
      </c>
      <c r="O15">
        <f>O14</f>
        <v/>
      </c>
      <c r="P15">
        <f>G15+H15+K15+L15+M15+N15+O15</f>
        <v/>
      </c>
      <c r="Q15" t="inlineStr">
        <is>
          <t>模组单价见规格单价表；箱体/电源见本册价目</t>
        </is>
      </c>
    </row>
    <row r="16">
      <c r="A16" t="inlineStr">
        <is>
          <t>2.8</t>
        </is>
      </c>
      <c r="D16" t="inlineStr">
        <is>
          <t>310F5
/2R1G1B</t>
        </is>
      </c>
      <c r="E16">
        <f>E13</f>
        <v/>
      </c>
      <c r="F16">
        <f>F12</f>
        <v/>
      </c>
      <c r="G16">
        <f>E16*F16</f>
        <v/>
      </c>
      <c r="H16">
        <f>H15</f>
        <v/>
      </c>
      <c r="I16">
        <f>I15</f>
        <v/>
      </c>
      <c r="J16">
        <f>J15</f>
        <v/>
      </c>
      <c r="K16">
        <f>J16*I16</f>
        <v/>
      </c>
      <c r="L16">
        <f>L15</f>
        <v/>
      </c>
      <c r="M16">
        <f>M15</f>
        <v/>
      </c>
      <c r="N16">
        <f>N15</f>
        <v/>
      </c>
      <c r="O16">
        <f>O15</f>
        <v/>
      </c>
      <c r="P16">
        <f>G16+H16+K16+L16+M16+N16+O16</f>
        <v/>
      </c>
      <c r="Q16" t="inlineStr">
        <is>
          <t>模组单价见规格单价表；箱体/电源见本册价目</t>
        </is>
      </c>
    </row>
    <row r="17">
      <c r="A17" t="inlineStr">
        <is>
          <t>P20.833情报板屏单价(1㎡单价)</t>
        </is>
      </c>
    </row>
    <row r="18">
      <c r="A18" t="inlineStr">
        <is>
          <t>序号</t>
        </is>
      </c>
      <c r="B18" t="inlineStr">
        <is>
          <t>材料</t>
        </is>
      </c>
      <c r="C18" t="inlineStr">
        <is>
          <t>高度屏体安装高度</t>
        </is>
      </c>
      <c r="D18" t="inlineStr">
        <is>
          <t>灯珠</t>
        </is>
      </c>
      <c r="E18" t="inlineStr">
        <is>
          <t>1㎡模组数量</t>
        </is>
      </c>
      <c r="F18" t="inlineStr">
        <is>
          <t>模组单价</t>
        </is>
      </c>
      <c r="G18" t="inlineStr">
        <is>
          <t>1㎡模组价格合计</t>
        </is>
      </c>
      <c r="H18" t="inlineStr">
        <is>
          <t>箱体单价</t>
        </is>
      </c>
      <c r="I18" t="inlineStr">
        <is>
          <t>常规电源数量</t>
        </is>
      </c>
      <c r="J18" t="inlineStr">
        <is>
          <t>电源单价</t>
        </is>
      </c>
      <c r="K18" t="inlineStr">
        <is>
          <t>电源合计</t>
        </is>
      </c>
      <c r="L18" t="inlineStr">
        <is>
          <t>安装支架（选配）</t>
        </is>
      </c>
      <c r="M18" t="inlineStr">
        <is>
          <t>安装抱箍和螺钉</t>
        </is>
      </c>
      <c r="N18" t="inlineStr">
        <is>
          <t>包材</t>
        </is>
      </c>
      <c r="O18" t="inlineStr">
        <is>
          <t>辅材</t>
        </is>
      </c>
      <c r="P18" t="inlineStr">
        <is>
          <t>总计</t>
        </is>
      </c>
      <c r="Q18" t="inlineStr">
        <is>
          <t>备注</t>
        </is>
      </c>
    </row>
    <row r="19">
      <c r="A19" t="inlineStr">
        <is>
          <t>3.1</t>
        </is>
      </c>
      <c r="B19" t="inlineStr">
        <is>
          <t>压铸铝箱体不含包边（含包边加110元/㎡）</t>
        </is>
      </c>
      <c r="C19" t="inlineStr">
        <is>
          <t>1m</t>
        </is>
      </c>
      <c r="D19" t="inlineStr">
        <is>
          <t>310F5
/1R1G1B</t>
        </is>
      </c>
      <c r="E19" t="n">
        <v>8</v>
      </c>
      <c r="G19">
        <f>E19*F19</f>
        <v/>
      </c>
      <c r="H19">
        <f>H3</f>
        <v/>
      </c>
      <c r="I19" t="n">
        <v>2</v>
      </c>
      <c r="J19">
        <f>电源!G10</f>
        <v/>
      </c>
      <c r="K19">
        <f>J19*I19</f>
        <v/>
      </c>
      <c r="L19">
        <f>L3</f>
        <v/>
      </c>
      <c r="M19">
        <f>M3</f>
        <v/>
      </c>
      <c r="N19">
        <f>N3</f>
        <v/>
      </c>
      <c r="O19">
        <f>O3</f>
        <v/>
      </c>
      <c r="P19">
        <f>G19+H19+K19+L19+M19+N19+O19</f>
        <v/>
      </c>
      <c r="Q19" t="inlineStr">
        <is>
          <t>模组单价见规格单价表；箱体/电源见本册价目</t>
        </is>
      </c>
    </row>
    <row r="20">
      <c r="A20" t="inlineStr">
        <is>
          <t>3.2</t>
        </is>
      </c>
      <c r="D20" t="inlineStr">
        <is>
          <t>310F5
/2R1G</t>
        </is>
      </c>
      <c r="E20">
        <f>E19</f>
        <v/>
      </c>
      <c r="G20">
        <f>E20*F20</f>
        <v/>
      </c>
      <c r="H20">
        <f>H19</f>
        <v/>
      </c>
      <c r="I20">
        <f>I19</f>
        <v/>
      </c>
      <c r="J20">
        <f>J19</f>
        <v/>
      </c>
      <c r="K20">
        <f>J20*I20</f>
        <v/>
      </c>
      <c r="L20">
        <f>L19</f>
        <v/>
      </c>
      <c r="M20">
        <f>M19</f>
        <v/>
      </c>
      <c r="N20">
        <f>N19</f>
        <v/>
      </c>
      <c r="O20">
        <f>O19</f>
        <v/>
      </c>
      <c r="P20">
        <f>G20+H20+K20+L20+M20+N20+O20</f>
        <v/>
      </c>
      <c r="Q20" t="inlineStr">
        <is>
          <t>模组单价见规格单价表；箱体/电源见本册价目</t>
        </is>
      </c>
    </row>
    <row r="21">
      <c r="A21" t="inlineStr">
        <is>
          <t>3.3</t>
        </is>
      </c>
      <c r="D21" t="inlineStr">
        <is>
          <t>310F5
/2R1G1B</t>
        </is>
      </c>
      <c r="E21">
        <f>E20</f>
        <v/>
      </c>
      <c r="G21">
        <f>E21*F21</f>
        <v/>
      </c>
      <c r="H21">
        <f>H20</f>
        <v/>
      </c>
      <c r="I21">
        <f>I20</f>
        <v/>
      </c>
      <c r="J21">
        <f>J20</f>
        <v/>
      </c>
      <c r="K21">
        <f>J21*I21</f>
        <v/>
      </c>
      <c r="L21">
        <f>L20</f>
        <v/>
      </c>
      <c r="M21">
        <f>M20</f>
        <v/>
      </c>
      <c r="N21">
        <f>N20</f>
        <v/>
      </c>
      <c r="O21">
        <f>O20</f>
        <v/>
      </c>
      <c r="P21">
        <f>G21+H21+K21+L21+M21+N21+O21</f>
        <v/>
      </c>
      <c r="Q21" t="inlineStr">
        <is>
          <t>模组单价见规格单价表；箱体/电源见本册价目</t>
        </is>
      </c>
    </row>
    <row r="22">
      <c r="A22" t="inlineStr">
        <is>
          <t>3.4</t>
        </is>
      </c>
      <c r="B22" t="inlineStr">
        <is>
          <t>镀锌钢板箱体含包边</t>
        </is>
      </c>
      <c r="C22" t="inlineStr">
        <is>
          <t>1m</t>
        </is>
      </c>
      <c r="D22" t="inlineStr">
        <is>
          <t>310F5
/1R1G1B</t>
        </is>
      </c>
      <c r="E22">
        <f>E21</f>
        <v/>
      </c>
      <c r="F22">
        <f>F19</f>
        <v/>
      </c>
      <c r="G22">
        <f>E22*F22</f>
        <v/>
      </c>
      <c r="H22">
        <f>H5</f>
        <v/>
      </c>
      <c r="I22">
        <f>I21</f>
        <v/>
      </c>
      <c r="J22">
        <f>J21</f>
        <v/>
      </c>
      <c r="K22">
        <f>J22*I22</f>
        <v/>
      </c>
      <c r="L22">
        <f>L5</f>
        <v/>
      </c>
      <c r="M22">
        <f>M5</f>
        <v/>
      </c>
      <c r="N22">
        <f>N5</f>
        <v/>
      </c>
      <c r="O22">
        <f>O5</f>
        <v/>
      </c>
      <c r="P22">
        <f>G22+H22+K22+L22+M22+N22+O22</f>
        <v/>
      </c>
      <c r="Q22" t="inlineStr">
        <is>
          <t>模组单价见规格单价表；箱体/电源见本册价目</t>
        </is>
      </c>
    </row>
    <row r="23">
      <c r="A23" t="inlineStr">
        <is>
          <t>3.5</t>
        </is>
      </c>
      <c r="D23" t="inlineStr">
        <is>
          <t>310F5
/2R1G</t>
        </is>
      </c>
      <c r="E23">
        <f>E22</f>
        <v/>
      </c>
      <c r="F23">
        <f>F20</f>
        <v/>
      </c>
      <c r="G23">
        <f>E23*F23</f>
        <v/>
      </c>
      <c r="H23">
        <f>H22</f>
        <v/>
      </c>
      <c r="I23">
        <f>I22</f>
        <v/>
      </c>
      <c r="J23">
        <f>J22</f>
        <v/>
      </c>
      <c r="K23">
        <f>J23*I23</f>
        <v/>
      </c>
      <c r="L23">
        <f>L22</f>
        <v/>
      </c>
      <c r="M23">
        <f>M22</f>
        <v/>
      </c>
      <c r="N23">
        <f>N22</f>
        <v/>
      </c>
      <c r="O23">
        <f>O22</f>
        <v/>
      </c>
      <c r="P23">
        <f>G23+H23+K23+L23+M23+N23+O23</f>
        <v/>
      </c>
      <c r="Q23" t="inlineStr">
        <is>
          <t>模组单价见规格单价表；箱体/电源见本册价目</t>
        </is>
      </c>
    </row>
    <row r="24">
      <c r="A24" t="inlineStr">
        <is>
          <t>3.6</t>
        </is>
      </c>
      <c r="D24" t="inlineStr">
        <is>
          <t>310F5
/2R1G1B</t>
        </is>
      </c>
      <c r="E24">
        <f>E23</f>
        <v/>
      </c>
      <c r="F24">
        <f>F21</f>
        <v/>
      </c>
      <c r="G24">
        <f>E24*F24</f>
        <v/>
      </c>
      <c r="H24">
        <f>H23</f>
        <v/>
      </c>
      <c r="I24">
        <f>I23</f>
        <v/>
      </c>
      <c r="J24">
        <f>J23</f>
        <v/>
      </c>
      <c r="K24">
        <f>J24*I24</f>
        <v/>
      </c>
      <c r="L24">
        <f>L23</f>
        <v/>
      </c>
      <c r="M24">
        <f>M23</f>
        <v/>
      </c>
      <c r="N24">
        <f>N23</f>
        <v/>
      </c>
      <c r="O24">
        <f>O23</f>
        <v/>
      </c>
      <c r="P24">
        <f>G24+H24+K24+L24+M24+N24+O24</f>
        <v/>
      </c>
      <c r="Q24" t="inlineStr">
        <is>
          <t>模组单价见规格单价表；箱体/电源见本册价目</t>
        </is>
      </c>
    </row>
    <row r="25">
      <c r="A25" t="inlineStr">
        <is>
          <t>P25情报板屏单价(1㎡单价)</t>
        </is>
      </c>
    </row>
    <row r="26">
      <c r="A26" t="inlineStr">
        <is>
          <t>序号</t>
        </is>
      </c>
      <c r="B26" t="inlineStr">
        <is>
          <t>材料</t>
        </is>
      </c>
      <c r="C26" t="inlineStr">
        <is>
          <t>高度屏体安装高度</t>
        </is>
      </c>
      <c r="D26" t="inlineStr">
        <is>
          <t>灯珠</t>
        </is>
      </c>
      <c r="E26" t="inlineStr">
        <is>
          <t>1㎡模组数量</t>
        </is>
      </c>
      <c r="F26" t="inlineStr">
        <is>
          <t>模组单价</t>
        </is>
      </c>
      <c r="G26" t="inlineStr">
        <is>
          <t>1㎡模组价格合计</t>
        </is>
      </c>
      <c r="H26" t="inlineStr">
        <is>
          <t>箱体单价</t>
        </is>
      </c>
      <c r="I26" t="inlineStr">
        <is>
          <t>常规电源数量</t>
        </is>
      </c>
      <c r="J26" t="inlineStr">
        <is>
          <t>电源单价</t>
        </is>
      </c>
      <c r="K26" t="inlineStr">
        <is>
          <t>电源合计</t>
        </is>
      </c>
      <c r="L26" t="inlineStr">
        <is>
          <t>安装支架（选配）</t>
        </is>
      </c>
      <c r="M26" t="inlineStr">
        <is>
          <t>安装抱箍和螺钉</t>
        </is>
      </c>
      <c r="N26" t="inlineStr">
        <is>
          <t>包材</t>
        </is>
      </c>
      <c r="O26" t="inlineStr">
        <is>
          <t>辅材</t>
        </is>
      </c>
      <c r="P26" t="inlineStr">
        <is>
          <t>总计</t>
        </is>
      </c>
      <c r="Q26" t="inlineStr">
        <is>
          <t>备注</t>
        </is>
      </c>
    </row>
    <row r="27">
      <c r="A27" t="inlineStr">
        <is>
          <t>4.1</t>
        </is>
      </c>
      <c r="B27" t="inlineStr">
        <is>
          <t>压铸铝箱体不含包边（含包边加110元/㎡）</t>
        </is>
      </c>
      <c r="C27" t="inlineStr">
        <is>
          <t>1m</t>
        </is>
      </c>
      <c r="D27" t="inlineStr">
        <is>
          <t>310F5
/2R1G</t>
        </is>
      </c>
      <c r="E27" t="n">
        <v>8</v>
      </c>
      <c r="G27">
        <f>E27*F27</f>
        <v/>
      </c>
      <c r="H27">
        <f>H3</f>
        <v/>
      </c>
      <c r="I27">
        <f>I3</f>
        <v/>
      </c>
      <c r="J27">
        <f>电源!G10</f>
        <v/>
      </c>
      <c r="K27">
        <f>K3</f>
        <v/>
      </c>
      <c r="L27">
        <f>L3</f>
        <v/>
      </c>
      <c r="M27">
        <f>M3</f>
        <v/>
      </c>
      <c r="N27">
        <f>N3</f>
        <v/>
      </c>
      <c r="O27">
        <f>O3</f>
        <v/>
      </c>
      <c r="P27">
        <f>G27+H27+K27+L27+M27+N27+O27</f>
        <v/>
      </c>
      <c r="Q27" t="inlineStr">
        <is>
          <t>模组单价见规格单价表；箱体/电源见本册价目</t>
        </is>
      </c>
    </row>
    <row r="28">
      <c r="A28" t="inlineStr">
        <is>
          <t>4.2</t>
        </is>
      </c>
      <c r="D28" t="inlineStr">
        <is>
          <t>310F5
/2R1G1B</t>
        </is>
      </c>
      <c r="E28">
        <f>E27</f>
        <v/>
      </c>
      <c r="G28">
        <f>E28*F28</f>
        <v/>
      </c>
      <c r="H28">
        <f>H27</f>
        <v/>
      </c>
      <c r="I28">
        <f>I27</f>
        <v/>
      </c>
      <c r="J28">
        <f>J27</f>
        <v/>
      </c>
      <c r="K28">
        <f>J28*I28</f>
        <v/>
      </c>
      <c r="L28">
        <f>L27</f>
        <v/>
      </c>
      <c r="M28">
        <f>M27</f>
        <v/>
      </c>
      <c r="N28">
        <f>N27</f>
        <v/>
      </c>
      <c r="O28">
        <f>O27</f>
        <v/>
      </c>
      <c r="P28">
        <f>G28+H28+K28+L28+M28+N28+O28</f>
        <v/>
      </c>
      <c r="Q28" t="inlineStr">
        <is>
          <t>模组单价见规格单价表；箱体/电源见本册价目</t>
        </is>
      </c>
    </row>
    <row r="29">
      <c r="A29" t="inlineStr">
        <is>
          <t>4.3</t>
        </is>
      </c>
      <c r="D29" t="inlineStr">
        <is>
          <t>310F5
/3R2G</t>
        </is>
      </c>
      <c r="E29">
        <f>E28</f>
        <v/>
      </c>
      <c r="G29">
        <f>E29*F29</f>
        <v/>
      </c>
      <c r="H29">
        <f>H28</f>
        <v/>
      </c>
      <c r="I29">
        <f>I28</f>
        <v/>
      </c>
      <c r="J29">
        <f>J28</f>
        <v/>
      </c>
      <c r="K29">
        <f>J29*I29</f>
        <v/>
      </c>
      <c r="L29">
        <f>L28</f>
        <v/>
      </c>
      <c r="M29">
        <f>M28</f>
        <v/>
      </c>
      <c r="N29">
        <f>N28</f>
        <v/>
      </c>
      <c r="O29">
        <f>O28</f>
        <v/>
      </c>
      <c r="P29">
        <f>G29+H29+K29+L29+M29+N29+O29</f>
        <v/>
      </c>
      <c r="Q29" t="inlineStr">
        <is>
          <t>模组单价见规格单价表；箱体/电源见本册价目</t>
        </is>
      </c>
    </row>
    <row r="30">
      <c r="A30" t="inlineStr">
        <is>
          <t>4.4</t>
        </is>
      </c>
      <c r="D30" t="inlineStr">
        <is>
          <t>310F5
/3R2G1B</t>
        </is>
      </c>
      <c r="E30">
        <f>E29</f>
        <v/>
      </c>
      <c r="G30">
        <f>E30*F30</f>
        <v/>
      </c>
      <c r="H30">
        <f>H29</f>
        <v/>
      </c>
      <c r="I30">
        <f>I29</f>
        <v/>
      </c>
      <c r="J30">
        <f>J29</f>
        <v/>
      </c>
      <c r="K30">
        <f>J30*I30</f>
        <v/>
      </c>
      <c r="L30">
        <f>L29</f>
        <v/>
      </c>
      <c r="M30">
        <f>M29</f>
        <v/>
      </c>
      <c r="N30">
        <f>N29</f>
        <v/>
      </c>
      <c r="O30">
        <f>O29</f>
        <v/>
      </c>
      <c r="P30">
        <f>G30+H30+K30+L30+M30+N30+O30</f>
        <v/>
      </c>
      <c r="Q30" t="inlineStr">
        <is>
          <t>模组单价见规格单价表；箱体/电源见本册价目</t>
        </is>
      </c>
    </row>
    <row r="31">
      <c r="A31" t="inlineStr">
        <is>
          <t>4.5</t>
        </is>
      </c>
      <c r="D31" t="inlineStr">
        <is>
          <t>310F5
/4R2G</t>
        </is>
      </c>
      <c r="E31">
        <f>E30</f>
        <v/>
      </c>
      <c r="G31">
        <f>E31*F31</f>
        <v/>
      </c>
      <c r="H31">
        <f>H30</f>
        <v/>
      </c>
      <c r="I31">
        <f>I30</f>
        <v/>
      </c>
      <c r="J31">
        <f>J30</f>
        <v/>
      </c>
      <c r="K31">
        <f>J31*I31</f>
        <v/>
      </c>
      <c r="L31">
        <f>L30</f>
        <v/>
      </c>
      <c r="M31">
        <f>M30</f>
        <v/>
      </c>
      <c r="N31">
        <f>N30</f>
        <v/>
      </c>
      <c r="O31">
        <f>O30</f>
        <v/>
      </c>
      <c r="P31">
        <f>G31+H31+K31+L31+M31+N31+O31</f>
        <v/>
      </c>
      <c r="Q31" t="inlineStr">
        <is>
          <t>模组单价见规格单价表；箱体/电源见本册价目</t>
        </is>
      </c>
    </row>
    <row r="32">
      <c r="A32" t="inlineStr">
        <is>
          <t>4.6</t>
        </is>
      </c>
      <c r="B32" t="inlineStr">
        <is>
          <t>镀锌钢板箱体含包边</t>
        </is>
      </c>
      <c r="C32" t="inlineStr">
        <is>
          <t>1m</t>
        </is>
      </c>
      <c r="D32" t="inlineStr">
        <is>
          <t>310F5
/2R1G</t>
        </is>
      </c>
      <c r="E32" t="n">
        <v>8</v>
      </c>
      <c r="F32">
        <f>F27</f>
        <v/>
      </c>
      <c r="G32">
        <f>E32*F32</f>
        <v/>
      </c>
      <c r="H32">
        <f>H5</f>
        <v/>
      </c>
      <c r="I32">
        <f>I5</f>
        <v/>
      </c>
      <c r="J32">
        <f>电源!G10</f>
        <v/>
      </c>
      <c r="K32">
        <f>K5</f>
        <v/>
      </c>
      <c r="L32">
        <f>L5</f>
        <v/>
      </c>
      <c r="M32">
        <f>M5</f>
        <v/>
      </c>
      <c r="N32">
        <f>N5</f>
        <v/>
      </c>
      <c r="O32">
        <f>O5</f>
        <v/>
      </c>
      <c r="P32">
        <f>G32+H32+K32+L32+M32+N32+O32</f>
        <v/>
      </c>
      <c r="Q32" t="inlineStr">
        <is>
          <t>模组单价见规格单价表；箱体/电源见本册价目</t>
        </is>
      </c>
    </row>
    <row r="33">
      <c r="A33" t="inlineStr">
        <is>
          <t>4.7</t>
        </is>
      </c>
      <c r="D33" t="inlineStr">
        <is>
          <t>310F5
/2R1G1B</t>
        </is>
      </c>
      <c r="E33">
        <f>E32</f>
        <v/>
      </c>
      <c r="F33">
        <f>F28</f>
        <v/>
      </c>
      <c r="G33">
        <f>E33*F33</f>
        <v/>
      </c>
      <c r="H33">
        <f>H32</f>
        <v/>
      </c>
      <c r="I33">
        <f>I32</f>
        <v/>
      </c>
      <c r="J33">
        <f>J32</f>
        <v/>
      </c>
      <c r="K33">
        <f>J33*I33</f>
        <v/>
      </c>
      <c r="L33">
        <f>L32</f>
        <v/>
      </c>
      <c r="M33">
        <f>M32</f>
        <v/>
      </c>
      <c r="N33">
        <f>N32</f>
        <v/>
      </c>
      <c r="O33">
        <f>O32</f>
        <v/>
      </c>
      <c r="P33">
        <f>G33+H33+K33+L33+M33+N33+O33</f>
        <v/>
      </c>
      <c r="Q33" t="inlineStr">
        <is>
          <t>模组单价见规格单价表；箱体/电源见本册价目</t>
        </is>
      </c>
    </row>
    <row r="34">
      <c r="A34" t="inlineStr">
        <is>
          <t>4.8</t>
        </is>
      </c>
      <c r="D34" t="inlineStr">
        <is>
          <t>310F5
/3R2G</t>
        </is>
      </c>
      <c r="E34">
        <f>E33</f>
        <v/>
      </c>
      <c r="F34">
        <f>F29</f>
        <v/>
      </c>
      <c r="G34">
        <f>E34*F34</f>
        <v/>
      </c>
      <c r="H34">
        <f>H33</f>
        <v/>
      </c>
      <c r="I34">
        <f>I33</f>
        <v/>
      </c>
      <c r="J34">
        <f>J33</f>
        <v/>
      </c>
      <c r="K34">
        <f>J34*I34</f>
        <v/>
      </c>
      <c r="L34">
        <f>L33</f>
        <v/>
      </c>
      <c r="M34">
        <f>M33</f>
        <v/>
      </c>
      <c r="N34">
        <f>N33</f>
        <v/>
      </c>
      <c r="O34">
        <f>O33</f>
        <v/>
      </c>
      <c r="P34">
        <f>G34+H34+K34+L34+M34+N34+O34</f>
        <v/>
      </c>
      <c r="Q34" t="inlineStr">
        <is>
          <t>模组单价见规格单价表；箱体/电源见本册价目</t>
        </is>
      </c>
    </row>
    <row r="35">
      <c r="A35" t="inlineStr">
        <is>
          <t>4.9</t>
        </is>
      </c>
      <c r="D35" t="inlineStr">
        <is>
          <t>310F5
/3R2G1B</t>
        </is>
      </c>
      <c r="E35">
        <f>E34</f>
        <v/>
      </c>
      <c r="F35">
        <f>F30</f>
        <v/>
      </c>
      <c r="G35">
        <f>E35*F35</f>
        <v/>
      </c>
      <c r="H35">
        <f>H34</f>
        <v/>
      </c>
      <c r="I35">
        <f>I34</f>
        <v/>
      </c>
      <c r="J35">
        <f>J34</f>
        <v/>
      </c>
      <c r="K35">
        <f>J35*I35</f>
        <v/>
      </c>
      <c r="L35">
        <f>L34</f>
        <v/>
      </c>
      <c r="M35">
        <f>M34</f>
        <v/>
      </c>
      <c r="N35">
        <f>N34</f>
        <v/>
      </c>
      <c r="O35">
        <f>O34</f>
        <v/>
      </c>
      <c r="P35">
        <f>G35+H35+K35+L35+M35+N35+O35</f>
        <v/>
      </c>
      <c r="Q35" t="inlineStr">
        <is>
          <t>模组单价见规格单价表；箱体/电源见本册价目</t>
        </is>
      </c>
    </row>
    <row r="36">
      <c r="A36" t="inlineStr">
        <is>
          <t>4.10</t>
        </is>
      </c>
      <c r="D36" t="inlineStr">
        <is>
          <t>310F5
/4R2G</t>
        </is>
      </c>
      <c r="E36">
        <f>E35</f>
        <v/>
      </c>
      <c r="F36">
        <f>F31</f>
        <v/>
      </c>
      <c r="G36">
        <f>E36*F36</f>
        <v/>
      </c>
      <c r="H36">
        <f>H35</f>
        <v/>
      </c>
      <c r="I36">
        <f>I35</f>
        <v/>
      </c>
      <c r="J36">
        <f>J35</f>
        <v/>
      </c>
      <c r="K36">
        <f>J36*I36</f>
        <v/>
      </c>
      <c r="L36">
        <f>L35</f>
        <v/>
      </c>
      <c r="M36">
        <f>M35</f>
        <v/>
      </c>
      <c r="N36">
        <f>N35</f>
        <v/>
      </c>
      <c r="O36">
        <f>O35</f>
        <v/>
      </c>
      <c r="P36">
        <f>G36+H36+K36+L36+M36+N36+O36</f>
        <v/>
      </c>
      <c r="Q36" t="inlineStr">
        <is>
          <t>模组单价见规格单价表；箱体/电源见本册价目</t>
        </is>
      </c>
    </row>
    <row r="37">
      <c r="A37" t="inlineStr">
        <is>
          <t>P31.25情报板屏单价(1㎡单价)</t>
        </is>
      </c>
    </row>
    <row r="38">
      <c r="A38" t="inlineStr">
        <is>
          <t>序号</t>
        </is>
      </c>
      <c r="B38" t="inlineStr">
        <is>
          <t>材料</t>
        </is>
      </c>
      <c r="C38" t="inlineStr">
        <is>
          <t>高度屏体安装高度</t>
        </is>
      </c>
      <c r="D38" t="inlineStr">
        <is>
          <t>灯珠</t>
        </is>
      </c>
      <c r="E38" t="inlineStr">
        <is>
          <t>1㎡模组数量</t>
        </is>
      </c>
      <c r="F38" t="inlineStr">
        <is>
          <t>模组单价</t>
        </is>
      </c>
      <c r="G38" t="inlineStr">
        <is>
          <t>1㎡模组价格合计</t>
        </is>
      </c>
      <c r="H38" t="inlineStr">
        <is>
          <t>箱体单价</t>
        </is>
      </c>
      <c r="I38" t="inlineStr">
        <is>
          <t>常规电源数量</t>
        </is>
      </c>
      <c r="J38" t="inlineStr">
        <is>
          <t>电源单价</t>
        </is>
      </c>
      <c r="K38" t="inlineStr">
        <is>
          <t>电源合计</t>
        </is>
      </c>
      <c r="L38" t="inlineStr">
        <is>
          <t>安装支架（选配）</t>
        </is>
      </c>
      <c r="M38" t="inlineStr">
        <is>
          <t>安装抱箍和螺钉</t>
        </is>
      </c>
      <c r="N38" t="inlineStr">
        <is>
          <t>包材</t>
        </is>
      </c>
      <c r="O38" t="inlineStr">
        <is>
          <t>辅材</t>
        </is>
      </c>
      <c r="P38" t="inlineStr">
        <is>
          <t>总计</t>
        </is>
      </c>
      <c r="Q38" t="inlineStr">
        <is>
          <t>备注</t>
        </is>
      </c>
    </row>
    <row r="39">
      <c r="A39" t="inlineStr">
        <is>
          <t>5.1</t>
        </is>
      </c>
      <c r="B39" t="inlineStr">
        <is>
          <t>压铸铝箱体不含包边（含包边加110元/㎡）</t>
        </is>
      </c>
      <c r="C39" t="inlineStr">
        <is>
          <t>1m</t>
        </is>
      </c>
      <c r="D39" t="inlineStr">
        <is>
          <t>310F5
/2R1G</t>
        </is>
      </c>
      <c r="E39" t="n">
        <v>8</v>
      </c>
      <c r="G39">
        <f>E39*F39</f>
        <v/>
      </c>
      <c r="H39">
        <f>H3</f>
        <v/>
      </c>
      <c r="I39">
        <f>I3</f>
        <v/>
      </c>
      <c r="J39">
        <f>电源!G10</f>
        <v/>
      </c>
      <c r="K39">
        <f>K3</f>
        <v/>
      </c>
      <c r="L39">
        <f>L3</f>
        <v/>
      </c>
      <c r="M39">
        <f>M3</f>
        <v/>
      </c>
      <c r="N39">
        <f>N3</f>
        <v/>
      </c>
      <c r="O39">
        <f>O3</f>
        <v/>
      </c>
      <c r="P39">
        <f>G39+H39+K39+L39+M39+N39+O39</f>
        <v/>
      </c>
      <c r="Q39" t="inlineStr">
        <is>
          <t>模组单价见规格单价表；箱体/电源见本册价目</t>
        </is>
      </c>
    </row>
    <row r="40">
      <c r="A40" t="inlineStr">
        <is>
          <t>5.2</t>
        </is>
      </c>
      <c r="D40" t="inlineStr">
        <is>
          <t>310F5
/2R1G1B</t>
        </is>
      </c>
      <c r="E40">
        <f>E39</f>
        <v/>
      </c>
      <c r="G40">
        <f>E40*F40</f>
        <v/>
      </c>
      <c r="H40">
        <f>H39</f>
        <v/>
      </c>
      <c r="I40">
        <f>I39</f>
        <v/>
      </c>
      <c r="J40">
        <f>J39</f>
        <v/>
      </c>
      <c r="K40">
        <f>J40*I40</f>
        <v/>
      </c>
      <c r="L40">
        <f>L39</f>
        <v/>
      </c>
      <c r="M40">
        <f>M39</f>
        <v/>
      </c>
      <c r="N40">
        <f>N39</f>
        <v/>
      </c>
      <c r="O40">
        <f>O39</f>
        <v/>
      </c>
      <c r="P40">
        <f>G40+H40+K40+L40+M40+N40+O40</f>
        <v/>
      </c>
      <c r="Q40" t="inlineStr">
        <is>
          <t>模组单价见规格单价表；箱体/电源见本册价目</t>
        </is>
      </c>
    </row>
    <row r="41">
      <c r="A41" t="inlineStr">
        <is>
          <t>5.3</t>
        </is>
      </c>
      <c r="D41" t="inlineStr">
        <is>
          <t>310F5
/3R2G</t>
        </is>
      </c>
      <c r="E41">
        <f>E40</f>
        <v/>
      </c>
      <c r="G41">
        <f>E41*F41</f>
        <v/>
      </c>
      <c r="H41">
        <f>H40</f>
        <v/>
      </c>
      <c r="I41">
        <f>I40</f>
        <v/>
      </c>
      <c r="J41">
        <f>J40</f>
        <v/>
      </c>
      <c r="K41">
        <f>J41*I41</f>
        <v/>
      </c>
      <c r="L41">
        <f>L40</f>
        <v/>
      </c>
      <c r="M41">
        <f>M40</f>
        <v/>
      </c>
      <c r="N41">
        <f>N40</f>
        <v/>
      </c>
      <c r="O41">
        <f>O40</f>
        <v/>
      </c>
      <c r="P41">
        <f>G41+H41+K41+L41+M41+N41+O41</f>
        <v/>
      </c>
      <c r="Q41" t="inlineStr">
        <is>
          <t>模组单价见规格单价表；箱体/电源见本册价目</t>
        </is>
      </c>
    </row>
    <row r="42">
      <c r="A42" t="inlineStr">
        <is>
          <t>5.4</t>
        </is>
      </c>
      <c r="D42" t="inlineStr">
        <is>
          <t>310F5
/3R2G1B</t>
        </is>
      </c>
      <c r="E42">
        <f>E41</f>
        <v/>
      </c>
      <c r="G42">
        <f>E42*F42</f>
        <v/>
      </c>
      <c r="H42">
        <f>H41</f>
        <v/>
      </c>
      <c r="I42">
        <f>I41</f>
        <v/>
      </c>
      <c r="J42">
        <f>J41</f>
        <v/>
      </c>
      <c r="K42">
        <f>J42*I42</f>
        <v/>
      </c>
      <c r="L42">
        <f>L41</f>
        <v/>
      </c>
      <c r="M42">
        <f>M41</f>
        <v/>
      </c>
      <c r="N42">
        <f>N41</f>
        <v/>
      </c>
      <c r="O42">
        <f>O41</f>
        <v/>
      </c>
      <c r="P42">
        <f>G42+H42+K42+L42+M42+N42+O42</f>
        <v/>
      </c>
      <c r="Q42" t="inlineStr">
        <is>
          <t>模组单价见规格单价表；箱体/电源见本册价目</t>
        </is>
      </c>
    </row>
    <row r="43">
      <c r="A43" t="inlineStr">
        <is>
          <t>5.5</t>
        </is>
      </c>
      <c r="D43" t="inlineStr">
        <is>
          <t>310F5
/4R2G</t>
        </is>
      </c>
      <c r="E43">
        <f>E42</f>
        <v/>
      </c>
      <c r="G43">
        <f>E43*F43</f>
        <v/>
      </c>
      <c r="H43">
        <f>H42</f>
        <v/>
      </c>
      <c r="I43">
        <f>I42</f>
        <v/>
      </c>
      <c r="J43">
        <f>J42</f>
        <v/>
      </c>
      <c r="K43">
        <f>J43*I43</f>
        <v/>
      </c>
      <c r="L43">
        <f>L42</f>
        <v/>
      </c>
      <c r="M43">
        <f>M42</f>
        <v/>
      </c>
      <c r="N43">
        <f>N42</f>
        <v/>
      </c>
      <c r="O43">
        <f>O42</f>
        <v/>
      </c>
      <c r="P43">
        <f>G43+H43+K43+L43+M43+N43+O43</f>
        <v/>
      </c>
      <c r="Q43" t="inlineStr">
        <is>
          <t>模组单价见规格单价表；箱体/电源见本册价目</t>
        </is>
      </c>
    </row>
    <row r="44">
      <c r="A44" t="inlineStr">
        <is>
          <t>5.6</t>
        </is>
      </c>
      <c r="D44" t="inlineStr">
        <is>
          <t>310F5
/4R2G1B</t>
        </is>
      </c>
      <c r="E44">
        <f>E42</f>
        <v/>
      </c>
      <c r="G44">
        <f>E44*F44</f>
        <v/>
      </c>
      <c r="H44">
        <f>H42</f>
        <v/>
      </c>
      <c r="I44">
        <f>I42</f>
        <v/>
      </c>
      <c r="J44">
        <f>J42</f>
        <v/>
      </c>
      <c r="K44">
        <f>J44*I44</f>
        <v/>
      </c>
      <c r="L44">
        <f>L42</f>
        <v/>
      </c>
      <c r="M44">
        <f>M42</f>
        <v/>
      </c>
      <c r="N44">
        <f>N42</f>
        <v/>
      </c>
      <c r="O44">
        <f>O42</f>
        <v/>
      </c>
      <c r="P44">
        <f>G44+H44+K44+L44+M44+N44+O44</f>
        <v/>
      </c>
      <c r="Q44" t="inlineStr">
        <is>
          <t>模组单价见规格单价表；箱体/电源见本册价目</t>
        </is>
      </c>
    </row>
    <row r="45">
      <c r="A45" t="inlineStr">
        <is>
          <t>5.7</t>
        </is>
      </c>
      <c r="B45" t="inlineStr">
        <is>
          <t>镀锌钢板箱体含包边</t>
        </is>
      </c>
      <c r="C45" t="inlineStr">
        <is>
          <t>1m</t>
        </is>
      </c>
      <c r="D45" t="inlineStr">
        <is>
          <t>310F5
/2R1G</t>
        </is>
      </c>
      <c r="E45" t="n">
        <v>8</v>
      </c>
      <c r="F45">
        <f>F39</f>
        <v/>
      </c>
      <c r="G45">
        <f>E45*F45</f>
        <v/>
      </c>
      <c r="H45">
        <f>H5</f>
        <v/>
      </c>
      <c r="I45">
        <f>I5</f>
        <v/>
      </c>
      <c r="J45">
        <f>电源!G10</f>
        <v/>
      </c>
      <c r="K45">
        <f>K5</f>
        <v/>
      </c>
      <c r="L45">
        <f>L5</f>
        <v/>
      </c>
      <c r="M45">
        <f>M5</f>
        <v/>
      </c>
      <c r="N45">
        <f>N5</f>
        <v/>
      </c>
      <c r="O45">
        <f>O5</f>
        <v/>
      </c>
      <c r="P45">
        <f>G45+H45+K45+L45+M45+N45+O45</f>
        <v/>
      </c>
      <c r="Q45" t="inlineStr">
        <is>
          <t>模组单价见规格单价表；箱体/电源见本册价目</t>
        </is>
      </c>
    </row>
    <row r="46">
      <c r="A46" t="inlineStr">
        <is>
          <t>5.8</t>
        </is>
      </c>
      <c r="D46" t="inlineStr">
        <is>
          <t>310F5
/2R1G1B</t>
        </is>
      </c>
      <c r="E46">
        <f>E45</f>
        <v/>
      </c>
      <c r="F46">
        <f>F40</f>
        <v/>
      </c>
      <c r="G46">
        <f>E46*F46</f>
        <v/>
      </c>
      <c r="H46">
        <f>H45</f>
        <v/>
      </c>
      <c r="I46">
        <f>I45</f>
        <v/>
      </c>
      <c r="J46">
        <f>J45</f>
        <v/>
      </c>
      <c r="K46">
        <f>J46*I46</f>
        <v/>
      </c>
      <c r="L46">
        <f>L45</f>
        <v/>
      </c>
      <c r="M46">
        <f>M45</f>
        <v/>
      </c>
      <c r="N46">
        <f>N45</f>
        <v/>
      </c>
      <c r="O46">
        <f>O45</f>
        <v/>
      </c>
      <c r="P46">
        <f>G46+H46+K46+L46+M46+N46+O46</f>
        <v/>
      </c>
      <c r="Q46" t="inlineStr">
        <is>
          <t>模组单价见规格单价表；箱体/电源见本册价目</t>
        </is>
      </c>
    </row>
    <row r="47">
      <c r="A47" t="inlineStr">
        <is>
          <t>5.9</t>
        </is>
      </c>
      <c r="D47" t="inlineStr">
        <is>
          <t>310F5
/3R2G</t>
        </is>
      </c>
      <c r="E47">
        <f>E46</f>
        <v/>
      </c>
      <c r="F47">
        <f>F41</f>
        <v/>
      </c>
      <c r="G47">
        <f>E47*F47</f>
        <v/>
      </c>
      <c r="H47">
        <f>H46</f>
        <v/>
      </c>
      <c r="I47">
        <f>I46</f>
        <v/>
      </c>
      <c r="J47">
        <f>J46</f>
        <v/>
      </c>
      <c r="K47">
        <f>J47*I47</f>
        <v/>
      </c>
      <c r="L47">
        <f>L46</f>
        <v/>
      </c>
      <c r="M47">
        <f>M46</f>
        <v/>
      </c>
      <c r="N47">
        <f>N46</f>
        <v/>
      </c>
      <c r="O47">
        <f>O46</f>
        <v/>
      </c>
      <c r="P47">
        <f>G47+H47+K47+L47+M47+N47+O47</f>
        <v/>
      </c>
      <c r="Q47" t="inlineStr">
        <is>
          <t>模组单价见规格单价表；箱体/电源见本册价目</t>
        </is>
      </c>
    </row>
    <row r="48">
      <c r="A48" t="inlineStr">
        <is>
          <t>5.10</t>
        </is>
      </c>
      <c r="D48" t="inlineStr">
        <is>
          <t>310F5
/3R2G1B</t>
        </is>
      </c>
      <c r="E48">
        <f>E47</f>
        <v/>
      </c>
      <c r="F48">
        <f>F42</f>
        <v/>
      </c>
      <c r="G48">
        <f>E48*F48</f>
        <v/>
      </c>
      <c r="H48">
        <f>H47</f>
        <v/>
      </c>
      <c r="I48">
        <f>I47</f>
        <v/>
      </c>
      <c r="J48">
        <f>J47</f>
        <v/>
      </c>
      <c r="K48">
        <f>J48*I48</f>
        <v/>
      </c>
      <c r="L48">
        <f>L47</f>
        <v/>
      </c>
      <c r="M48">
        <f>M47</f>
        <v/>
      </c>
      <c r="N48">
        <f>N47</f>
        <v/>
      </c>
      <c r="O48">
        <f>O47</f>
        <v/>
      </c>
      <c r="P48">
        <f>G48+H48+K48+L48+M48+N48+O48</f>
        <v/>
      </c>
      <c r="Q48" t="inlineStr">
        <is>
          <t>模组单价见规格单价表；箱体/电源见本册价目</t>
        </is>
      </c>
    </row>
    <row r="49">
      <c r="A49" t="inlineStr">
        <is>
          <t>5.11</t>
        </is>
      </c>
      <c r="D49" t="inlineStr">
        <is>
          <t>310F5
/4R2G</t>
        </is>
      </c>
      <c r="E49">
        <f>E48</f>
        <v/>
      </c>
      <c r="F49">
        <f>F43</f>
        <v/>
      </c>
      <c r="G49">
        <f>E49*F49</f>
        <v/>
      </c>
      <c r="H49">
        <f>H48</f>
        <v/>
      </c>
      <c r="I49">
        <f>I48</f>
        <v/>
      </c>
      <c r="J49">
        <f>J48</f>
        <v/>
      </c>
      <c r="K49">
        <f>J49*I49</f>
        <v/>
      </c>
      <c r="L49">
        <f>L48</f>
        <v/>
      </c>
      <c r="M49">
        <f>M48</f>
        <v/>
      </c>
      <c r="N49">
        <f>N48</f>
        <v/>
      </c>
      <c r="O49">
        <f>O48</f>
        <v/>
      </c>
      <c r="P49">
        <f>G49+H49+K49+L49+M49+N49+O49</f>
        <v/>
      </c>
      <c r="Q49" t="inlineStr">
        <is>
          <t>模组单价见规格单价表；箱体/电源见本册价目</t>
        </is>
      </c>
    </row>
    <row r="50">
      <c r="A50" t="inlineStr">
        <is>
          <t>5.12</t>
        </is>
      </c>
      <c r="D50" t="inlineStr">
        <is>
          <t>310F5
/4R2G1B</t>
        </is>
      </c>
      <c r="E50">
        <f>E48</f>
        <v/>
      </c>
      <c r="F50">
        <f>F44</f>
        <v/>
      </c>
      <c r="G50">
        <f>E50*F50</f>
        <v/>
      </c>
      <c r="H50">
        <f>H48</f>
        <v/>
      </c>
      <c r="I50">
        <f>I48</f>
        <v/>
      </c>
      <c r="J50">
        <f>J48</f>
        <v/>
      </c>
      <c r="K50">
        <f>J50*I50</f>
        <v/>
      </c>
      <c r="L50">
        <f>L48</f>
        <v/>
      </c>
      <c r="M50">
        <f>M48</f>
        <v/>
      </c>
      <c r="N50">
        <f>N48</f>
        <v/>
      </c>
      <c r="O50">
        <f>O48</f>
        <v/>
      </c>
      <c r="P50">
        <f>G50+H50+K50+L50+M50+N50+O50</f>
        <v/>
      </c>
      <c r="Q50" t="inlineStr">
        <is>
          <t>模组单价见规格单价表；箱体/电源见本册价目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2026-10-31T08:29:35Z</dcterms:created>
  <dcterms:modified xmlns:dcterms="http://purl.org/dc/terms/" xmlns:xsi="http://www.w3.org/2001/XMLSchema-instance" xsi:type="dcterms:W3CDTF">2026-10-31T08:29:35Z</dcterms:modified>
</cp:coreProperties>
</file>