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每平米收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本文件整理自大模组核算原表，定位是造价演算底稿中的「数量口径 + 辅材 BOM」，不是又一份模组/箱体价目。</t>
        </is>
      </c>
    </row>
    <row r="2">
      <c r="A2" t="inlineStr">
        <is>
          <t>Agent 报价三件套：规格单价表（大件单价）+ 本表 BOM/收口（小件摊到每平米）+ 计价 skill（公式骨架）。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每平米收口：保留点间距×箱体材料行、1㎡模组数量、电源数量；包材/辅材公式引用辅材表。模组单价、箱体单价、电源单价列留空——取自规格单价表，勿在此另维护一份。</t>
        </is>
      </c>
    </row>
    <row r="5">
      <c r="A5" t="inlineStr">
        <is>
          <t>公式骨架相对固定；BOM 明细与常数加价（如辅材公式中的 +20）由成本岗维护，改后同步 skill。</t>
        </is>
      </c>
    </row>
    <row r="6">
      <c r="A6" t="inlineStr">
        <is>
          <t>招标报价用抄录面积，不依赖原屏体清单样例长宽。供应商名不转入。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E3" t="n">
        <v>1</v>
      </c>
      <c r="F3">
        <f>D3*E3</f>
        <v/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E4" t="n">
        <v>1</v>
      </c>
      <c r="F4">
        <f>D4*E4</f>
        <v/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E5" t="n">
        <v>1</v>
      </c>
      <c r="F5">
        <f>D5*E5</f>
        <v/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E9" t="n">
        <v>144</v>
      </c>
      <c r="F9">
        <f>D9*E9</f>
        <v/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E10" t="n">
        <v>24</v>
      </c>
      <c r="F10">
        <f>D10*E10</f>
        <v/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E11" t="n">
        <v>2</v>
      </c>
      <c r="F11">
        <f>D11*E11</f>
        <v/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E12" t="n">
        <v>4</v>
      </c>
      <c r="F12">
        <f>D12*E12</f>
        <v/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E13" t="n">
        <v>1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E14" t="n">
        <v>1</v>
      </c>
      <c r="F14">
        <f>D14*E14</f>
        <v/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E15" t="n">
        <v>1</v>
      </c>
      <c r="F15">
        <f>D15*E15</f>
        <v/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E16" t="n">
        <v>3</v>
      </c>
      <c r="F16">
        <f>D16*E16</f>
        <v/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E17" t="n">
        <v>1</v>
      </c>
      <c r="F17">
        <f>D17*E17</f>
        <v/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E18" t="n">
        <v>1</v>
      </c>
      <c r="F18">
        <f>D18*E18</f>
        <v/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E19" t="n">
        <v>2</v>
      </c>
      <c r="F19">
        <f>D19*E19</f>
        <v/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E20" t="n">
        <v>2</v>
      </c>
      <c r="F20">
        <f>D20*E20</f>
        <v/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E21" t="n">
        <v>1</v>
      </c>
      <c r="F21">
        <f>D21*E21</f>
        <v/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E26" t="n">
        <v>1</v>
      </c>
      <c r="F26">
        <f>D26*E26</f>
        <v/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E31" t="n">
        <v>2</v>
      </c>
      <c r="F31">
        <f>D31*E31</f>
        <v/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E34" t="n">
        <v>1</v>
      </c>
      <c r="F34">
        <f>D34*E34</f>
        <v/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E39" t="n">
        <v>1</v>
      </c>
      <c r="F39">
        <f>D39*E39</f>
        <v/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E43" t="n">
        <v>1</v>
      </c>
      <c r="F43">
        <f>D43*E43</f>
        <v/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E49" t="n">
        <v>1</v>
      </c>
      <c r="F49">
        <f>D49*E49</f>
        <v/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E53" t="n">
        <v>1</v>
      </c>
      <c r="F53">
        <f>D53*E53</f>
        <v/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E54" t="n">
        <v>1</v>
      </c>
      <c r="F54">
        <f>D54*E54</f>
        <v/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E55" t="n">
        <v>1</v>
      </c>
      <c r="F55">
        <f>D55*E55</f>
        <v/>
      </c>
    </row>
    <row r="56">
      <c r="C56" t="inlineStr">
        <is>
          <t>总计1平方辅料</t>
        </is>
      </c>
      <c r="F56">
        <f>SUM(F9:F55)</f>
        <v/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F58">
        <f>D58*E58</f>
        <v/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F59">
        <f>D59*E59</f>
        <v/>
      </c>
    </row>
    <row r="60">
      <c r="C60" t="inlineStr">
        <is>
          <t>包材总计</t>
        </is>
      </c>
      <c r="F60">
        <f>SUM(F58:F59)+6</f>
        <v/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</row>
    <row r="79">
      <c r="C79" t="inlineStr">
        <is>
          <t>10平方整体用量总计共用辅料</t>
        </is>
      </c>
      <c r="E79">
        <f>SUM(E63:E78)</f>
        <v/>
      </c>
    </row>
    <row r="80">
      <c r="C80" t="inlineStr">
        <is>
          <t>10平方整体用量总计共用辅料，单价1平方</t>
        </is>
      </c>
      <c r="E80">
        <f>E79/10</f>
        <v/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E93">
        <f>E92/10+5</f>
        <v/>
      </c>
    </row>
    <row r="9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F4" t="n">
        <v>1</v>
      </c>
      <c r="G4" t="n">
        <v>1</v>
      </c>
    </row>
    <row r="5">
      <c r="C5" t="inlineStr">
        <is>
          <t>箱体1平方单价</t>
        </is>
      </c>
      <c r="E5">
        <f>E4/10</f>
        <v/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F56" t="n">
        <v>1</v>
      </c>
      <c r="G56" t="n">
        <v>1</v>
      </c>
    </row>
    <row r="57">
      <c r="E57">
        <f>SUM(E7:E56)</f>
        <v/>
      </c>
    </row>
    <row r="58">
      <c r="C58" t="inlineStr">
        <is>
          <t>1平方辅料单价</t>
        </is>
      </c>
      <c r="E58">
        <f>E57/10</f>
        <v/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F61" t="n">
        <v>2</v>
      </c>
      <c r="G61" t="n">
        <v>2</v>
      </c>
    </row>
    <row r="62">
      <c r="E62">
        <f>SUM(E60:E61)</f>
        <v/>
      </c>
    </row>
    <row r="63">
      <c r="C63" t="inlineStr">
        <is>
          <t>包材总计</t>
        </is>
      </c>
      <c r="E63">
        <f>E62/10+2</f>
        <v/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F72" t="n">
        <v>32</v>
      </c>
      <c r="G72" t="n">
        <v>32</v>
      </c>
    </row>
    <row r="73">
      <c r="E73">
        <f>SUM(E65:E72)</f>
        <v/>
      </c>
    </row>
    <row r="74">
      <c r="C74" t="inlineStr">
        <is>
          <t>抱箍螺钉1平方</t>
        </is>
      </c>
      <c r="E74">
        <f>E73/10+5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G3">
        <f>E3*F3</f>
        <v/>
      </c>
      <c r="I3" t="n">
        <v>2</v>
      </c>
      <c r="K3">
        <f>J3*I3</f>
        <v/>
      </c>
      <c r="N3">
        <f>压铸铝辅材!F60</f>
        <v/>
      </c>
      <c r="O3">
        <f>压铸铝辅材!F56+压铸铝辅材!E80+20</f>
        <v/>
      </c>
      <c r="P3">
        <f>G3+H3+K3+L3+M3+N3+O3</f>
        <v/>
      </c>
      <c r="Q3" t="inlineStr">
        <is>
          <t>大件单价见规格单价表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G4">
        <f>E4*F4</f>
        <v/>
      </c>
      <c r="H4">
        <f>H3</f>
        <v/>
      </c>
      <c r="I4">
        <f>I3</f>
        <v/>
      </c>
      <c r="J4">
        <f>J3</f>
        <v/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G4+H4+K4+L4+M4+N4+O4</f>
        <v/>
      </c>
      <c r="Q4" t="inlineStr">
        <is>
          <t>大件单价见规格单价表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>
        <f>F3</f>
        <v/>
      </c>
      <c r="G5">
        <f>E5*F5</f>
        <v/>
      </c>
      <c r="I5" t="n">
        <v>2</v>
      </c>
      <c r="J5">
        <f>J3</f>
        <v/>
      </c>
      <c r="K5">
        <f>J5*I5</f>
        <v/>
      </c>
      <c r="N5">
        <f>铁箱辅材!E63</f>
        <v/>
      </c>
      <c r="O5">
        <f>铁箱辅材!E58+20</f>
        <v/>
      </c>
      <c r="P5">
        <f>G5+H5+K5+L5+M5+N5+O5</f>
        <v/>
      </c>
      <c r="Q5" t="inlineStr">
        <is>
          <t>大件单价见规格单价表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>
        <f>F4</f>
        <v/>
      </c>
      <c r="G6">
        <f>E6*F6</f>
        <v/>
      </c>
      <c r="H6">
        <f>H5</f>
        <v/>
      </c>
      <c r="I6">
        <f>I5</f>
        <v/>
      </c>
      <c r="J6">
        <f>J5</f>
        <v/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G6+H6+K6+L6+M6+N6+O6</f>
        <v/>
      </c>
      <c r="Q6" t="inlineStr">
        <is>
          <t>大件单价见规格单价表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G9">
        <f>E9*F9</f>
        <v/>
      </c>
      <c r="H9">
        <f>H3</f>
        <v/>
      </c>
      <c r="I9" t="n">
        <v>2</v>
      </c>
      <c r="K9">
        <f>J9*I9</f>
        <v/>
      </c>
      <c r="L9">
        <f>L3</f>
        <v/>
      </c>
      <c r="M9">
        <f>M3</f>
        <v/>
      </c>
      <c r="N9">
        <f>N3</f>
        <v/>
      </c>
      <c r="O9">
        <f>O3</f>
        <v/>
      </c>
      <c r="P9">
        <f>G9+H9+K9+L9+M9+N9+O9</f>
        <v/>
      </c>
      <c r="Q9" t="inlineStr">
        <is>
          <t>大件单价见规格单价表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G10">
        <f>E10*F10</f>
        <v/>
      </c>
      <c r="H10">
        <f>H9</f>
        <v/>
      </c>
      <c r="I10">
        <f>I9</f>
        <v/>
      </c>
      <c r="J10">
        <f>J9</f>
        <v/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>
        <f>G10+H10+K10+L10+M10+N10+O10</f>
        <v/>
      </c>
      <c r="Q10" t="inlineStr">
        <is>
          <t>大件单价见规格单价表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G11">
        <f>E11*F11</f>
        <v/>
      </c>
      <c r="H11">
        <f>H10</f>
        <v/>
      </c>
      <c r="I11">
        <f>I10</f>
        <v/>
      </c>
      <c r="J11">
        <f>J10</f>
        <v/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>
        <f>G11+H11+K11+L11+M11+N11+O11</f>
        <v/>
      </c>
      <c r="Q11" t="inlineStr">
        <is>
          <t>大件单价见规格单价表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G12">
        <f>E12*F12</f>
        <v/>
      </c>
      <c r="H12">
        <f>H11</f>
        <v/>
      </c>
      <c r="I12">
        <f>I11</f>
        <v/>
      </c>
      <c r="J12">
        <f>J11</f>
        <v/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>
        <f>G12+H12+K12+L12+M12+N12+O12</f>
        <v/>
      </c>
      <c r="Q12" t="inlineStr">
        <is>
          <t>大件单价见规格单价表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>
        <f>F9</f>
        <v/>
      </c>
      <c r="G13">
        <f>E13*F13</f>
        <v/>
      </c>
      <c r="H13">
        <f>H5</f>
        <v/>
      </c>
      <c r="I13">
        <f>I12</f>
        <v/>
      </c>
      <c r="J13">
        <f>J12</f>
        <v/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>
        <f>G13+H13+K13+L13+M13+N13+O13</f>
        <v/>
      </c>
      <c r="Q13" t="inlineStr">
        <is>
          <t>大件单价见规格单价表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>
        <f>F10</f>
        <v/>
      </c>
      <c r="G14">
        <f>E14*F14</f>
        <v/>
      </c>
      <c r="H14">
        <f>H13</f>
        <v/>
      </c>
      <c r="I14">
        <f>I13</f>
        <v/>
      </c>
      <c r="J14">
        <f>J13</f>
        <v/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>
        <f>G14+H14+K14+L14+M14+N14+O14</f>
        <v/>
      </c>
      <c r="Q14" t="inlineStr">
        <is>
          <t>大件单价见规格单价表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>
        <f>F11</f>
        <v/>
      </c>
      <c r="G15">
        <f>E15*F15</f>
        <v/>
      </c>
      <c r="H15">
        <f>H14</f>
        <v/>
      </c>
      <c r="I15">
        <f>I14</f>
        <v/>
      </c>
      <c r="J15">
        <f>J14</f>
        <v/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>
        <f>G15+H15+K15+L15+M15+N15+O15</f>
        <v/>
      </c>
      <c r="Q15" t="inlineStr">
        <is>
          <t>大件单价见规格单价表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>
        <f>F12</f>
        <v/>
      </c>
      <c r="G16">
        <f>E16*F16</f>
        <v/>
      </c>
      <c r="H16">
        <f>H15</f>
        <v/>
      </c>
      <c r="I16">
        <f>I15</f>
        <v/>
      </c>
      <c r="J16">
        <f>J15</f>
        <v/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>
        <f>G16+H16+K16+L16+M16+N16+O16</f>
        <v/>
      </c>
      <c r="Q16" t="inlineStr">
        <is>
          <t>大件单价见规格单价表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G19">
        <f>E19*F19</f>
        <v/>
      </c>
      <c r="H19">
        <f>H3</f>
        <v/>
      </c>
      <c r="I19" t="n">
        <v>2</v>
      </c>
      <c r="K19">
        <f>J19*I19</f>
        <v/>
      </c>
      <c r="L19">
        <f>L3</f>
        <v/>
      </c>
      <c r="M19">
        <f>M3</f>
        <v/>
      </c>
      <c r="N19">
        <f>N3</f>
        <v/>
      </c>
      <c r="O19">
        <f>O3</f>
        <v/>
      </c>
      <c r="P19">
        <f>G19+H19+K19+L19+M19+N19+O19</f>
        <v/>
      </c>
      <c r="Q19" t="inlineStr">
        <is>
          <t>大件单价见规格单价表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G20">
        <f>E20*F20</f>
        <v/>
      </c>
      <c r="H20">
        <f>H19</f>
        <v/>
      </c>
      <c r="I20">
        <f>I19</f>
        <v/>
      </c>
      <c r="J20">
        <f>J19</f>
        <v/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>
        <f>G20+H20+K20+L20+M20+N20+O20</f>
        <v/>
      </c>
      <c r="Q20" t="inlineStr">
        <is>
          <t>大件单价见规格单价表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G21">
        <f>E21*F21</f>
        <v/>
      </c>
      <c r="H21">
        <f>H20</f>
        <v/>
      </c>
      <c r="I21">
        <f>I20</f>
        <v/>
      </c>
      <c r="J21">
        <f>J20</f>
        <v/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>
        <f>G21+H21+K21+L21+M21+N21+O21</f>
        <v/>
      </c>
      <c r="Q21" t="inlineStr">
        <is>
          <t>大件单价见规格单价表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>
        <f>F19</f>
        <v/>
      </c>
      <c r="G22">
        <f>E22*F22</f>
        <v/>
      </c>
      <c r="H22">
        <f>H5</f>
        <v/>
      </c>
      <c r="I22">
        <f>I21</f>
        <v/>
      </c>
      <c r="J22">
        <f>J21</f>
        <v/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>
        <f>G22+H22+K22+L22+M22+N22+O22</f>
        <v/>
      </c>
      <c r="Q22" t="inlineStr">
        <is>
          <t>大件单价见规格单价表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>
        <f>F20</f>
        <v/>
      </c>
      <c r="G23">
        <f>E23*F23</f>
        <v/>
      </c>
      <c r="H23">
        <f>H22</f>
        <v/>
      </c>
      <c r="I23">
        <f>I22</f>
        <v/>
      </c>
      <c r="J23">
        <f>J22</f>
        <v/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>
        <f>G23+H23+K23+L23+M23+N23+O23</f>
        <v/>
      </c>
      <c r="Q23" t="inlineStr">
        <is>
          <t>大件单价见规格单价表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>
        <f>F21</f>
        <v/>
      </c>
      <c r="G24">
        <f>E24*F24</f>
        <v/>
      </c>
      <c r="H24">
        <f>H23</f>
        <v/>
      </c>
      <c r="I24">
        <f>I23</f>
        <v/>
      </c>
      <c r="J24">
        <f>J23</f>
        <v/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>
        <f>G24+H24+K24+L24+M24+N24+O24</f>
        <v/>
      </c>
      <c r="Q24" t="inlineStr">
        <is>
          <t>大件单价见规格单价表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G27">
        <f>E27*F27</f>
        <v/>
      </c>
      <c r="H27">
        <f>H3</f>
        <v/>
      </c>
      <c r="I27">
        <f>I3</f>
        <v/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>
        <f>G27+H27+K27+L27+M27+N27+O27</f>
        <v/>
      </c>
      <c r="Q27" t="inlineStr">
        <is>
          <t>大件单价见规格单价表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G28">
        <f>E28*F28</f>
        <v/>
      </c>
      <c r="H28">
        <f>H27</f>
        <v/>
      </c>
      <c r="I28">
        <f>I27</f>
        <v/>
      </c>
      <c r="J28">
        <f>J27</f>
        <v/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>
        <f>G28+H28+K28+L28+M28+N28+O28</f>
        <v/>
      </c>
      <c r="Q28" t="inlineStr">
        <is>
          <t>大件单价见规格单价表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G29">
        <f>E29*F29</f>
        <v/>
      </c>
      <c r="H29">
        <f>H28</f>
        <v/>
      </c>
      <c r="I29">
        <f>I28</f>
        <v/>
      </c>
      <c r="J29">
        <f>J28</f>
        <v/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>
        <f>G29+H29+K29+L29+M29+N29+O29</f>
        <v/>
      </c>
      <c r="Q29" t="inlineStr">
        <is>
          <t>大件单价见规格单价表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G30">
        <f>E30*F30</f>
        <v/>
      </c>
      <c r="H30">
        <f>H29</f>
        <v/>
      </c>
      <c r="I30">
        <f>I29</f>
        <v/>
      </c>
      <c r="J30">
        <f>J29</f>
        <v/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>
        <f>G30+H30+K30+L30+M30+N30+O30</f>
        <v/>
      </c>
      <c r="Q30" t="inlineStr">
        <is>
          <t>大件单价见规格单价表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G31">
        <f>E31*F31</f>
        <v/>
      </c>
      <c r="H31">
        <f>H30</f>
        <v/>
      </c>
      <c r="I31">
        <f>I30</f>
        <v/>
      </c>
      <c r="J31">
        <f>J30</f>
        <v/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>
        <f>G31+H31+K31+L31+M31+N31+O31</f>
        <v/>
      </c>
      <c r="Q31" t="inlineStr">
        <is>
          <t>大件单价见规格单价表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>
        <f>F27</f>
        <v/>
      </c>
      <c r="G32">
        <f>E32*F32</f>
        <v/>
      </c>
      <c r="H32">
        <f>H5</f>
        <v/>
      </c>
      <c r="I32">
        <f>I5</f>
        <v/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>
        <f>G32+H32+K32+L32+M32+N32+O32</f>
        <v/>
      </c>
      <c r="Q32" t="inlineStr">
        <is>
          <t>大件单价见规格单价表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>
        <f>F28</f>
        <v/>
      </c>
      <c r="G33">
        <f>E33*F33</f>
        <v/>
      </c>
      <c r="H33">
        <f>H32</f>
        <v/>
      </c>
      <c r="I33">
        <f>I32</f>
        <v/>
      </c>
      <c r="J33">
        <f>J32</f>
        <v/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>
        <f>G33+H33+K33+L33+M33+N33+O33</f>
        <v/>
      </c>
      <c r="Q33" t="inlineStr">
        <is>
          <t>大件单价见规格单价表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>
        <f>F29</f>
        <v/>
      </c>
      <c r="G34">
        <f>E34*F34</f>
        <v/>
      </c>
      <c r="H34">
        <f>H33</f>
        <v/>
      </c>
      <c r="I34">
        <f>I33</f>
        <v/>
      </c>
      <c r="J34">
        <f>J33</f>
        <v/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>
        <f>G34+H34+K34+L34+M34+N34+O34</f>
        <v/>
      </c>
      <c r="Q34" t="inlineStr">
        <is>
          <t>大件单价见规格单价表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>
        <f>F30</f>
        <v/>
      </c>
      <c r="G35">
        <f>E35*F35</f>
        <v/>
      </c>
      <c r="H35">
        <f>H34</f>
        <v/>
      </c>
      <c r="I35">
        <f>I34</f>
        <v/>
      </c>
      <c r="J35">
        <f>J34</f>
        <v/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>
        <f>G35+H35+K35+L35+M35+N35+O35</f>
        <v/>
      </c>
      <c r="Q35" t="inlineStr">
        <is>
          <t>大件单价见规格单价表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>
        <f>F31</f>
        <v/>
      </c>
      <c r="G36">
        <f>E36*F36</f>
        <v/>
      </c>
      <c r="H36">
        <f>H35</f>
        <v/>
      </c>
      <c r="I36">
        <f>I35</f>
        <v/>
      </c>
      <c r="J36">
        <f>J35</f>
        <v/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>
        <f>G36+H36+K36+L36+M36+N36+O36</f>
        <v/>
      </c>
      <c r="Q36" t="inlineStr">
        <is>
          <t>大件单价见规格单价表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G39">
        <f>E39*F39</f>
        <v/>
      </c>
      <c r="H39">
        <f>H3</f>
        <v/>
      </c>
      <c r="I39">
        <f>I3</f>
        <v/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>
        <f>G39+H39+K39+L39+M39+N39+O39</f>
        <v/>
      </c>
      <c r="Q39" t="inlineStr">
        <is>
          <t>大件单价见规格单价表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G40">
        <f>E40*F40</f>
        <v/>
      </c>
      <c r="H40">
        <f>H39</f>
        <v/>
      </c>
      <c r="I40">
        <f>I39</f>
        <v/>
      </c>
      <c r="J40">
        <f>J39</f>
        <v/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>
        <f>G40+H40+K40+L40+M40+N40+O40</f>
        <v/>
      </c>
      <c r="Q40" t="inlineStr">
        <is>
          <t>大件单价见规格单价表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G41">
        <f>E41*F41</f>
        <v/>
      </c>
      <c r="H41">
        <f>H40</f>
        <v/>
      </c>
      <c r="I41">
        <f>I40</f>
        <v/>
      </c>
      <c r="J41">
        <f>J40</f>
        <v/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>
        <f>G41+H41+K41+L41+M41+N41+O41</f>
        <v/>
      </c>
      <c r="Q41" t="inlineStr">
        <is>
          <t>大件单价见规格单价表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G42">
        <f>E42*F42</f>
        <v/>
      </c>
      <c r="H42">
        <f>H41</f>
        <v/>
      </c>
      <c r="I42">
        <f>I41</f>
        <v/>
      </c>
      <c r="J42">
        <f>J41</f>
        <v/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>
        <f>G42+H42+K42+L42+M42+N42+O42</f>
        <v/>
      </c>
      <c r="Q42" t="inlineStr">
        <is>
          <t>大件单价见规格单价表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G43">
        <f>E43*F43</f>
        <v/>
      </c>
      <c r="H43">
        <f>H42</f>
        <v/>
      </c>
      <c r="I43">
        <f>I42</f>
        <v/>
      </c>
      <c r="J43">
        <f>J42</f>
        <v/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>
        <f>G43+H43+K43+L43+M43+N43+O43</f>
        <v/>
      </c>
      <c r="Q43" t="inlineStr">
        <is>
          <t>大件单价见规格单价表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G44">
        <f>E44*F44</f>
        <v/>
      </c>
      <c r="H44">
        <f>H42</f>
        <v/>
      </c>
      <c r="I44">
        <f>I42</f>
        <v/>
      </c>
      <c r="J44">
        <f>J42</f>
        <v/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>
        <f>G44+H44+K44+L44+M44+N44+O44</f>
        <v/>
      </c>
      <c r="Q44" t="inlineStr">
        <is>
          <t>大件单价见规格单价表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>
        <f>F39</f>
        <v/>
      </c>
      <c r="G45">
        <f>E45*F45</f>
        <v/>
      </c>
      <c r="H45">
        <f>H5</f>
        <v/>
      </c>
      <c r="I45">
        <f>I5</f>
        <v/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>
        <f>G45+H45+K45+L45+M45+N45+O45</f>
        <v/>
      </c>
      <c r="Q45" t="inlineStr">
        <is>
          <t>大件单价见规格单价表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>
        <f>F40</f>
        <v/>
      </c>
      <c r="G46">
        <f>E46*F46</f>
        <v/>
      </c>
      <c r="H46">
        <f>H45</f>
        <v/>
      </c>
      <c r="I46">
        <f>I45</f>
        <v/>
      </c>
      <c r="J46">
        <f>J45</f>
        <v/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>
        <f>G46+H46+K46+L46+M46+N46+O46</f>
        <v/>
      </c>
      <c r="Q46" t="inlineStr">
        <is>
          <t>大件单价见规格单价表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>
        <f>F41</f>
        <v/>
      </c>
      <c r="G47">
        <f>E47*F47</f>
        <v/>
      </c>
      <c r="H47">
        <f>H46</f>
        <v/>
      </c>
      <c r="I47">
        <f>I46</f>
        <v/>
      </c>
      <c r="J47">
        <f>J46</f>
        <v/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>
        <f>G47+H47+K47+L47+M47+N47+O47</f>
        <v/>
      </c>
      <c r="Q47" t="inlineStr">
        <is>
          <t>大件单价见规格单价表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>
        <f>F42</f>
        <v/>
      </c>
      <c r="G48">
        <f>E48*F48</f>
        <v/>
      </c>
      <c r="H48">
        <f>H47</f>
        <v/>
      </c>
      <c r="I48">
        <f>I47</f>
        <v/>
      </c>
      <c r="J48">
        <f>J47</f>
        <v/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>
        <f>G48+H48+K48+L48+M48+N48+O48</f>
        <v/>
      </c>
      <c r="Q48" t="inlineStr">
        <is>
          <t>大件单价见规格单价表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>
        <f>F43</f>
        <v/>
      </c>
      <c r="G49">
        <f>E49*F49</f>
        <v/>
      </c>
      <c r="H49">
        <f>H48</f>
        <v/>
      </c>
      <c r="I49">
        <f>I48</f>
        <v/>
      </c>
      <c r="J49">
        <f>J48</f>
        <v/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>
        <f>G49+H49+K49+L49+M49+N49+O49</f>
        <v/>
      </c>
      <c r="Q49" t="inlineStr">
        <is>
          <t>大件单价见规格单价表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>
        <f>F44</f>
        <v/>
      </c>
      <c r="G50">
        <f>E50*F50</f>
        <v/>
      </c>
      <c r="H50">
        <f>H48</f>
        <v/>
      </c>
      <c r="I50">
        <f>I48</f>
        <v/>
      </c>
      <c r="J50">
        <f>J48</f>
        <v/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>
        <f>G50+H50+K50+L50+M50+N50+O50</f>
        <v/>
      </c>
      <c r="Q50" t="inlineStr">
        <is>
          <t>大件单价见规格单价表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2026-10-30T09:03:03Z</dcterms:created>
  <dcterms:modified xmlns:dcterms="http://purl.org/dc/terms/" xmlns:xsi="http://www.w3.org/2001/XMLSchema-instance" xsi:type="dcterms:W3CDTF">2026-10-30T09:03:03Z</dcterms:modified>
</cp:coreProperties>
</file>