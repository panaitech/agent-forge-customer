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灯珠单价" sheetId="2" state="visible" r:id="rId2"/>
    <sheet xmlns:r="http://schemas.openxmlformats.org/officeDocument/2006/relationships" name="套件单价" sheetId="3" state="visible" r:id="rId3"/>
    <sheet xmlns:r="http://schemas.openxmlformats.org/officeDocument/2006/relationships" name="模组价格" sheetId="4" state="visible" r:id="rId4"/>
    <sheet xmlns:r="http://schemas.openxmlformats.org/officeDocument/2006/relationships" name="箱体单价" sheetId="5" state="visible" r:id="rId5"/>
    <sheet xmlns:r="http://schemas.openxmlformats.org/officeDocument/2006/relationships" name="核算模板" sheetId="6" state="visible" r:id="rId6"/>
  </sheets>
  <definedNames>
    <definedName name="_xlnm.Print_Titles" localSheetId="0">'说明'!$1:$1</definedName>
    <definedName name="_xlnm._FilterDatabase" localSheetId="1" hidden="1">'灯珠单价'!$A$4:$G$40</definedName>
    <definedName name="_xlnm.Print_Titles" localSheetId="1">'灯珠单价'!$1:$4</definedName>
    <definedName name="_xlnm._FilterDatabase" localSheetId="2" hidden="1">'套件单价'!$A$4:$J$40</definedName>
    <definedName name="_xlnm.Print_Titles" localSheetId="2">'套件单价'!$1:$4</definedName>
    <definedName name="_xlnm._FilterDatabase" localSheetId="3" hidden="1">'模组价格'!$A$4:$Y$40</definedName>
    <definedName name="_xlnm.Print_Titles" localSheetId="3">'模组价格'!$1:$4</definedName>
    <definedName name="_xlnm._FilterDatabase" localSheetId="4" hidden="1">'箱体单价'!$A$4:$K$40</definedName>
    <definedName name="_xlnm.Print_Titles" localSheetId="4">'箱体单价'!$1:$4</definedName>
    <definedName name="_xlnm._FilterDatabase" localSheetId="5" hidden="1">'核算模板'!$A$4:$U$40</definedName>
    <definedName name="_xlnm.Print_Titles" localSheetId="5">'核算模板'!$1:$4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0;\-#,##0.00;&quot;&quot;"/>
    <numFmt numFmtId="166" formatCode="0.000"/>
    <numFmt numFmtId="167" formatCode="0;\-0;&quot;&quot;"/>
  </numFmts>
  <fonts count="1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0"/>
      <b val="1"/>
      <color rgb="FFFFFFFF"/>
      <sz val="14"/>
    </font>
    <font>
      <name val="微软雅黑"/>
      <charset val="1"/>
      <family val="0"/>
      <color rgb="FF333333"/>
      <sz val="10"/>
    </font>
    <font>
      <name val="微软雅黑"/>
      <charset val="1"/>
      <family val="0"/>
      <b val="1"/>
      <color rgb="FFFFFFFF"/>
      <sz val="10"/>
    </font>
    <font>
      <name val="微软雅黑"/>
      <charset val="1"/>
      <family val="0"/>
      <b val="1"/>
      <sz val="10"/>
    </font>
    <font>
      <name val="微软雅黑"/>
      <charset val="1"/>
      <family val="0"/>
      <color rgb="FF0000FF"/>
      <sz val="10"/>
    </font>
    <font>
      <name val="微软雅黑"/>
      <charset val="1"/>
      <family val="0"/>
      <color rgb="FF008000"/>
      <sz val="10"/>
    </font>
    <font>
      <name val="微软雅黑"/>
      <b val="1"/>
      <sz val="11"/>
    </font>
    <font>
      <name val="微软雅黑"/>
      <color rgb="000000FF"/>
      <sz val="11"/>
    </font>
    <font>
      <name val="微软雅黑"/>
      <color rgb="00008000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000FF"/>
      <sz val="10"/>
    </font>
    <font>
      <name val="微软雅黑"/>
      <color rgb="00008000"/>
      <sz val="10"/>
    </font>
    <font>
      <name val="微软雅黑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00D9E2F3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center"/>
    </xf>
    <xf numFmtId="164" fontId="8" fillId="5" borderId="1" applyAlignment="1" pivotButton="0" quotePrefix="0" xfId="0">
      <alignment horizontal="general" vertical="center"/>
    </xf>
    <xf numFmtId="165" fontId="8" fillId="5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166" fontId="8" fillId="5" borderId="1" applyAlignment="1" pivotButton="0" quotePrefix="0" xfId="0">
      <alignment horizontal="general" vertical="center"/>
    </xf>
    <xf numFmtId="167" fontId="8" fillId="5" borderId="1" applyAlignment="1" pivotButton="0" quotePrefix="0" xfId="0">
      <alignment horizontal="general" vertical="center"/>
    </xf>
    <xf numFmtId="165" fontId="9" fillId="6" borderId="1" applyAlignment="1" pivotButton="0" quotePrefix="0" xfId="0">
      <alignment horizontal="general" vertical="center"/>
    </xf>
    <xf numFmtId="166" fontId="8" fillId="0" borderId="1" applyAlignment="1" pivotButton="0" quotePrefix="0" xfId="0">
      <alignment horizontal="general" vertical="center"/>
    </xf>
    <xf numFmtId="167" fontId="8" fillId="0" borderId="1" applyAlignment="1" pivotButton="0" quotePrefix="0" xfId="0">
      <alignment horizontal="general" vertical="center"/>
    </xf>
    <xf numFmtId="3" fontId="8" fillId="5" borderId="1" applyAlignment="1" pivotButton="0" quotePrefix="0" xfId="0">
      <alignment horizontal="general" vertical="center"/>
    </xf>
    <xf numFmtId="2" fontId="8" fillId="5" borderId="1" applyAlignment="1" pivotButton="0" quotePrefix="0" xfId="0">
      <alignment horizontal="general" vertical="center"/>
    </xf>
    <xf numFmtId="3" fontId="8" fillId="0" borderId="1" applyAlignment="1" pivotButton="0" quotePrefix="0" xfId="0">
      <alignment horizontal="general" vertical="center"/>
    </xf>
    <xf numFmtId="2" fontId="8" fillId="0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center"/>
    </xf>
    <xf numFmtId="164" fontId="8" fillId="5" borderId="1" applyAlignment="1" pivotButton="0" quotePrefix="0" xfId="0">
      <alignment horizontal="general" vertical="center"/>
    </xf>
    <xf numFmtId="165" fontId="8" fillId="5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166" fontId="8" fillId="5" borderId="1" applyAlignment="1" pivotButton="0" quotePrefix="0" xfId="0">
      <alignment horizontal="general" vertical="center"/>
    </xf>
    <xf numFmtId="167" fontId="8" fillId="5" borderId="1" applyAlignment="1" pivotButton="0" quotePrefix="0" xfId="0">
      <alignment horizontal="general" vertical="center"/>
    </xf>
    <xf numFmtId="165" fontId="9" fillId="6" borderId="1" applyAlignment="1" pivotButton="0" quotePrefix="0" xfId="0">
      <alignment horizontal="general" vertical="center"/>
    </xf>
    <xf numFmtId="166" fontId="8" fillId="0" borderId="1" applyAlignment="1" pivotButton="0" quotePrefix="0" xfId="0">
      <alignment horizontal="general" vertical="center"/>
    </xf>
    <xf numFmtId="167" fontId="8" fillId="0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 wrapText="1"/>
    </xf>
    <xf numFmtId="0" fontId="8" fillId="5" borderId="0" pivotButton="0" quotePrefix="0" xfId="0"/>
    <xf numFmtId="3" fontId="8" fillId="5" borderId="1" applyAlignment="1" pivotButton="0" quotePrefix="0" xfId="0">
      <alignment horizontal="general" vertical="center"/>
    </xf>
    <xf numFmtId="2" fontId="8" fillId="5" borderId="1" applyAlignment="1" pivotButton="0" quotePrefix="0" xfId="0">
      <alignment horizontal="general" vertical="center"/>
    </xf>
    <xf numFmtId="3" fontId="8" fillId="0" borderId="1" applyAlignment="1" pivotButton="0" quotePrefix="0" xfId="0">
      <alignment horizontal="general" vertical="center"/>
    </xf>
    <xf numFmtId="2" fontId="8" fillId="0" borderId="1" applyAlignment="1" pivotButton="0" quotePrefix="0" xfId="0">
      <alignment horizontal="general" vertical="center"/>
    </xf>
    <xf numFmtId="0" fontId="10" fillId="7" borderId="2" applyAlignment="1" pivotButton="0" quotePrefix="0" xfId="0">
      <alignment horizontal="center" vertical="center" wrapText="1"/>
    </xf>
    <xf numFmtId="0" fontId="11" fillId="8" borderId="2" pivotButton="0" quotePrefix="0" xfId="0"/>
    <xf numFmtId="166" fontId="11" fillId="8" borderId="2" applyAlignment="1" pivotButton="0" quotePrefix="0" xfId="0">
      <alignment horizontal="general" vertical="center"/>
    </xf>
    <xf numFmtId="0" fontId="11" fillId="8" borderId="2" applyAlignment="1" pivotButton="0" quotePrefix="0" xfId="0">
      <alignment horizontal="general" vertical="center"/>
    </xf>
    <xf numFmtId="3" fontId="11" fillId="8" borderId="2" applyAlignment="1" pivotButton="0" quotePrefix="0" xfId="0">
      <alignment horizontal="general" vertical="center"/>
    </xf>
    <xf numFmtId="2" fontId="11" fillId="8" borderId="2" applyAlignment="1" pivotButton="0" quotePrefix="0" xfId="0">
      <alignment horizontal="general" vertical="center"/>
    </xf>
    <xf numFmtId="167" fontId="11" fillId="8" borderId="2" applyAlignment="1" pivotButton="0" quotePrefix="0" xfId="0">
      <alignment horizontal="general" vertical="center"/>
    </xf>
    <xf numFmtId="167" fontId="12" fillId="8" borderId="2" applyAlignment="1" pivotButton="0" quotePrefix="0" xfId="0">
      <alignment horizontal="general" vertical="center"/>
    </xf>
    <xf numFmtId="165" fontId="12" fillId="8" borderId="2" applyAlignment="1" pivotButton="0" quotePrefix="0" xfId="0">
      <alignment horizontal="general" vertical="center"/>
    </xf>
    <xf numFmtId="165" fontId="11" fillId="8" borderId="2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bottom"/>
    </xf>
    <xf numFmtId="0" fontId="14" fillId="9" borderId="2" applyAlignment="1" pivotButton="0" quotePrefix="0" xfId="0">
      <alignment vertical="center" wrapText="1"/>
    </xf>
    <xf numFmtId="0" fontId="15" fillId="10" borderId="2" pivotButton="0" quotePrefix="0" xfId="0"/>
    <xf numFmtId="166" fontId="15" fillId="10" borderId="2" applyAlignment="1" pivotButton="0" quotePrefix="0" xfId="0">
      <alignment horizontal="general" vertical="center"/>
    </xf>
    <xf numFmtId="0" fontId="15" fillId="10" borderId="2" applyAlignment="1" pivotButton="0" quotePrefix="0" xfId="0">
      <alignment horizontal="general" vertical="center"/>
    </xf>
    <xf numFmtId="3" fontId="15" fillId="10" borderId="2" applyAlignment="1" pivotButton="0" quotePrefix="0" xfId="0">
      <alignment horizontal="general" vertical="center"/>
    </xf>
    <xf numFmtId="2" fontId="15" fillId="10" borderId="2" applyAlignment="1" pivotButton="0" quotePrefix="0" xfId="0">
      <alignment horizontal="general" vertical="center"/>
    </xf>
    <xf numFmtId="167" fontId="15" fillId="10" borderId="2" applyAlignment="1" pivotButton="0" quotePrefix="0" xfId="0">
      <alignment horizontal="general" vertical="center"/>
    </xf>
    <xf numFmtId="167" fontId="16" fillId="10" borderId="2" applyAlignment="1" pivotButton="0" quotePrefix="0" xfId="0">
      <alignment horizontal="general" vertical="center"/>
    </xf>
    <xf numFmtId="165" fontId="16" fillId="10" borderId="2" applyAlignment="1" pivotButton="0" quotePrefix="0" xfId="0">
      <alignment horizontal="general" vertical="center"/>
    </xf>
    <xf numFmtId="165" fontId="15" fillId="10" borderId="2" applyAlignment="1" pivotButton="0" quotePrefix="0" xfId="0">
      <alignment horizontal="general" vertical="center"/>
    </xf>
    <xf numFmtId="0" fontId="13" fillId="0" borderId="3" pivotButton="0" quotePrefix="0" xfId="0"/>
    <xf numFmtId="166" fontId="13" fillId="0" borderId="3" applyAlignment="1" pivotButton="0" quotePrefix="0" xfId="0">
      <alignment horizontal="general" vertical="center"/>
    </xf>
    <xf numFmtId="0" fontId="13" fillId="0" borderId="3" applyAlignment="1" pivotButton="0" quotePrefix="0" xfId="0">
      <alignment horizontal="general" vertical="center"/>
    </xf>
    <xf numFmtId="3" fontId="13" fillId="0" borderId="3" applyAlignment="1" pivotButton="0" quotePrefix="0" xfId="0">
      <alignment horizontal="general" vertical="center"/>
    </xf>
    <xf numFmtId="2" fontId="13" fillId="0" borderId="3" applyAlignment="1" pivotButton="0" quotePrefix="0" xfId="0">
      <alignment horizontal="general" vertical="center"/>
    </xf>
    <xf numFmtId="167" fontId="13" fillId="0" borderId="3" applyAlignment="1" pivotButton="0" quotePrefix="0" xfId="0">
      <alignment horizontal="general" vertical="center"/>
    </xf>
    <xf numFmtId="165" fontId="13" fillId="0" borderId="3" applyAlignment="1" pivotButton="0" quotePrefix="0" xfId="0">
      <alignment horizontal="general" vertical="center"/>
    </xf>
    <xf numFmtId="0" fontId="15" fillId="0" borderId="2" applyAlignment="1" pivotButton="0" quotePrefix="0" xfId="0">
      <alignment horizontal="general" vertical="center"/>
    </xf>
    <xf numFmtId="165" fontId="15" fillId="0" borderId="2" applyAlignment="1" pivotButton="0" quotePrefix="0" xfId="0">
      <alignment horizontal="general" vertical="center"/>
    </xf>
    <xf numFmtId="166" fontId="15" fillId="0" borderId="2" applyAlignment="1" pivotButton="0" quotePrefix="0" xfId="0">
      <alignment horizontal="general" vertical="center"/>
    </xf>
    <xf numFmtId="167" fontId="15" fillId="0" borderId="2" applyAlignment="1" pivotButton="0" quotePrefix="0" xfId="0">
      <alignment horizontal="general" vertical="center"/>
    </xf>
    <xf numFmtId="165" fontId="16" fillId="0" borderId="2" applyAlignment="1" pivotButton="0" quotePrefix="0" xfId="0">
      <alignment horizontal="general" vertical="center"/>
    </xf>
    <xf numFmtId="0" fontId="15" fillId="0" borderId="2" pivotButton="0" quotePrefix="0" xfId="0"/>
    <xf numFmtId="3" fontId="15" fillId="0" borderId="2" applyAlignment="1" pivotButton="0" quotePrefix="0" xfId="0">
      <alignment horizontal="general" vertical="center"/>
    </xf>
    <xf numFmtId="2" fontId="15" fillId="0" borderId="2" applyAlignment="1" pivotButton="0" quotePrefix="0" xfId="0">
      <alignment horizontal="general" vertical="center"/>
    </xf>
    <xf numFmtId="167" fontId="16" fillId="0" borderId="2" applyAlignment="1" pivotButton="0" quotePrefix="0" xfId="0">
      <alignment horizontal="general" vertical="center"/>
    </xf>
    <xf numFmtId="0" fontId="16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833C0C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1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8" customWidth="1" style="24" min="1" max="1"/>
    <col width="110" customWidth="1" style="24" min="2" max="2"/>
  </cols>
  <sheetData>
    <row r="1" ht="32" customHeight="1" s="25">
      <c r="A1" s="26" t="inlineStr">
        <is>
          <t>本文件按模版整理自材料成本.xlsx。原表有数字的单价已转入，无数留空。不含供应商表。表头在第 4 行，数据从第 5 行起。</t>
        </is>
      </c>
    </row>
    <row r="3" ht="22" customHeight="1" s="25">
      <c r="A3" s="27" t="inlineStr">
        <is>
          <t>这份表给人维护价格用。系统报价时来这里取数，不在核算模板里再抄一遍单价。</t>
        </is>
      </c>
    </row>
    <row r="4" ht="22" customHeight="1" s="25">
      <c r="A4" s="27" t="inlineStr">
        <is>
          <t>蓝色字是要填写的数。绿色字是公式，不要手改。黄色行是示例，填真实数据前请改掉或删除。</t>
        </is>
      </c>
    </row>
    <row r="5" ht="22" customHeight="1" s="25">
      <c r="A5" s="27" t="inlineStr">
        <is>
          <t>调价时直接改正文单价，或另存历史副本。本模版不维护「是否当前」「生效日期」。</t>
        </is>
      </c>
    </row>
    <row r="6" ht="22" customHeight="1" s="25">
      <c r="A6" s="27" t="inlineStr">
        <is>
          <t>供应商名称只填在「供应商」表。报价不读取该表。</t>
        </is>
      </c>
    </row>
    <row r="7" ht="22" customHeight="1" s="25">
      <c r="A7" s="27" t="inlineStr">
        <is>
          <t>详细步骤见同目录《填写说明.md》。</t>
        </is>
      </c>
    </row>
    <row r="9" ht="15" customHeight="1" s="25">
      <c r="A9" s="28" t="inlineStr">
        <is>
          <t>工作表</t>
        </is>
      </c>
      <c r="B9" s="28" t="inlineStr">
        <is>
          <t>谁填、填什么</t>
        </is>
      </c>
    </row>
    <row r="10" ht="32" customHeight="1" s="25">
      <c r="A10" s="29" t="inlineStr">
        <is>
          <t>灯珠单价</t>
        </is>
      </c>
      <c r="B10" s="30" t="inlineStr">
        <is>
          <t>成本维护人填写红、绿、蓝灯珠的含税单价。按灯珠批次分行。</t>
        </is>
      </c>
    </row>
    <row r="11" ht="32" customHeight="1" s="25">
      <c r="A11" s="29" t="inlineStr">
        <is>
          <t>套件单价</t>
        </is>
      </c>
      <c r="B11" s="30" t="inlineStr">
        <is>
          <t>成本维护人填写底壳、面罩、胶圈。套件合计由公式算出。按点间距和工艺分行。</t>
        </is>
      </c>
    </row>
    <row r="12" ht="32" customHeight="1" s="25">
      <c r="A12" s="29" t="inlineStr">
        <is>
          <t>模组价格</t>
        </is>
      </c>
      <c r="B12" s="30" t="inlineStr">
        <is>
          <t>成本维护人填写规格、灯珠颗数和加工费。灯珠单价和套件单价从前面两张表取来，含税单价由公式算出。单面灌胶的灌胶加价填 0，双面填加价。</t>
        </is>
      </c>
    </row>
    <row r="13" ht="32" customHeight="1" s="25">
      <c r="A13" s="29" t="inlineStr">
        <is>
          <t>箱体单价</t>
        </is>
      </c>
      <c r="B13" s="30" t="inlineStr">
        <is>
          <t>成本维护人按箱体名称填写含税单价。名称要和核算模板里写的一致。</t>
        </is>
      </c>
    </row>
    <row r="14" ht="32" customHeight="1" s="25">
      <c r="A14" s="29" t="inlineStr">
        <is>
          <t>核算模板</t>
        </is>
      </c>
      <c r="B14" s="30" t="inlineStr">
        <is>
          <t>填写某种情报板用哪种模组、每平方米用多少电源、接收卡和辅料，以及含不含立柱、抱箍、支架、控制箱。这里不填模组单价。绿色的「当前模组含税单价」用来核对能否在模组价格表里找到这一行。</t>
        </is>
      </c>
    </row>
    <row r="15" ht="32" customHeight="1" s="25">
      <c r="A15" s="29" t="inlineStr">
        <is>
          <t>供应商</t>
        </is>
      </c>
      <c r="B15" s="30" t="inlineStr">
        <is>
          <t>只给内部留底。报价不读这张表。</t>
        </is>
      </c>
    </row>
  </sheetData>
  <mergeCells count="6">
    <mergeCell ref="A4:B4"/>
    <mergeCell ref="A7:B7"/>
    <mergeCell ref="A5:B5"/>
    <mergeCell ref="A1:B1"/>
    <mergeCell ref="A3:B3"/>
    <mergeCell ref="A6:B6"/>
  </mergeCells>
  <printOptions horizontalCentered="0" verticalCentered="0" headings="0" gridLines="0" gridLinesSet="1"/>
  <pageMargins left="0.5" right="0.5" top="0.6" bottom="0.6" header="0.3" footer="0.3"/>
  <pageSetup orientation="landscape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&amp;L创迪情报板报价数据整理模版</oddHeader>
    <oddFooter>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C65911"/>
    <outlinePr summaryBelow="1" summaryRight="1"/>
    <pageSetUpPr fitToPage="1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2"/>
    <col width="16" customWidth="1" style="24" min="3" max="3"/>
    <col width="12" customWidth="1" style="24" min="4" max="6"/>
    <col width="42" customWidth="1" style="24" min="7" max="7"/>
  </cols>
  <sheetData>
    <row r="1" ht="26" customHeight="1" s="25"/>
    <row r="2" ht="32" customHeight="1" s="25">
      <c r="A2" s="24" t="inlineStr">
        <is>
          <t>按灯珠批次分行。单价为含税。同一批次只保留一行有效价；本表不维护是否当前/生效日期。</t>
        </is>
      </c>
    </row>
    <row r="4" ht="36" customHeight="1" s="25">
      <c r="A4" s="45" t="inlineStr">
        <is>
          <t>灯珠批次</t>
        </is>
      </c>
      <c r="B4" s="45" t="inlineStr">
        <is>
          <t>R单价</t>
        </is>
      </c>
      <c r="C4" s="45" t="inlineStr">
        <is>
          <t>G单价</t>
        </is>
      </c>
      <c r="D4" s="45" t="inlineStr">
        <is>
          <t>B单价</t>
        </is>
      </c>
      <c r="E4" s="45" t="inlineStr">
        <is>
          <t>备注</t>
        </is>
      </c>
    </row>
    <row r="5" ht="15" customHeight="1" s="25">
      <c r="A5" s="79" t="inlineStr">
        <is>
          <t>批次-510</t>
        </is>
      </c>
      <c r="B5" s="80" t="n"/>
      <c r="C5" s="80" t="n"/>
      <c r="D5" s="80" t="n"/>
      <c r="E5" s="79" t="n"/>
    </row>
    <row r="6" ht="15" customHeight="1" s="25">
      <c r="A6" s="79" t="inlineStr">
        <is>
          <t>批次-310</t>
        </is>
      </c>
      <c r="B6" s="80" t="n"/>
      <c r="C6" s="80" t="n"/>
      <c r="D6" s="80" t="n"/>
      <c r="E6" s="79" t="n"/>
    </row>
    <row r="7" ht="15" customHeight="1" s="25">
      <c r="A7" s="37" t="n"/>
      <c r="B7" s="39" t="n"/>
      <c r="C7" s="39" t="n"/>
      <c r="D7" s="39" t="n"/>
      <c r="E7" s="37" t="n"/>
    </row>
    <row r="8" ht="15" customHeight="1" s="25">
      <c r="A8" s="37" t="n"/>
      <c r="B8" s="39" t="n"/>
      <c r="C8" s="39" t="n"/>
      <c r="D8" s="39" t="n"/>
      <c r="E8" s="37" t="n"/>
    </row>
    <row r="9" ht="15" customHeight="1" s="25">
      <c r="A9" s="37" t="n"/>
      <c r="B9" s="39" t="n"/>
      <c r="C9" s="39" t="n"/>
      <c r="D9" s="39" t="n"/>
      <c r="E9" s="37" t="n"/>
    </row>
    <row r="10" ht="15" customHeight="1" s="25">
      <c r="A10" s="37" t="n"/>
      <c r="B10" s="39" t="n"/>
      <c r="C10" s="39" t="n"/>
      <c r="D10" s="39" t="n"/>
      <c r="E10" s="37" t="n"/>
    </row>
    <row r="11" ht="15" customHeight="1" s="25">
      <c r="A11" s="37" t="n"/>
      <c r="B11" s="39" t="n"/>
      <c r="C11" s="39" t="n"/>
      <c r="D11" s="39" t="n"/>
      <c r="E11" s="37" t="n"/>
    </row>
    <row r="12" ht="15" customHeight="1" s="25">
      <c r="A12" s="37" t="n"/>
      <c r="B12" s="39" t="n"/>
      <c r="C12" s="39" t="n"/>
      <c r="D12" s="39" t="n"/>
      <c r="E12" s="37" t="n"/>
    </row>
    <row r="13" ht="15" customHeight="1" s="25">
      <c r="A13" s="37" t="n"/>
      <c r="B13" s="39" t="n"/>
      <c r="C13" s="39" t="n"/>
      <c r="D13" s="39" t="n"/>
      <c r="E13" s="37" t="n"/>
    </row>
    <row r="14" ht="15" customHeight="1" s="25">
      <c r="A14" s="37" t="n"/>
      <c r="B14" s="39" t="n"/>
      <c r="C14" s="39" t="n"/>
      <c r="D14" s="39" t="n"/>
      <c r="E14" s="37" t="n"/>
    </row>
    <row r="15" ht="15" customHeight="1" s="25">
      <c r="A15" s="37" t="n"/>
      <c r="B15" s="39" t="n"/>
      <c r="C15" s="39" t="n"/>
      <c r="D15" s="39" t="n"/>
      <c r="E15" s="37" t="n"/>
    </row>
    <row r="16" ht="15" customHeight="1" s="25">
      <c r="A16" s="37" t="n"/>
      <c r="B16" s="39" t="n"/>
      <c r="C16" s="39" t="n"/>
      <c r="D16" s="39" t="n"/>
      <c r="E16" s="37" t="n"/>
    </row>
    <row r="17" ht="15" customHeight="1" s="25">
      <c r="A17" s="37" t="n"/>
      <c r="B17" s="39" t="n"/>
      <c r="C17" s="39" t="n"/>
      <c r="D17" s="39" t="n"/>
      <c r="E17" s="37" t="n"/>
    </row>
    <row r="18" ht="15" customHeight="1" s="25">
      <c r="A18" s="37" t="n"/>
      <c r="B18" s="39" t="n"/>
      <c r="C18" s="39" t="n"/>
      <c r="D18" s="39" t="n"/>
      <c r="E18" s="37" t="n"/>
    </row>
    <row r="19" ht="15" customHeight="1" s="25">
      <c r="A19" s="37" t="n"/>
      <c r="B19" s="39" t="n"/>
      <c r="C19" s="39" t="n"/>
      <c r="D19" s="39" t="n"/>
      <c r="E19" s="37" t="n"/>
    </row>
    <row r="20" ht="15" customHeight="1" s="25">
      <c r="A20" s="37" t="n"/>
      <c r="B20" s="39" t="n"/>
      <c r="C20" s="39" t="n"/>
      <c r="D20" s="39" t="n"/>
      <c r="E20" s="37" t="n"/>
    </row>
  </sheetData>
  <autoFilter ref="A4:G40"/>
  <mergeCells count="2">
    <mergeCell ref="A2:E2"/>
    <mergeCell ref="A1:E1"/>
  </mergeCells>
  <dataValidations count="1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&amp;L灯珠单价</oddHeader>
    <oddFooter>&amp;L蓝色字填写，绿色字为公式&amp;R第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3"/>
    <col width="12" customWidth="1" style="24" min="4" max="8"/>
    <col width="14" customWidth="1" style="24" min="9" max="9"/>
    <col width="42" customWidth="1" style="24" min="10" max="10"/>
  </cols>
  <sheetData>
    <row r="1" ht="26" customHeight="1" s="25"/>
    <row r="2" ht="32" customHeight="1" s="25">
      <c r="A2" s="24" t="inlineStr">
        <is>
          <t>按点间距和工艺分行。绿色套件合计不要手改。本表不维护是否当前/生效日期。</t>
        </is>
      </c>
    </row>
    <row r="4" ht="36" customHeight="1" s="25">
      <c r="A4" s="45" t="inlineStr">
        <is>
          <t>点间距_mm</t>
        </is>
      </c>
      <c r="B4" s="45" t="inlineStr">
        <is>
          <t>工艺</t>
        </is>
      </c>
      <c r="C4" s="45" t="inlineStr">
        <is>
          <t>底壳单价</t>
        </is>
      </c>
      <c r="D4" s="45" t="inlineStr">
        <is>
          <t>面罩数量</t>
        </is>
      </c>
      <c r="E4" s="45" t="inlineStr">
        <is>
          <t>面罩单价</t>
        </is>
      </c>
      <c r="F4" s="45" t="inlineStr">
        <is>
          <t>胶圈单价</t>
        </is>
      </c>
      <c r="G4" s="45" t="inlineStr">
        <is>
          <t>套件合计</t>
        </is>
      </c>
      <c r="H4" s="45" t="inlineStr">
        <is>
          <t>备注</t>
        </is>
      </c>
    </row>
    <row r="5" ht="15" customHeight="1" s="25">
      <c r="A5" s="81" t="n">
        <v>10.416</v>
      </c>
      <c r="B5" s="79" t="inlineStr">
        <is>
          <t>贴片</t>
        </is>
      </c>
      <c r="C5" s="80" t="n"/>
      <c r="D5" s="82" t="n"/>
      <c r="E5" s="80" t="n"/>
      <c r="F5" s="80" t="n"/>
      <c r="G5" s="83">
        <f>IF(A5="","",C5+D5*E5+F5)</f>
        <v/>
      </c>
      <c r="H5" s="79" t="n"/>
    </row>
    <row r="6" ht="15" customHeight="1" s="25">
      <c r="A6" s="81" t="n">
        <v>10.416</v>
      </c>
      <c r="B6" s="79" t="inlineStr">
        <is>
          <t>直插</t>
        </is>
      </c>
      <c r="C6" s="80" t="n"/>
      <c r="D6" s="82" t="n"/>
      <c r="E6" s="80" t="n"/>
      <c r="F6" s="80" t="n"/>
      <c r="G6" s="83">
        <f>IF(A6="","",C6+D6*E6+F6)</f>
        <v/>
      </c>
      <c r="H6" s="79" t="n"/>
    </row>
    <row r="7" ht="15" customHeight="1" s="25">
      <c r="A7" s="81" t="n">
        <v>15.625</v>
      </c>
      <c r="B7" s="79" t="n"/>
      <c r="C7" s="80" t="n"/>
      <c r="D7" s="82" t="n"/>
      <c r="E7" s="80" t="n"/>
      <c r="F7" s="80" t="n"/>
      <c r="G7" s="83">
        <f>IF(A7="","",C7+D7*E7+F7)</f>
        <v/>
      </c>
      <c r="H7" s="79" t="n"/>
    </row>
    <row r="8" ht="15" customHeight="1" s="25">
      <c r="A8" s="81" t="n">
        <v>20.833</v>
      </c>
      <c r="B8" s="79" t="n"/>
      <c r="C8" s="80" t="n"/>
      <c r="D8" s="82" t="n"/>
      <c r="E8" s="80" t="n"/>
      <c r="F8" s="80" t="n"/>
      <c r="G8" s="83">
        <f>IF(A8="","",C8+D8*E8+F8)</f>
        <v/>
      </c>
      <c r="H8" s="79" t="n"/>
    </row>
    <row r="9" ht="15" customHeight="1" s="25">
      <c r="A9" s="81" t="n">
        <v>25</v>
      </c>
      <c r="B9" s="79" t="n"/>
      <c r="C9" s="80" t="n"/>
      <c r="D9" s="82" t="n"/>
      <c r="E9" s="80" t="n"/>
      <c r="F9" s="80" t="n"/>
      <c r="G9" s="83">
        <f>IF(A9="","",C9+D9*E9+F9)</f>
        <v/>
      </c>
      <c r="H9" s="79" t="n"/>
    </row>
    <row r="10" ht="15" customHeight="1" s="25">
      <c r="A10" s="81" t="n">
        <v>31.25</v>
      </c>
      <c r="B10" s="79" t="n"/>
      <c r="C10" s="80" t="n"/>
      <c r="D10" s="82" t="n"/>
      <c r="E10" s="80" t="n"/>
      <c r="F10" s="80" t="n"/>
      <c r="G10" s="83">
        <f>IF(A10="","",C10+D10*E10+F10)</f>
        <v/>
      </c>
      <c r="H10" s="79" t="n"/>
    </row>
    <row r="11" ht="15" customHeight="1" s="25">
      <c r="A11" s="43" t="n"/>
      <c r="B11" s="37" t="n"/>
      <c r="C11" s="39" t="n"/>
      <c r="D11" s="44" t="n"/>
      <c r="E11" s="39" t="n"/>
      <c r="F11" s="39" t="n"/>
      <c r="G11" s="42">
        <f>IF(C11="","",E11+F11*G11+H11)</f>
        <v/>
      </c>
      <c r="H11" s="37" t="n"/>
    </row>
    <row r="12" ht="15" customHeight="1" s="25">
      <c r="A12" s="43" t="n"/>
      <c r="B12" s="37" t="n"/>
      <c r="C12" s="39" t="n"/>
      <c r="D12" s="44" t="n"/>
      <c r="E12" s="39" t="n"/>
      <c r="F12" s="39" t="n"/>
      <c r="G12" s="42">
        <f>IF(C12="","",E12+F12*G12+H12)</f>
        <v/>
      </c>
      <c r="H12" s="37" t="n"/>
    </row>
    <row r="13" ht="15" customHeight="1" s="25">
      <c r="A13" s="43" t="n"/>
      <c r="B13" s="37" t="n"/>
      <c r="C13" s="39" t="n"/>
      <c r="D13" s="44" t="n"/>
      <c r="E13" s="39" t="n"/>
      <c r="F13" s="39" t="n"/>
      <c r="G13" s="42">
        <f>IF(C13="","",E13+F13*G13+H13)</f>
        <v/>
      </c>
      <c r="H13" s="37" t="n"/>
    </row>
    <row r="14" ht="15" customHeight="1" s="25">
      <c r="A14" s="43" t="n"/>
      <c r="B14" s="37" t="n"/>
      <c r="C14" s="39" t="n"/>
      <c r="D14" s="44" t="n"/>
      <c r="E14" s="39" t="n"/>
      <c r="F14" s="39" t="n"/>
      <c r="G14" s="42">
        <f>IF(C14="","",E14+F14*G14+H14)</f>
        <v/>
      </c>
      <c r="H14" s="37" t="n"/>
    </row>
    <row r="15" ht="15" customHeight="1" s="25">
      <c r="A15" s="43" t="n"/>
      <c r="B15" s="37" t="n"/>
      <c r="C15" s="39" t="n"/>
      <c r="D15" s="44" t="n"/>
      <c r="E15" s="39" t="n"/>
      <c r="F15" s="39" t="n"/>
      <c r="G15" s="42">
        <f>IF(C15="","",E15+F15*G15+H15)</f>
        <v/>
      </c>
      <c r="H15" s="37" t="n"/>
    </row>
    <row r="16" ht="15" customHeight="1" s="25">
      <c r="A16" s="43" t="n"/>
      <c r="B16" s="37" t="n"/>
      <c r="C16" s="39" t="n"/>
      <c r="D16" s="44" t="n"/>
      <c r="E16" s="39" t="n"/>
      <c r="F16" s="39" t="n"/>
      <c r="G16" s="42">
        <f>IF(C16="","",E16+F16*G16+H16)</f>
        <v/>
      </c>
      <c r="H16" s="37" t="n"/>
    </row>
    <row r="17" ht="15" customHeight="1" s="25">
      <c r="A17" s="43" t="n"/>
      <c r="B17" s="37" t="n"/>
      <c r="C17" s="39" t="n"/>
      <c r="D17" s="44" t="n"/>
      <c r="E17" s="39" t="n"/>
      <c r="F17" s="39" t="n"/>
      <c r="G17" s="42">
        <f>IF(C17="","",E17+F17*G17+H17)</f>
        <v/>
      </c>
      <c r="H17" s="37" t="n"/>
    </row>
    <row r="18" ht="15" customHeight="1" s="25">
      <c r="A18" s="43" t="n"/>
      <c r="B18" s="37" t="n"/>
      <c r="C18" s="39" t="n"/>
      <c r="D18" s="44" t="n"/>
      <c r="E18" s="39" t="n"/>
      <c r="F18" s="39" t="n"/>
      <c r="G18" s="42">
        <f>IF(C18="","",E18+F18*G18+H18)</f>
        <v/>
      </c>
      <c r="H18" s="37" t="n"/>
    </row>
    <row r="19" ht="15" customHeight="1" s="25">
      <c r="A19" s="43" t="n"/>
      <c r="B19" s="37" t="n"/>
      <c r="C19" s="39" t="n"/>
      <c r="D19" s="44" t="n"/>
      <c r="E19" s="39" t="n"/>
      <c r="F19" s="39" t="n"/>
      <c r="G19" s="42">
        <f>IF(C19="","",E19+F19*G19+H19)</f>
        <v/>
      </c>
      <c r="H19" s="37" t="n"/>
    </row>
    <row r="20" ht="15" customHeight="1" s="25">
      <c r="A20" s="43" t="n"/>
      <c r="B20" s="37" t="n"/>
      <c r="C20" s="39" t="n"/>
      <c r="D20" s="44" t="n"/>
      <c r="E20" s="39" t="n"/>
      <c r="F20" s="39" t="n"/>
      <c r="G20" s="42">
        <f>IF(C20="","",E20+F20*G20+H20)</f>
        <v/>
      </c>
      <c r="H20" s="37" t="n"/>
    </row>
  </sheetData>
  <autoFilter ref="A4:J40"/>
  <mergeCells count="2">
    <mergeCell ref="A2:H2"/>
    <mergeCell ref="A1:H1"/>
  </mergeCells>
  <dataValidations count="2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D5:D40" showDropDown="0" showInputMessage="0" showErrorMessage="0" allowBlank="1" errorTitle="填写范围" error="请从列表中选择" type="list" operator="between">
      <formula1>"贴片,直插"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&amp;L套件单价</oddHeader>
    <oddFooter>&amp;L蓝色字填写，绿色字为公式&amp;R第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1F4E79"/>
    <outlinePr summaryBelow="1" summaryRight="1"/>
    <pageSetUpPr fitToPage="1"/>
  </sheetPr>
  <dimension ref="A1:A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3"/>
    <col width="12" customWidth="1" style="24" min="4" max="4"/>
    <col width="16" customWidth="1" style="24" min="5" max="7"/>
    <col width="14" customWidth="1" style="24" min="8" max="9"/>
    <col width="16" customWidth="1" style="24" min="10" max="10"/>
    <col width="10" customWidth="1" style="24" min="11" max="11"/>
    <col width="14" customWidth="1" style="24" min="12" max="12"/>
    <col width="10" customWidth="1" style="24" min="13" max="16"/>
    <col width="12" customWidth="1" style="24" min="17" max="23"/>
    <col width="14" customWidth="1" style="24" min="24" max="24"/>
    <col width="46" customWidth="1" style="24" min="25" max="25"/>
  </cols>
  <sheetData>
    <row r="1" ht="26" customHeight="1" s="25"/>
    <row r="2" ht="32" customHeight="1" s="25">
      <c r="A2" s="61" t="inlineStr">
        <is>
          <t>一行一个规格。单面与双面灌胶同属一行：填加工费和灌胶加价后，含税单价_单面＝灯珠合计＋加工费＋套件单价；含税单价_双面＝单面＋灌胶加价。R/G/B单价从「灯珠单价」按批次取，套件单价从「套件单价」按点间距和工艺取。本表不维护是否当前/生效日期。</t>
        </is>
      </c>
    </row>
    <row r="4" ht="36" customHeight="1" s="25">
      <c r="A4" s="62" t="inlineStr">
        <is>
          <t>名称</t>
        </is>
      </c>
      <c r="B4" s="62" t="inlineStr">
        <is>
          <t>点间距_mm</t>
        </is>
      </c>
      <c r="C4" s="62" t="inlineStr">
        <is>
          <t>配比</t>
        </is>
      </c>
      <c r="D4" s="62" t="inlineStr">
        <is>
          <t>灯珠芯片</t>
        </is>
      </c>
      <c r="E4" s="62" t="inlineStr">
        <is>
          <t>驱动芯片</t>
        </is>
      </c>
      <c r="F4" s="62" t="inlineStr">
        <is>
          <t>亮度_cd每平方米</t>
        </is>
      </c>
      <c r="G4" s="62" t="inlineStr">
        <is>
          <t>模组宽_mm</t>
        </is>
      </c>
      <c r="H4" s="62" t="inlineStr">
        <is>
          <t>模组高_mm</t>
        </is>
      </c>
      <c r="I4" s="62" t="inlineStr">
        <is>
          <t>色品</t>
        </is>
      </c>
      <c r="J4" s="62" t="inlineStr">
        <is>
          <t>灯珠批次</t>
        </is>
      </c>
      <c r="K4" s="62" t="inlineStr">
        <is>
          <t>工艺</t>
        </is>
      </c>
      <c r="L4" s="62" t="inlineStr">
        <is>
          <t>R数量</t>
        </is>
      </c>
      <c r="M4" s="62" t="inlineStr">
        <is>
          <t>G数量</t>
        </is>
      </c>
      <c r="N4" s="62" t="inlineStr">
        <is>
          <t>B数量</t>
        </is>
      </c>
      <c r="O4" s="62" t="inlineStr">
        <is>
          <t>R单价</t>
        </is>
      </c>
      <c r="P4" s="62" t="inlineStr">
        <is>
          <t>G单价</t>
        </is>
      </c>
      <c r="Q4" s="62" t="inlineStr">
        <is>
          <t>B单价</t>
        </is>
      </c>
      <c r="R4" s="62" t="inlineStr">
        <is>
          <t>灯珠合计</t>
        </is>
      </c>
      <c r="S4" s="62" t="inlineStr">
        <is>
          <t>加工费</t>
        </is>
      </c>
      <c r="T4" s="62" t="inlineStr">
        <is>
          <t>套件单价</t>
        </is>
      </c>
      <c r="U4" s="62" t="inlineStr">
        <is>
          <t>灌胶加价</t>
        </is>
      </c>
      <c r="V4" s="62" t="inlineStr">
        <is>
          <t>含税单价_单面</t>
        </is>
      </c>
      <c r="W4" s="62" t="inlineStr">
        <is>
          <t>含税单价_双面</t>
        </is>
      </c>
      <c r="X4" s="62" t="inlineStr">
        <is>
          <t>备注</t>
        </is>
      </c>
    </row>
    <row r="5" ht="15" customHeight="1" s="25">
      <c r="A5" s="84" t="inlineStr">
        <is>
          <t>P33.33</t>
        </is>
      </c>
      <c r="B5" s="81" t="n">
        <v>33.33</v>
      </c>
      <c r="C5" s="79" t="inlineStr">
        <is>
          <t>4R2G</t>
        </is>
      </c>
      <c r="D5" s="79" t="inlineStr">
        <is>
          <t>晶元金线</t>
        </is>
      </c>
      <c r="E5" s="79" t="inlineStr">
        <is>
          <t>5034B</t>
        </is>
      </c>
      <c r="F5" s="85" t="n">
        <v>15000</v>
      </c>
      <c r="G5" s="86" t="n">
        <v>266.64</v>
      </c>
      <c r="H5" s="86" t="n">
        <v>133.32</v>
      </c>
      <c r="I5" s="79" t="inlineStr">
        <is>
          <t>黄色</t>
        </is>
      </c>
      <c r="J5" s="79" t="inlineStr">
        <is>
          <t>批次-510</t>
        </is>
      </c>
      <c r="K5" s="79" t="inlineStr">
        <is>
          <t>贴片</t>
        </is>
      </c>
      <c r="L5" s="79" t="n">
        <v>128</v>
      </c>
      <c r="M5" s="82" t="n">
        <v>64</v>
      </c>
      <c r="N5" s="82" t="n"/>
      <c r="O5" s="87">
        <f>IF(J5="","",SUMIFS(灯珠单价!B:B,灯珠单价!A:A,J5))</f>
        <v/>
      </c>
      <c r="P5" s="83">
        <f>IF(J5="","",SUMIFS(灯珠单价!C:C,灯珠单价!A:A,J5))</f>
        <v/>
      </c>
      <c r="Q5" s="83">
        <f>IF(J5="","",SUMIFS(灯珠单价!D:D,灯珠单价!A:A,J5))</f>
        <v/>
      </c>
      <c r="R5" s="83">
        <f>IF(B5="","",L5*O5+M5*P5+N5*Q5)</f>
        <v/>
      </c>
      <c r="S5" s="80" t="n"/>
      <c r="T5" s="83">
        <f>IF(B5="","",SUMIFS(套件单价!G:G,套件单价!A:A,B5,套件单价!B:B,K5))</f>
        <v/>
      </c>
      <c r="U5" s="80" t="n">
        <v>1.5</v>
      </c>
      <c r="V5" s="83">
        <f>IF(B5="","",R5+S5+T5)</f>
        <v/>
      </c>
      <c r="W5" s="83">
        <f>IF(B5="","",V5+U5)</f>
        <v/>
      </c>
      <c r="X5" s="79" t="n"/>
    </row>
    <row r="6" ht="15" customHeight="1" s="25">
      <c r="A6" s="84" t="inlineStr">
        <is>
          <t>P33.33</t>
        </is>
      </c>
      <c r="B6" s="81" t="n">
        <v>33.33</v>
      </c>
      <c r="C6" s="79" t="inlineStr">
        <is>
          <t>4R2G1B</t>
        </is>
      </c>
      <c r="D6" s="79" t="inlineStr">
        <is>
          <t>晶元金线</t>
        </is>
      </c>
      <c r="E6" s="79" t="inlineStr">
        <is>
          <t>5034B</t>
        </is>
      </c>
      <c r="F6" s="85" t="n">
        <v>15000</v>
      </c>
      <c r="G6" s="86" t="n">
        <v>266.64</v>
      </c>
      <c r="H6" s="86" t="n">
        <v>133.32</v>
      </c>
      <c r="I6" s="79" t="inlineStr">
        <is>
          <t>黄白</t>
        </is>
      </c>
      <c r="J6" s="79" t="inlineStr">
        <is>
          <t>批次-510</t>
        </is>
      </c>
      <c r="K6" s="79" t="inlineStr">
        <is>
          <t>贴片</t>
        </is>
      </c>
      <c r="L6" s="79" t="n">
        <v>128</v>
      </c>
      <c r="M6" s="82" t="n">
        <v>64</v>
      </c>
      <c r="N6" s="82" t="n">
        <v>32</v>
      </c>
      <c r="O6" s="87">
        <f>IF(J6="","",SUMIFS(灯珠单价!B:B,灯珠单价!A:A,J6))</f>
        <v/>
      </c>
      <c r="P6" s="83">
        <f>IF(J6="","",SUMIFS(灯珠单价!C:C,灯珠单价!A:A,J6))</f>
        <v/>
      </c>
      <c r="Q6" s="83">
        <f>IF(J6="","",SUMIFS(灯珠单价!D:D,灯珠单价!A:A,J6))</f>
        <v/>
      </c>
      <c r="R6" s="83">
        <f>IF(B6="","",L6*O6+M6*P6+N6*Q6)</f>
        <v/>
      </c>
      <c r="S6" s="80" t="n"/>
      <c r="T6" s="83">
        <f>IF(B6="","",SUMIFS(套件单价!G:G,套件单价!A:A,B6,套件单价!B:B,K6))</f>
        <v/>
      </c>
      <c r="U6" s="80" t="n">
        <v>1.5</v>
      </c>
      <c r="V6" s="83">
        <f>IF(B6="","",R6+S6+T6)</f>
        <v/>
      </c>
      <c r="W6" s="83">
        <f>IF(B6="","",V6+U6)</f>
        <v/>
      </c>
      <c r="X6" s="79" t="n"/>
      <c r="Y6" s="72" t="n"/>
      <c r="Z6" s="72" t="n"/>
      <c r="AA6" s="72" t="n"/>
      <c r="AB6" s="72" t="n"/>
      <c r="AC6" s="72" t="n"/>
    </row>
    <row r="7" ht="15" customHeight="1" s="25">
      <c r="A7" s="84" t="inlineStr">
        <is>
          <t>P33.33</t>
        </is>
      </c>
      <c r="B7" s="81" t="n">
        <v>33.33</v>
      </c>
      <c r="C7" s="79" t="inlineStr">
        <is>
          <t>3R2G</t>
        </is>
      </c>
      <c r="D7" s="79" t="inlineStr">
        <is>
          <t>晶元金线</t>
        </is>
      </c>
      <c r="E7" s="79" t="inlineStr">
        <is>
          <t>5034B</t>
        </is>
      </c>
      <c r="F7" s="85" t="n">
        <v>15000</v>
      </c>
      <c r="G7" s="86" t="n">
        <v>266.64</v>
      </c>
      <c r="H7" s="86" t="n">
        <v>133.32</v>
      </c>
      <c r="I7" s="79" t="inlineStr">
        <is>
          <t>黄色</t>
        </is>
      </c>
      <c r="J7" s="79" t="inlineStr">
        <is>
          <t>批次-510</t>
        </is>
      </c>
      <c r="K7" s="79" t="inlineStr">
        <is>
          <t>贴片</t>
        </is>
      </c>
      <c r="L7" s="79" t="n">
        <v>96</v>
      </c>
      <c r="M7" s="82" t="n">
        <v>64</v>
      </c>
      <c r="N7" s="82" t="n"/>
      <c r="O7" s="87">
        <f>IF(J7="","",SUMIFS(灯珠单价!B:B,灯珠单价!A:A,J7))</f>
        <v/>
      </c>
      <c r="P7" s="83">
        <f>IF(J7="","",SUMIFS(灯珠单价!C:C,灯珠单价!A:A,J7))</f>
        <v/>
      </c>
      <c r="Q7" s="83">
        <f>IF(J7="","",SUMIFS(灯珠单价!D:D,灯珠单价!A:A,J7))</f>
        <v/>
      </c>
      <c r="R7" s="83">
        <f>IF(B7="","",L7*O7+M7*P7+N7*Q7)</f>
        <v/>
      </c>
      <c r="S7" s="80" t="n"/>
      <c r="T7" s="83">
        <f>IF(B7="","",SUMIFS(套件单价!G:G,套件单价!A:A,B7,套件单价!B:B,K7))</f>
        <v/>
      </c>
      <c r="U7" s="80" t="n">
        <v>1.5</v>
      </c>
      <c r="V7" s="83">
        <f>IF(B7="","",R7+S7+T7)</f>
        <v/>
      </c>
      <c r="W7" s="83">
        <f>IF(B7="","",V7+U7)</f>
        <v/>
      </c>
      <c r="X7" s="79" t="n"/>
      <c r="Y7" s="72" t="n"/>
      <c r="Z7" s="72" t="n"/>
      <c r="AA7" s="72" t="n"/>
      <c r="AB7" s="72" t="n"/>
      <c r="AC7" s="72" t="n"/>
    </row>
    <row r="8" ht="15" customHeight="1" s="25">
      <c r="A8" s="84" t="inlineStr">
        <is>
          <t>P33.33</t>
        </is>
      </c>
      <c r="B8" s="81" t="n">
        <v>33.33</v>
      </c>
      <c r="C8" s="79" t="inlineStr">
        <is>
          <t>2R1G</t>
        </is>
      </c>
      <c r="D8" s="79" t="inlineStr">
        <is>
          <t>晶元金线</t>
        </is>
      </c>
      <c r="E8" s="79" t="inlineStr">
        <is>
          <t>5034B</t>
        </is>
      </c>
      <c r="F8" s="85" t="n">
        <v>15000</v>
      </c>
      <c r="G8" s="86" t="n">
        <v>266.64</v>
      </c>
      <c r="H8" s="86" t="n">
        <v>133.32</v>
      </c>
      <c r="I8" s="79" t="inlineStr">
        <is>
          <t>黄色</t>
        </is>
      </c>
      <c r="J8" s="79" t="inlineStr">
        <is>
          <t>批次-510</t>
        </is>
      </c>
      <c r="K8" s="79" t="inlineStr">
        <is>
          <t>贴片</t>
        </is>
      </c>
      <c r="L8" s="79" t="n">
        <v>64</v>
      </c>
      <c r="M8" s="82" t="n">
        <v>32</v>
      </c>
      <c r="N8" s="82" t="n"/>
      <c r="O8" s="87">
        <f>IF(J8="","",SUMIFS(灯珠单价!B:B,灯珠单价!A:A,J8))</f>
        <v/>
      </c>
      <c r="P8" s="83">
        <f>IF(J8="","",SUMIFS(灯珠单价!C:C,灯珠单价!A:A,J8))</f>
        <v/>
      </c>
      <c r="Q8" s="83">
        <f>IF(J8="","",SUMIFS(灯珠单价!D:D,灯珠单价!A:A,J8))</f>
        <v/>
      </c>
      <c r="R8" s="83">
        <f>IF(B8="","",L8*O8+M8*P8+N8*Q8)</f>
        <v/>
      </c>
      <c r="S8" s="80" t="n"/>
      <c r="T8" s="83">
        <f>IF(B8="","",SUMIFS(套件单价!G:G,套件单价!A:A,B8,套件单价!B:B,K8))</f>
        <v/>
      </c>
      <c r="U8" s="80" t="n">
        <v>1.5</v>
      </c>
      <c r="V8" s="83">
        <f>IF(B8="","",R8+S8+T8)</f>
        <v/>
      </c>
      <c r="W8" s="83">
        <f>IF(B8="","",V8+U8)</f>
        <v/>
      </c>
      <c r="X8" s="79" t="n"/>
      <c r="Y8" s="72" t="n"/>
      <c r="Z8" s="72" t="n"/>
      <c r="AA8" s="72" t="n"/>
      <c r="AB8" s="72" t="n"/>
      <c r="AC8" s="72" t="n"/>
    </row>
    <row r="9" ht="15" customHeight="1" s="25">
      <c r="A9" s="84" t="inlineStr">
        <is>
          <t>P31.25</t>
        </is>
      </c>
      <c r="B9" s="81" t="n">
        <v>31.25</v>
      </c>
      <c r="C9" s="79" t="inlineStr">
        <is>
          <t>4R2G</t>
        </is>
      </c>
      <c r="D9" s="79" t="inlineStr">
        <is>
          <t>晶元金线</t>
        </is>
      </c>
      <c r="E9" s="79" t="inlineStr">
        <is>
          <t>5034B</t>
        </is>
      </c>
      <c r="F9" s="85" t="n">
        <v>15000</v>
      </c>
      <c r="G9" s="86" t="n">
        <v>250</v>
      </c>
      <c r="H9" s="86" t="n">
        <v>250</v>
      </c>
      <c r="I9" s="79" t="inlineStr">
        <is>
          <t>黄色</t>
        </is>
      </c>
      <c r="J9" s="79" t="inlineStr">
        <is>
          <t>批次-510</t>
        </is>
      </c>
      <c r="K9" s="79" t="inlineStr">
        <is>
          <t>贴片</t>
        </is>
      </c>
      <c r="L9" s="79" t="n">
        <v>256</v>
      </c>
      <c r="M9" s="82" t="n">
        <v>128</v>
      </c>
      <c r="N9" s="82" t="n"/>
      <c r="O9" s="87">
        <f>IF(J9="","",SUMIFS(灯珠单价!B:B,灯珠单价!A:A,J9))</f>
        <v/>
      </c>
      <c r="P9" s="83">
        <f>IF(J9="","",SUMIFS(灯珠单价!C:C,灯珠单价!A:A,J9))</f>
        <v/>
      </c>
      <c r="Q9" s="83">
        <f>IF(J9="","",SUMIFS(灯珠单价!D:D,灯珠单价!A:A,J9))</f>
        <v/>
      </c>
      <c r="R9" s="83">
        <f>IF(B9="","",L9*O9+M9*P9+N9*Q9)</f>
        <v/>
      </c>
      <c r="S9" s="80" t="n"/>
      <c r="T9" s="83">
        <f>IF(B9="","",SUMIFS(套件单价!G:G,套件单价!A:A,B9,套件单价!B:B,K9))</f>
        <v/>
      </c>
      <c r="U9" s="80" t="n">
        <v>3.5</v>
      </c>
      <c r="V9" s="83">
        <f>IF(B9="","",R9+S9+T9)</f>
        <v/>
      </c>
      <c r="W9" s="83">
        <f>IF(B9="","",V9+U9)</f>
        <v/>
      </c>
      <c r="X9" s="79" t="n"/>
      <c r="Y9" s="72" t="n"/>
      <c r="Z9" s="72" t="n"/>
      <c r="AA9" s="72" t="n"/>
      <c r="AB9" s="72" t="n"/>
      <c r="AC9" s="72" t="n"/>
    </row>
    <row r="10" ht="15" customHeight="1" s="25">
      <c r="A10" s="84" t="inlineStr">
        <is>
          <t>P31.25</t>
        </is>
      </c>
      <c r="B10" s="81" t="n">
        <v>31.25</v>
      </c>
      <c r="C10" s="79" t="inlineStr">
        <is>
          <t>4R2G1B</t>
        </is>
      </c>
      <c r="D10" s="79" t="inlineStr">
        <is>
          <t>晶元金线</t>
        </is>
      </c>
      <c r="E10" s="79" t="inlineStr">
        <is>
          <t>5034B</t>
        </is>
      </c>
      <c r="F10" s="85" t="n">
        <v>15000</v>
      </c>
      <c r="G10" s="86" t="n">
        <v>250</v>
      </c>
      <c r="H10" s="86" t="n">
        <v>250</v>
      </c>
      <c r="I10" s="79" t="inlineStr">
        <is>
          <t>黄白</t>
        </is>
      </c>
      <c r="J10" s="79" t="inlineStr">
        <is>
          <t>批次-510</t>
        </is>
      </c>
      <c r="K10" s="79" t="inlineStr">
        <is>
          <t>贴片</t>
        </is>
      </c>
      <c r="L10" s="79" t="n">
        <v>256</v>
      </c>
      <c r="M10" s="82" t="n">
        <v>128</v>
      </c>
      <c r="N10" s="82" t="n">
        <v>64</v>
      </c>
      <c r="O10" s="87">
        <f>IF(J10="","",SUMIFS(灯珠单价!B:B,灯珠单价!A:A,J10))</f>
        <v/>
      </c>
      <c r="P10" s="83">
        <f>IF(J10="","",SUMIFS(灯珠单价!C:C,灯珠单价!A:A,J10))</f>
        <v/>
      </c>
      <c r="Q10" s="83">
        <f>IF(J10="","",SUMIFS(灯珠单价!D:D,灯珠单价!A:A,J10))</f>
        <v/>
      </c>
      <c r="R10" s="83">
        <f>IF(B10="","",L10*O10+M10*P10+N10*Q10)</f>
        <v/>
      </c>
      <c r="S10" s="80" t="n"/>
      <c r="T10" s="83">
        <f>IF(B10="","",SUMIFS(套件单价!G:G,套件单价!A:A,B10,套件单价!B:B,K10))</f>
        <v/>
      </c>
      <c r="U10" s="80" t="n">
        <v>3.5</v>
      </c>
      <c r="V10" s="83">
        <f>IF(B10="","",R10+S10+T10)</f>
        <v/>
      </c>
      <c r="W10" s="83">
        <f>IF(B10="","",V10+U10)</f>
        <v/>
      </c>
      <c r="X10" s="79" t="n"/>
      <c r="Y10" s="72" t="n"/>
      <c r="Z10" s="72" t="n"/>
      <c r="AA10" s="72" t="n"/>
      <c r="AB10" s="72" t="n"/>
      <c r="AC10" s="72" t="n"/>
    </row>
    <row r="11" ht="15" customHeight="1" s="25">
      <c r="A11" s="84" t="inlineStr">
        <is>
          <t>P31.25</t>
        </is>
      </c>
      <c r="B11" s="81" t="n">
        <v>31.25</v>
      </c>
      <c r="C11" s="79" t="inlineStr">
        <is>
          <t>3R2G</t>
        </is>
      </c>
      <c r="D11" s="79" t="inlineStr">
        <is>
          <t>晶元金线</t>
        </is>
      </c>
      <c r="E11" s="79" t="inlineStr">
        <is>
          <t>5034B</t>
        </is>
      </c>
      <c r="F11" s="85" t="n">
        <v>15000</v>
      </c>
      <c r="G11" s="86" t="n">
        <v>250</v>
      </c>
      <c r="H11" s="86" t="n">
        <v>250</v>
      </c>
      <c r="I11" s="79" t="inlineStr">
        <is>
          <t>黄色</t>
        </is>
      </c>
      <c r="J11" s="79" t="inlineStr">
        <is>
          <t>批次-510</t>
        </is>
      </c>
      <c r="K11" s="79" t="inlineStr">
        <is>
          <t>贴片</t>
        </is>
      </c>
      <c r="L11" s="79" t="n">
        <v>192</v>
      </c>
      <c r="M11" s="82" t="n">
        <v>128</v>
      </c>
      <c r="N11" s="82" t="n"/>
      <c r="O11" s="87">
        <f>IF(J11="","",SUMIFS(灯珠单价!B:B,灯珠单价!A:A,J11))</f>
        <v/>
      </c>
      <c r="P11" s="83">
        <f>IF(J11="","",SUMIFS(灯珠单价!C:C,灯珠单价!A:A,J11))</f>
        <v/>
      </c>
      <c r="Q11" s="83">
        <f>IF(J11="","",SUMIFS(灯珠单价!D:D,灯珠单价!A:A,J11))</f>
        <v/>
      </c>
      <c r="R11" s="83">
        <f>IF(B11="","",L11*O11+M11*P11+N11*Q11)</f>
        <v/>
      </c>
      <c r="S11" s="80" t="n"/>
      <c r="T11" s="83">
        <f>IF(B11="","",SUMIFS(套件单价!G:G,套件单价!A:A,B11,套件单价!B:B,K11))</f>
        <v/>
      </c>
      <c r="U11" s="80" t="n">
        <v>3.5</v>
      </c>
      <c r="V11" s="83">
        <f>IF(B11="","",R11+S11+T11)</f>
        <v/>
      </c>
      <c r="W11" s="83">
        <f>IF(B11="","",V11+U11)</f>
        <v/>
      </c>
      <c r="X11" s="79" t="n"/>
      <c r="Y11" s="72" t="n"/>
      <c r="Z11" s="72" t="n"/>
      <c r="AA11" s="72" t="n"/>
      <c r="AB11" s="72" t="n"/>
      <c r="AC11" s="72" t="n"/>
    </row>
    <row r="12" ht="15" customHeight="1" s="25">
      <c r="A12" s="84" t="inlineStr">
        <is>
          <t>P31.25</t>
        </is>
      </c>
      <c r="B12" s="81" t="n">
        <v>31.25</v>
      </c>
      <c r="C12" s="79" t="inlineStr">
        <is>
          <t>3R2G1B</t>
        </is>
      </c>
      <c r="D12" s="79" t="inlineStr">
        <is>
          <t>晶元金线</t>
        </is>
      </c>
      <c r="E12" s="79" t="inlineStr">
        <is>
          <t>5034B</t>
        </is>
      </c>
      <c r="F12" s="85" t="n">
        <v>15000</v>
      </c>
      <c r="G12" s="86" t="n">
        <v>250</v>
      </c>
      <c r="H12" s="86" t="n">
        <v>250</v>
      </c>
      <c r="I12" s="79" t="inlineStr">
        <is>
          <t>黄白</t>
        </is>
      </c>
      <c r="J12" s="79" t="inlineStr">
        <is>
          <t>批次-510</t>
        </is>
      </c>
      <c r="K12" s="79" t="inlineStr">
        <is>
          <t>贴片</t>
        </is>
      </c>
      <c r="L12" s="79" t="n">
        <v>192</v>
      </c>
      <c r="M12" s="82" t="n">
        <v>128</v>
      </c>
      <c r="N12" s="82" t="n">
        <v>64</v>
      </c>
      <c r="O12" s="87">
        <f>IF(J12="","",SUMIFS(灯珠单价!B:B,灯珠单价!A:A,J12))</f>
        <v/>
      </c>
      <c r="P12" s="83">
        <f>IF(J12="","",SUMIFS(灯珠单价!C:C,灯珠单价!A:A,J12))</f>
        <v/>
      </c>
      <c r="Q12" s="83">
        <f>IF(J12="","",SUMIFS(灯珠单价!D:D,灯珠单价!A:A,J12))</f>
        <v/>
      </c>
      <c r="R12" s="83">
        <f>IF(B12="","",L12*O12+M12*P12+N12*Q12)</f>
        <v/>
      </c>
      <c r="S12" s="80" t="n"/>
      <c r="T12" s="83">
        <f>IF(B12="","",SUMIFS(套件单价!G:G,套件单价!A:A,B12,套件单价!B:B,K12))</f>
        <v/>
      </c>
      <c r="U12" s="80" t="n">
        <v>3.5</v>
      </c>
      <c r="V12" s="83">
        <f>IF(B12="","",R12+S12+T12)</f>
        <v/>
      </c>
      <c r="W12" s="83">
        <f>IF(B12="","",V12+U12)</f>
        <v/>
      </c>
      <c r="X12" s="79" t="n"/>
      <c r="Y12" s="72" t="n"/>
      <c r="Z12" s="72" t="n"/>
      <c r="AA12" s="72" t="n"/>
      <c r="AB12" s="72" t="n"/>
      <c r="AC12" s="72" t="n"/>
    </row>
    <row r="13" ht="15" customHeight="1" s="25">
      <c r="A13" s="84" t="inlineStr">
        <is>
          <t>P31.25</t>
        </is>
      </c>
      <c r="B13" s="81" t="n">
        <v>31.25</v>
      </c>
      <c r="C13" s="79" t="inlineStr">
        <is>
          <t>2R1G</t>
        </is>
      </c>
      <c r="D13" s="79" t="inlineStr">
        <is>
          <t>晶元金线</t>
        </is>
      </c>
      <c r="E13" s="79" t="inlineStr">
        <is>
          <t>5034B</t>
        </is>
      </c>
      <c r="F13" s="85" t="n">
        <v>15000</v>
      </c>
      <c r="G13" s="86" t="n">
        <v>250</v>
      </c>
      <c r="H13" s="86" t="n">
        <v>250</v>
      </c>
      <c r="I13" s="79" t="inlineStr">
        <is>
          <t>黄色</t>
        </is>
      </c>
      <c r="J13" s="79" t="inlineStr">
        <is>
          <t>批次-510</t>
        </is>
      </c>
      <c r="K13" s="79" t="inlineStr">
        <is>
          <t>贴片</t>
        </is>
      </c>
      <c r="L13" s="79" t="n">
        <v>128</v>
      </c>
      <c r="M13" s="82" t="n">
        <v>64</v>
      </c>
      <c r="N13" s="82" t="n"/>
      <c r="O13" s="87">
        <f>IF(J13="","",SUMIFS(灯珠单价!B:B,灯珠单价!A:A,J13))</f>
        <v/>
      </c>
      <c r="P13" s="83">
        <f>IF(J13="","",SUMIFS(灯珠单价!C:C,灯珠单价!A:A,J13))</f>
        <v/>
      </c>
      <c r="Q13" s="83">
        <f>IF(J13="","",SUMIFS(灯珠单价!D:D,灯珠单价!A:A,J13))</f>
        <v/>
      </c>
      <c r="R13" s="83">
        <f>IF(B13="","",L13*O13+M13*P13+N13*Q13)</f>
        <v/>
      </c>
      <c r="S13" s="80" t="n"/>
      <c r="T13" s="83">
        <f>IF(B13="","",SUMIFS(套件单价!G:G,套件单价!A:A,B13,套件单价!B:B,K13))</f>
        <v/>
      </c>
      <c r="U13" s="80" t="n">
        <v>3.5</v>
      </c>
      <c r="V13" s="83">
        <f>IF(B13="","",R13+S13+T13)</f>
        <v/>
      </c>
      <c r="W13" s="83">
        <f>IF(B13="","",V13+U13)</f>
        <v/>
      </c>
      <c r="X13" s="79" t="n"/>
      <c r="Y13" s="72" t="n"/>
      <c r="Z13" s="72" t="n"/>
      <c r="AA13" s="72" t="n"/>
      <c r="AB13" s="72" t="n"/>
      <c r="AC13" s="72" t="n"/>
    </row>
    <row r="14" ht="15" customHeight="1" s="25">
      <c r="A14" s="84" t="inlineStr">
        <is>
          <t>P31.25</t>
        </is>
      </c>
      <c r="B14" s="81" t="n">
        <v>31.25</v>
      </c>
      <c r="C14" s="79" t="inlineStr">
        <is>
          <t>2R1G1B</t>
        </is>
      </c>
      <c r="D14" s="79" t="inlineStr">
        <is>
          <t>晶元金线</t>
        </is>
      </c>
      <c r="E14" s="79" t="inlineStr">
        <is>
          <t>5034B</t>
        </is>
      </c>
      <c r="F14" s="85" t="n">
        <v>15000</v>
      </c>
      <c r="G14" s="86" t="n">
        <v>250</v>
      </c>
      <c r="H14" s="86" t="n">
        <v>250</v>
      </c>
      <c r="I14" s="79" t="inlineStr">
        <is>
          <t>黄白</t>
        </is>
      </c>
      <c r="J14" s="79" t="inlineStr">
        <is>
          <t>批次-510</t>
        </is>
      </c>
      <c r="K14" s="79" t="inlineStr">
        <is>
          <t>贴片</t>
        </is>
      </c>
      <c r="L14" s="79" t="n">
        <v>128</v>
      </c>
      <c r="M14" s="82" t="n">
        <v>64</v>
      </c>
      <c r="N14" s="82" t="n">
        <v>64</v>
      </c>
      <c r="O14" s="87">
        <f>IF(J14="","",SUMIFS(灯珠单价!B:B,灯珠单价!A:A,J14))</f>
        <v/>
      </c>
      <c r="P14" s="83">
        <f>IF(J14="","",SUMIFS(灯珠单价!C:C,灯珠单价!A:A,J14))</f>
        <v/>
      </c>
      <c r="Q14" s="83">
        <f>IF(J14="","",SUMIFS(灯珠单价!D:D,灯珠单价!A:A,J14))</f>
        <v/>
      </c>
      <c r="R14" s="83">
        <f>IF(B14="","",L14*O14+M14*P14+N14*Q14)</f>
        <v/>
      </c>
      <c r="S14" s="80" t="n"/>
      <c r="T14" s="83">
        <f>IF(B14="","",SUMIFS(套件单价!G:G,套件单价!A:A,B14,套件单价!B:B,K14))</f>
        <v/>
      </c>
      <c r="U14" s="80" t="n">
        <v>3.5</v>
      </c>
      <c r="V14" s="83">
        <f>IF(B14="","",R14+S14+T14)</f>
        <v/>
      </c>
      <c r="W14" s="83">
        <f>IF(B14="","",V14+U14)</f>
        <v/>
      </c>
      <c r="X14" s="79" t="n"/>
      <c r="Y14" s="72" t="n"/>
      <c r="Z14" s="72" t="n"/>
      <c r="AA14" s="72" t="n"/>
      <c r="AB14" s="72" t="n"/>
      <c r="AC14" s="72" t="n"/>
    </row>
    <row r="15" ht="15" customHeight="1" s="25">
      <c r="A15" s="84" t="inlineStr">
        <is>
          <t>P25</t>
        </is>
      </c>
      <c r="B15" s="81" t="n">
        <v>25</v>
      </c>
      <c r="C15" s="79" t="inlineStr">
        <is>
          <t>4R2G</t>
        </is>
      </c>
      <c r="D15" s="79" t="inlineStr">
        <is>
          <t>晶元金线</t>
        </is>
      </c>
      <c r="E15" s="79" t="inlineStr">
        <is>
          <t>5034B</t>
        </is>
      </c>
      <c r="F15" s="85" t="n">
        <v>15000</v>
      </c>
      <c r="G15" s="86" t="n">
        <v>200</v>
      </c>
      <c r="H15" s="86" t="n">
        <v>200</v>
      </c>
      <c r="I15" s="79" t="inlineStr">
        <is>
          <t>黄色</t>
        </is>
      </c>
      <c r="J15" s="79" t="inlineStr">
        <is>
          <t>批次-510</t>
        </is>
      </c>
      <c r="K15" s="79" t="inlineStr">
        <is>
          <t>贴片</t>
        </is>
      </c>
      <c r="L15" s="79" t="n">
        <v>256</v>
      </c>
      <c r="M15" s="82" t="n">
        <v>128</v>
      </c>
      <c r="N15" s="82" t="n"/>
      <c r="O15" s="87">
        <f>IF(J15="","",SUMIFS(灯珠单价!B:B,灯珠单价!A:A,J15))</f>
        <v/>
      </c>
      <c r="P15" s="83">
        <f>IF(J15="","",SUMIFS(灯珠单价!C:C,灯珠单价!A:A,J15))</f>
        <v/>
      </c>
      <c r="Q15" s="83">
        <f>IF(J15="","",SUMIFS(灯珠单价!D:D,灯珠单价!A:A,J15))</f>
        <v/>
      </c>
      <c r="R15" s="83">
        <f>IF(B15="","",L15*O15+M15*P15+N15*Q15)</f>
        <v/>
      </c>
      <c r="S15" s="80" t="n"/>
      <c r="T15" s="83">
        <f>IF(B15="","",SUMIFS(套件单价!G:G,套件单价!A:A,B15,套件单价!B:B,K15))</f>
        <v/>
      </c>
      <c r="U15" s="80" t="n">
        <v>2.5</v>
      </c>
      <c r="V15" s="83">
        <f>IF(B15="","",R15+S15+T15)</f>
        <v/>
      </c>
      <c r="W15" s="83">
        <f>IF(B15="","",V15+U15)</f>
        <v/>
      </c>
      <c r="X15" s="79" t="n"/>
      <c r="Y15" s="72" t="n"/>
      <c r="Z15" s="72" t="n"/>
      <c r="AA15" s="72" t="n"/>
      <c r="AB15" s="72" t="n"/>
      <c r="AC15" s="72" t="n"/>
    </row>
    <row r="16" ht="15" customHeight="1" s="25">
      <c r="A16" s="84" t="inlineStr">
        <is>
          <t>P25</t>
        </is>
      </c>
      <c r="B16" s="81" t="n">
        <v>25</v>
      </c>
      <c r="C16" s="79" t="inlineStr">
        <is>
          <t>3R2G</t>
        </is>
      </c>
      <c r="D16" s="79" t="inlineStr">
        <is>
          <t>晶元金线</t>
        </is>
      </c>
      <c r="E16" s="79" t="inlineStr">
        <is>
          <t>5034B</t>
        </is>
      </c>
      <c r="F16" s="85" t="n">
        <v>15000</v>
      </c>
      <c r="G16" s="86" t="n">
        <v>200</v>
      </c>
      <c r="H16" s="86" t="n">
        <v>200</v>
      </c>
      <c r="I16" s="79" t="inlineStr">
        <is>
          <t>黄色</t>
        </is>
      </c>
      <c r="J16" s="79" t="inlineStr">
        <is>
          <t>批次-510</t>
        </is>
      </c>
      <c r="K16" s="79" t="inlineStr">
        <is>
          <t>贴片</t>
        </is>
      </c>
      <c r="L16" s="79" t="n">
        <v>192</v>
      </c>
      <c r="M16" s="82" t="n">
        <v>128</v>
      </c>
      <c r="N16" s="82" t="n"/>
      <c r="O16" s="87">
        <f>IF(J16="","",SUMIFS(灯珠单价!B:B,灯珠单价!A:A,J16))</f>
        <v/>
      </c>
      <c r="P16" s="83">
        <f>IF(J16="","",SUMIFS(灯珠单价!C:C,灯珠单价!A:A,J16))</f>
        <v/>
      </c>
      <c r="Q16" s="83">
        <f>IF(J16="","",SUMIFS(灯珠单价!D:D,灯珠单价!A:A,J16))</f>
        <v/>
      </c>
      <c r="R16" s="83">
        <f>IF(B16="","",L16*O16+M16*P16+N16*Q16)</f>
        <v/>
      </c>
      <c r="S16" s="80" t="n"/>
      <c r="T16" s="83">
        <f>IF(B16="","",SUMIFS(套件单价!G:G,套件单价!A:A,B16,套件单价!B:B,K16))</f>
        <v/>
      </c>
      <c r="U16" s="80" t="n">
        <v>2.5</v>
      </c>
      <c r="V16" s="83">
        <f>IF(B16="","",R16+S16+T16)</f>
        <v/>
      </c>
      <c r="W16" s="83">
        <f>IF(B16="","",V16+U16)</f>
        <v/>
      </c>
      <c r="X16" s="79" t="n"/>
      <c r="Y16" s="72" t="n"/>
      <c r="Z16" s="72" t="n"/>
      <c r="AA16" s="72" t="n"/>
      <c r="AB16" s="72" t="n"/>
      <c r="AC16" s="72" t="n"/>
    </row>
    <row r="17" ht="15" customHeight="1" s="25">
      <c r="A17" s="84" t="inlineStr">
        <is>
          <t>P25</t>
        </is>
      </c>
      <c r="B17" s="81" t="n">
        <v>25</v>
      </c>
      <c r="C17" s="79" t="inlineStr">
        <is>
          <t>3R2G1B</t>
        </is>
      </c>
      <c r="D17" s="79" t="inlineStr">
        <is>
          <t>晶元金线</t>
        </is>
      </c>
      <c r="E17" s="79" t="inlineStr">
        <is>
          <t>5034B</t>
        </is>
      </c>
      <c r="F17" s="85" t="n">
        <v>15000</v>
      </c>
      <c r="G17" s="86" t="n">
        <v>200</v>
      </c>
      <c r="H17" s="86" t="n">
        <v>200</v>
      </c>
      <c r="I17" s="79" t="inlineStr">
        <is>
          <t>黄白</t>
        </is>
      </c>
      <c r="J17" s="79" t="inlineStr">
        <is>
          <t>批次-510</t>
        </is>
      </c>
      <c r="K17" s="79" t="inlineStr">
        <is>
          <t>贴片</t>
        </is>
      </c>
      <c r="L17" s="79" t="n">
        <v>192</v>
      </c>
      <c r="M17" s="82" t="n">
        <v>128</v>
      </c>
      <c r="N17" s="82" t="n">
        <v>64</v>
      </c>
      <c r="O17" s="87">
        <f>IF(J17="","",SUMIFS(灯珠单价!B:B,灯珠单价!A:A,J17))</f>
        <v/>
      </c>
      <c r="P17" s="83">
        <f>IF(J17="","",SUMIFS(灯珠单价!C:C,灯珠单价!A:A,J17))</f>
        <v/>
      </c>
      <c r="Q17" s="83">
        <f>IF(J17="","",SUMIFS(灯珠单价!D:D,灯珠单价!A:A,J17))</f>
        <v/>
      </c>
      <c r="R17" s="83">
        <f>IF(B17="","",L17*O17+M17*P17+N17*Q17)</f>
        <v/>
      </c>
      <c r="S17" s="80" t="n"/>
      <c r="T17" s="83">
        <f>IF(B17="","",SUMIFS(套件单价!G:G,套件单价!A:A,B17,套件单价!B:B,K17))</f>
        <v/>
      </c>
      <c r="U17" s="80" t="n">
        <v>2.5</v>
      </c>
      <c r="V17" s="83">
        <f>IF(B17="","",R17+S17+T17)</f>
        <v/>
      </c>
      <c r="W17" s="83">
        <f>IF(B17="","",V17+U17)</f>
        <v/>
      </c>
      <c r="X17" s="79" t="n"/>
      <c r="Y17" s="72" t="n"/>
      <c r="Z17" s="72" t="n"/>
      <c r="AA17" s="72" t="n"/>
      <c r="AB17" s="72" t="n"/>
      <c r="AC17" s="72" t="n"/>
    </row>
    <row r="18" ht="15" customHeight="1" s="25">
      <c r="A18" s="84" t="inlineStr">
        <is>
          <t>P25</t>
        </is>
      </c>
      <c r="B18" s="81" t="n">
        <v>25</v>
      </c>
      <c r="C18" s="79" t="inlineStr">
        <is>
          <t>2R1G</t>
        </is>
      </c>
      <c r="D18" s="79" t="inlineStr">
        <is>
          <t>晶元金线</t>
        </is>
      </c>
      <c r="E18" s="79" t="inlineStr">
        <is>
          <t>5034B</t>
        </is>
      </c>
      <c r="F18" s="85" t="n">
        <v>15000</v>
      </c>
      <c r="G18" s="86" t="n">
        <v>200</v>
      </c>
      <c r="H18" s="86" t="n">
        <v>200</v>
      </c>
      <c r="I18" s="79" t="inlineStr">
        <is>
          <t>黄色</t>
        </is>
      </c>
      <c r="J18" s="79" t="inlineStr">
        <is>
          <t>批次-510</t>
        </is>
      </c>
      <c r="K18" s="79" t="inlineStr">
        <is>
          <t>贴片</t>
        </is>
      </c>
      <c r="L18" s="79" t="n">
        <v>128</v>
      </c>
      <c r="M18" s="82" t="n">
        <v>64</v>
      </c>
      <c r="N18" s="82" t="n"/>
      <c r="O18" s="87">
        <f>IF(J18="","",SUMIFS(灯珠单价!B:B,灯珠单价!A:A,J18))</f>
        <v/>
      </c>
      <c r="P18" s="83">
        <f>IF(J18="","",SUMIFS(灯珠单价!C:C,灯珠单价!A:A,J18))</f>
        <v/>
      </c>
      <c r="Q18" s="83">
        <f>IF(J18="","",SUMIFS(灯珠单价!D:D,灯珠单价!A:A,J18))</f>
        <v/>
      </c>
      <c r="R18" s="83">
        <f>IF(B18="","",L18*O18+M18*P18+N18*Q18)</f>
        <v/>
      </c>
      <c r="S18" s="80" t="n"/>
      <c r="T18" s="83">
        <f>IF(B18="","",SUMIFS(套件单价!G:G,套件单价!A:A,B18,套件单价!B:B,K18))</f>
        <v/>
      </c>
      <c r="U18" s="80" t="n">
        <v>2.5</v>
      </c>
      <c r="V18" s="83">
        <f>IF(B18="","",R18+S18+T18)</f>
        <v/>
      </c>
      <c r="W18" s="83">
        <f>IF(B18="","",V18+U18)</f>
        <v/>
      </c>
      <c r="X18" s="79" t="n"/>
      <c r="Y18" s="72" t="n"/>
      <c r="Z18" s="72" t="n"/>
      <c r="AA18" s="72" t="n"/>
      <c r="AB18" s="72" t="n"/>
      <c r="AC18" s="72" t="n"/>
    </row>
    <row r="19" ht="15" customHeight="1" s="25">
      <c r="A19" s="84" t="inlineStr">
        <is>
          <t>P25</t>
        </is>
      </c>
      <c r="B19" s="81" t="n">
        <v>25</v>
      </c>
      <c r="C19" s="79" t="inlineStr">
        <is>
          <t>2R1G1B</t>
        </is>
      </c>
      <c r="D19" s="79" t="inlineStr">
        <is>
          <t>晶元金线</t>
        </is>
      </c>
      <c r="E19" s="79" t="inlineStr">
        <is>
          <t>5034B</t>
        </is>
      </c>
      <c r="F19" s="85" t="n">
        <v>15000</v>
      </c>
      <c r="G19" s="86" t="n">
        <v>200</v>
      </c>
      <c r="H19" s="86" t="n">
        <v>200</v>
      </c>
      <c r="I19" s="79" t="inlineStr">
        <is>
          <t>黄白</t>
        </is>
      </c>
      <c r="J19" s="79" t="inlineStr">
        <is>
          <t>批次-510</t>
        </is>
      </c>
      <c r="K19" s="79" t="inlineStr">
        <is>
          <t>贴片</t>
        </is>
      </c>
      <c r="L19" s="79" t="n">
        <v>128</v>
      </c>
      <c r="M19" s="82" t="n">
        <v>64</v>
      </c>
      <c r="N19" s="82" t="n">
        <v>64</v>
      </c>
      <c r="O19" s="87">
        <f>IF(J19="","",SUMIFS(灯珠单价!B:B,灯珠单价!A:A,J19))</f>
        <v/>
      </c>
      <c r="P19" s="83">
        <f>IF(J19="","",SUMIFS(灯珠单价!C:C,灯珠单价!A:A,J19))</f>
        <v/>
      </c>
      <c r="Q19" s="83">
        <f>IF(J19="","",SUMIFS(灯珠单价!D:D,灯珠单价!A:A,J19))</f>
        <v/>
      </c>
      <c r="R19" s="83">
        <f>IF(B19="","",L19*O19+M19*P19+N19*Q19)</f>
        <v/>
      </c>
      <c r="S19" s="80" t="n"/>
      <c r="T19" s="83">
        <f>IF(B19="","",SUMIFS(套件单价!G:G,套件单价!A:A,B19,套件单价!B:B,K19))</f>
        <v/>
      </c>
      <c r="U19" s="80" t="n">
        <v>2.5</v>
      </c>
      <c r="V19" s="83">
        <f>IF(B19="","",R19+S19+T19)</f>
        <v/>
      </c>
      <c r="W19" s="83">
        <f>IF(B19="","",V19+U19)</f>
        <v/>
      </c>
      <c r="X19" s="79" t="n"/>
      <c r="Y19" s="72" t="n"/>
      <c r="Z19" s="72" t="n"/>
      <c r="AA19" s="72" t="n"/>
      <c r="AB19" s="72" t="n"/>
      <c r="AC19" s="72" t="n"/>
    </row>
    <row r="20" ht="15" customHeight="1" s="25">
      <c r="A20" s="84" t="inlineStr">
        <is>
          <t>P20</t>
        </is>
      </c>
      <c r="B20" s="81" t="n">
        <v>20</v>
      </c>
      <c r="C20" s="79" t="inlineStr">
        <is>
          <t>2R1G</t>
        </is>
      </c>
      <c r="D20" s="79" t="inlineStr">
        <is>
          <t>晶元金线</t>
        </is>
      </c>
      <c r="E20" s="79" t="inlineStr">
        <is>
          <t>5034B</t>
        </is>
      </c>
      <c r="F20" s="85" t="n">
        <v>15000</v>
      </c>
      <c r="G20" s="86" t="n">
        <v>320</v>
      </c>
      <c r="H20" s="86" t="n">
        <v>160</v>
      </c>
      <c r="I20" s="79" t="inlineStr">
        <is>
          <t>黄色</t>
        </is>
      </c>
      <c r="J20" s="79" t="inlineStr">
        <is>
          <t>批次-510</t>
        </is>
      </c>
      <c r="K20" s="79" t="inlineStr">
        <is>
          <t>贴片</t>
        </is>
      </c>
      <c r="L20" s="79" t="n">
        <v>256</v>
      </c>
      <c r="M20" s="82" t="n">
        <v>128</v>
      </c>
      <c r="N20" s="82" t="n"/>
      <c r="O20" s="87">
        <f>IF(J20="","",SUMIFS(灯珠单价!B:B,灯珠单价!A:A,J20))</f>
        <v/>
      </c>
      <c r="P20" s="83">
        <f>IF(J20="","",SUMIFS(灯珠单价!C:C,灯珠单价!A:A,J20))</f>
        <v/>
      </c>
      <c r="Q20" s="83">
        <f>IF(J20="","",SUMIFS(灯珠单价!D:D,灯珠单价!A:A,J20))</f>
        <v/>
      </c>
      <c r="R20" s="83">
        <f>IF(B20="","",L20*O20+M20*P20+N20*Q20)</f>
        <v/>
      </c>
      <c r="S20" s="80" t="n"/>
      <c r="T20" s="83">
        <f>IF(B20="","",SUMIFS(套件单价!G:G,套件单价!A:A,B20,套件单价!B:B,K20))</f>
        <v/>
      </c>
      <c r="U20" s="80" t="n">
        <v>3</v>
      </c>
      <c r="V20" s="83">
        <f>IF(B20="","",R20+S20+T20)</f>
        <v/>
      </c>
      <c r="W20" s="83">
        <f>IF(B20="","",V20+U20)</f>
        <v/>
      </c>
      <c r="X20" s="79" t="n"/>
      <c r="Y20" s="72" t="n"/>
      <c r="Z20" s="72" t="n"/>
      <c r="AA20" s="72" t="n"/>
      <c r="AB20" s="72" t="n"/>
      <c r="AC20" s="72" t="n"/>
    </row>
    <row r="21">
      <c r="A21" s="84" t="inlineStr">
        <is>
          <t>P20</t>
        </is>
      </c>
      <c r="B21" s="84" t="n">
        <v>20</v>
      </c>
      <c r="C21" s="84" t="inlineStr">
        <is>
          <t>1R1G1B</t>
        </is>
      </c>
      <c r="D21" s="84" t="inlineStr">
        <is>
          <t>晶元金线</t>
        </is>
      </c>
      <c r="E21" s="84" t="inlineStr">
        <is>
          <t>5034B</t>
        </is>
      </c>
      <c r="F21" s="84" t="n">
        <v>15000</v>
      </c>
      <c r="G21" s="84" t="n">
        <v>320</v>
      </c>
      <c r="H21" s="84" t="n">
        <v>160</v>
      </c>
      <c r="I21" s="84" t="inlineStr">
        <is>
          <t>黄白</t>
        </is>
      </c>
      <c r="J21" s="84" t="inlineStr">
        <is>
          <t>批次-510</t>
        </is>
      </c>
      <c r="K21" s="84" t="inlineStr">
        <is>
          <t>贴片</t>
        </is>
      </c>
      <c r="L21" s="84" t="n">
        <v>128</v>
      </c>
      <c r="M21" s="84" t="n">
        <v>128</v>
      </c>
      <c r="N21" s="84" t="n">
        <v>128</v>
      </c>
      <c r="O21" s="88">
        <f>IF(J21="","",SUMIFS(灯珠单价!B:B,灯珠单价!A:A,J21))</f>
        <v/>
      </c>
      <c r="P21" s="88">
        <f>IF(J21="","",SUMIFS(灯珠单价!C:C,灯珠单价!A:A,J21))</f>
        <v/>
      </c>
      <c r="Q21" s="88">
        <f>IF(J21="","",SUMIFS(灯珠单价!D:D,灯珠单价!A:A,J21))</f>
        <v/>
      </c>
      <c r="R21" s="88">
        <f>IF(B21="","",L21*O21+M21*P21+N21*Q21)</f>
        <v/>
      </c>
      <c r="S21" s="84" t="n"/>
      <c r="T21" s="88">
        <f>IF(B21="","",SUMIFS(套件单价!G:G,套件单价!A:A,B21,套件单价!B:B,K21))</f>
        <v/>
      </c>
      <c r="U21" s="84" t="n">
        <v>3</v>
      </c>
      <c r="V21" s="88">
        <f>IF(B21="","",R21+S21+T21)</f>
        <v/>
      </c>
      <c r="W21" s="88">
        <f>IF(B21="","",V21+U21)</f>
        <v/>
      </c>
      <c r="X21" s="84" t="n"/>
      <c r="Y21" s="72" t="n"/>
      <c r="Z21" s="72" t="n"/>
      <c r="AA21" s="72" t="n"/>
      <c r="AB21" s="72" t="n"/>
      <c r="AC21" s="72" t="n"/>
    </row>
    <row r="22">
      <c r="A22" s="84" t="inlineStr">
        <is>
          <t>P20</t>
        </is>
      </c>
      <c r="B22" s="84" t="n">
        <v>20</v>
      </c>
      <c r="C22" s="84" t="inlineStr">
        <is>
          <t>2R1G1B</t>
        </is>
      </c>
      <c r="D22" s="84" t="inlineStr">
        <is>
          <t>晶元金线</t>
        </is>
      </c>
      <c r="E22" s="84" t="inlineStr">
        <is>
          <t>5034B</t>
        </is>
      </c>
      <c r="F22" s="84" t="n">
        <v>15000</v>
      </c>
      <c r="G22" s="84" t="n">
        <v>320</v>
      </c>
      <c r="H22" s="84" t="n">
        <v>160</v>
      </c>
      <c r="I22" s="84" t="inlineStr">
        <is>
          <t>黄白</t>
        </is>
      </c>
      <c r="J22" s="84" t="inlineStr">
        <is>
          <t>批次-510</t>
        </is>
      </c>
      <c r="K22" s="84" t="inlineStr">
        <is>
          <t>贴片</t>
        </is>
      </c>
      <c r="L22" s="84" t="n">
        <v>256</v>
      </c>
      <c r="M22" s="84" t="n">
        <v>128</v>
      </c>
      <c r="N22" s="84" t="n">
        <v>128</v>
      </c>
      <c r="O22" s="88">
        <f>IF(J22="","",SUMIFS(灯珠单价!B:B,灯珠单价!A:A,J22))</f>
        <v/>
      </c>
      <c r="P22" s="88">
        <f>IF(J22="","",SUMIFS(灯珠单价!C:C,灯珠单价!A:A,J22))</f>
        <v/>
      </c>
      <c r="Q22" s="88">
        <f>IF(J22="","",SUMIFS(灯珠单价!D:D,灯珠单价!A:A,J22))</f>
        <v/>
      </c>
      <c r="R22" s="88">
        <f>IF(B22="","",L22*O22+M22*P22+N22*Q22)</f>
        <v/>
      </c>
      <c r="S22" s="84" t="n"/>
      <c r="T22" s="88">
        <f>IF(B22="","",SUMIFS(套件单价!G:G,套件单价!A:A,B22,套件单价!B:B,K22))</f>
        <v/>
      </c>
      <c r="U22" s="84" t="n">
        <v>3</v>
      </c>
      <c r="V22" s="88">
        <f>IF(B22="","",R22+S22+T22)</f>
        <v/>
      </c>
      <c r="W22" s="88">
        <f>IF(B22="","",V22+U22)</f>
        <v/>
      </c>
      <c r="X22" s="84" t="n"/>
      <c r="Y22" s="72" t="n"/>
      <c r="Z22" s="72" t="n"/>
      <c r="AA22" s="72" t="n"/>
      <c r="AB22" s="72" t="n"/>
      <c r="AC22" s="72" t="n"/>
    </row>
    <row r="23">
      <c r="A23" s="84" t="inlineStr">
        <is>
          <t>P16</t>
        </is>
      </c>
      <c r="B23" s="84" t="n">
        <v>16</v>
      </c>
      <c r="C23" s="84" t="inlineStr">
        <is>
          <t>2R1G</t>
        </is>
      </c>
      <c r="D23" s="84" t="inlineStr">
        <is>
          <t>晶元金线</t>
        </is>
      </c>
      <c r="E23" s="84" t="inlineStr">
        <is>
          <t>5034B</t>
        </is>
      </c>
      <c r="F23" s="84" t="n">
        <v>15000</v>
      </c>
      <c r="G23" s="84" t="n">
        <v>256</v>
      </c>
      <c r="H23" s="84" t="n">
        <v>256</v>
      </c>
      <c r="I23" s="84" t="inlineStr">
        <is>
          <t>黄色</t>
        </is>
      </c>
      <c r="J23" s="84" t="inlineStr">
        <is>
          <t>批次-510</t>
        </is>
      </c>
      <c r="K23" s="84" t="inlineStr">
        <is>
          <t>贴片</t>
        </is>
      </c>
      <c r="L23" s="84" t="n">
        <v>512</v>
      </c>
      <c r="M23" s="84" t="n">
        <v>256</v>
      </c>
      <c r="N23" s="84" t="n"/>
      <c r="O23" s="88">
        <f>IF(J23="","",SUMIFS(灯珠单价!B:B,灯珠单价!A:A,J23))</f>
        <v/>
      </c>
      <c r="P23" s="88">
        <f>IF(J23="","",SUMIFS(灯珠单价!C:C,灯珠单价!A:A,J23))</f>
        <v/>
      </c>
      <c r="Q23" s="88">
        <f>IF(J23="","",SUMIFS(灯珠单价!D:D,灯珠单价!A:A,J23))</f>
        <v/>
      </c>
      <c r="R23" s="88">
        <f>IF(B23="","",L23*O23+M23*P23+N23*Q23)</f>
        <v/>
      </c>
      <c r="S23" s="84" t="n"/>
      <c r="T23" s="88">
        <f>IF(B23="","",SUMIFS(套件单价!G:G,套件单价!A:A,B23,套件单价!B:B,K23))</f>
        <v/>
      </c>
      <c r="U23" s="84" t="n">
        <v>3.5</v>
      </c>
      <c r="V23" s="88">
        <f>IF(B23="","",R23+S23+T23)</f>
        <v/>
      </c>
      <c r="W23" s="88">
        <f>IF(B23="","",V23+U23)</f>
        <v/>
      </c>
      <c r="X23" s="84" t="n"/>
      <c r="Y23" s="72" t="n"/>
      <c r="Z23" s="72" t="n"/>
      <c r="AA23" s="72" t="n"/>
      <c r="AB23" s="72" t="n"/>
      <c r="AC23" s="72" t="n"/>
    </row>
    <row r="24">
      <c r="A24" s="84" t="inlineStr">
        <is>
          <t>P16</t>
        </is>
      </c>
      <c r="B24" s="84" t="n">
        <v>16</v>
      </c>
      <c r="C24" s="84" t="inlineStr">
        <is>
          <t>1R1G1B</t>
        </is>
      </c>
      <c r="D24" s="84" t="inlineStr">
        <is>
          <t>晶元金线</t>
        </is>
      </c>
      <c r="E24" s="84" t="inlineStr">
        <is>
          <t>5034B</t>
        </is>
      </c>
      <c r="F24" s="84" t="n">
        <v>15000</v>
      </c>
      <c r="G24" s="84" t="n">
        <v>256</v>
      </c>
      <c r="H24" s="84" t="n">
        <v>256</v>
      </c>
      <c r="I24" s="84" t="inlineStr">
        <is>
          <t>黄白</t>
        </is>
      </c>
      <c r="J24" s="84" t="inlineStr">
        <is>
          <t>批次-510</t>
        </is>
      </c>
      <c r="K24" s="84" t="inlineStr">
        <is>
          <t>贴片</t>
        </is>
      </c>
      <c r="L24" s="84" t="n">
        <v>256</v>
      </c>
      <c r="M24" s="84" t="n">
        <v>256</v>
      </c>
      <c r="N24" s="84" t="n">
        <v>256</v>
      </c>
      <c r="O24" s="88">
        <f>IF(J24="","",SUMIFS(灯珠单价!B:B,灯珠单价!A:A,J24))</f>
        <v/>
      </c>
      <c r="P24" s="88">
        <f>IF(J24="","",SUMIFS(灯珠单价!C:C,灯珠单价!A:A,J24))</f>
        <v/>
      </c>
      <c r="Q24" s="88">
        <f>IF(J24="","",SUMIFS(灯珠单价!D:D,灯珠单价!A:A,J24))</f>
        <v/>
      </c>
      <c r="R24" s="88">
        <f>IF(B24="","",L24*O24+M24*P24+N24*Q24)</f>
        <v/>
      </c>
      <c r="S24" s="84" t="n"/>
      <c r="T24" s="88">
        <f>IF(B24="","",SUMIFS(套件单价!G:G,套件单价!A:A,B24,套件单价!B:B,K24))</f>
        <v/>
      </c>
      <c r="U24" s="84" t="n">
        <v>3.5</v>
      </c>
      <c r="V24" s="88">
        <f>IF(B24="","",R24+S24+T24)</f>
        <v/>
      </c>
      <c r="W24" s="88">
        <f>IF(B24="","",V24+U24)</f>
        <v/>
      </c>
      <c r="X24" s="84" t="n"/>
      <c r="Y24" s="72" t="n"/>
      <c r="Z24" s="72" t="n"/>
      <c r="AA24" s="72" t="n"/>
      <c r="AB24" s="72" t="n"/>
      <c r="AC24" s="72" t="n"/>
    </row>
    <row r="25">
      <c r="A25" s="84" t="inlineStr">
        <is>
          <t>P16</t>
        </is>
      </c>
      <c r="B25" s="84" t="n">
        <v>16</v>
      </c>
      <c r="C25" s="84" t="inlineStr">
        <is>
          <t>2R1G1B</t>
        </is>
      </c>
      <c r="D25" s="84" t="inlineStr">
        <is>
          <t>晶元金线</t>
        </is>
      </c>
      <c r="E25" s="84" t="inlineStr">
        <is>
          <t>5034B</t>
        </is>
      </c>
      <c r="F25" s="84" t="n">
        <v>15000</v>
      </c>
      <c r="G25" s="84" t="n">
        <v>256</v>
      </c>
      <c r="H25" s="84" t="n">
        <v>256</v>
      </c>
      <c r="I25" s="84" t="inlineStr">
        <is>
          <t>黄白</t>
        </is>
      </c>
      <c r="J25" s="84" t="inlineStr">
        <is>
          <t>批次-510</t>
        </is>
      </c>
      <c r="K25" s="84" t="inlineStr">
        <is>
          <t>贴片</t>
        </is>
      </c>
      <c r="L25" s="84" t="n">
        <v>512</v>
      </c>
      <c r="M25" s="84" t="n">
        <v>256</v>
      </c>
      <c r="N25" s="84" t="n">
        <v>256</v>
      </c>
      <c r="O25" s="88">
        <f>IF(J25="","",SUMIFS(灯珠单价!B:B,灯珠单价!A:A,J25))</f>
        <v/>
      </c>
      <c r="P25" s="88">
        <f>IF(J25="","",SUMIFS(灯珠单价!C:C,灯珠单价!A:A,J25))</f>
        <v/>
      </c>
      <c r="Q25" s="88">
        <f>IF(J25="","",SUMIFS(灯珠单价!D:D,灯珠单价!A:A,J25))</f>
        <v/>
      </c>
      <c r="R25" s="88">
        <f>IF(B25="","",L25*O25+M25*P25+N25*Q25)</f>
        <v/>
      </c>
      <c r="S25" s="84" t="n"/>
      <c r="T25" s="88">
        <f>IF(B25="","",SUMIFS(套件单价!G:G,套件单价!A:A,B25,套件单价!B:B,K25))</f>
        <v/>
      </c>
      <c r="U25" s="84" t="n">
        <v>3.5</v>
      </c>
      <c r="V25" s="88">
        <f>IF(B25="","",R25+S25+T25)</f>
        <v/>
      </c>
      <c r="W25" s="88">
        <f>IF(B25="","",V25+U25)</f>
        <v/>
      </c>
      <c r="X25" s="84" t="n"/>
      <c r="Y25" s="72" t="n"/>
      <c r="Z25" s="72" t="n"/>
      <c r="AA25" s="72" t="n"/>
      <c r="AB25" s="72" t="n"/>
      <c r="AC25" s="72" t="n"/>
    </row>
    <row r="26">
      <c r="A26" s="84" t="inlineStr">
        <is>
          <t>P31.25</t>
        </is>
      </c>
      <c r="B26" s="84" t="n">
        <v>31.25</v>
      </c>
      <c r="C26" s="84" t="inlineStr">
        <is>
          <t>4R2G</t>
        </is>
      </c>
      <c r="D26" s="84" t="inlineStr">
        <is>
          <t>晶元金线</t>
        </is>
      </c>
      <c r="E26" s="84" t="inlineStr">
        <is>
          <t>5034B</t>
        </is>
      </c>
      <c r="F26" s="84" t="n">
        <v>15000</v>
      </c>
      <c r="G26" s="84" t="n">
        <v>250</v>
      </c>
      <c r="H26" s="84" t="n">
        <v>250</v>
      </c>
      <c r="I26" s="84" t="inlineStr">
        <is>
          <t>黄色</t>
        </is>
      </c>
      <c r="J26" s="84" t="inlineStr">
        <is>
          <t>批次-310</t>
        </is>
      </c>
      <c r="K26" s="84" t="inlineStr">
        <is>
          <t>贴片</t>
        </is>
      </c>
      <c r="L26" s="84" t="n">
        <v>256</v>
      </c>
      <c r="M26" s="84" t="n">
        <v>128</v>
      </c>
      <c r="N26" s="84" t="n"/>
      <c r="O26" s="88">
        <f>IF(J26="","",SUMIFS(灯珠单价!B:B,灯珠单价!A:A,J26))</f>
        <v/>
      </c>
      <c r="P26" s="88">
        <f>IF(J26="","",SUMIFS(灯珠单价!C:C,灯珠单价!A:A,J26))</f>
        <v/>
      </c>
      <c r="Q26" s="88">
        <f>IF(J26="","",SUMIFS(灯珠单价!D:D,灯珠单价!A:A,J26))</f>
        <v/>
      </c>
      <c r="R26" s="88">
        <f>IF(B26="","",L26*O26+M26*P26+N26*Q26)</f>
        <v/>
      </c>
      <c r="S26" s="84" t="n">
        <v>111.42</v>
      </c>
      <c r="T26" s="88">
        <f>IF(B26="","",SUMIFS(套件单价!G:G,套件单价!A:A,B26,套件单价!B:B,K26))</f>
        <v/>
      </c>
      <c r="U26" s="84" t="n">
        <v>3.5</v>
      </c>
      <c r="V26" s="88">
        <f>IF(B26="","",R26+S26+T26)</f>
        <v/>
      </c>
      <c r="W26" s="88">
        <f>IF(B26="","",V26+U26)</f>
        <v/>
      </c>
      <c r="X26" s="84" t="n"/>
      <c r="Y26" s="72" t="n"/>
      <c r="Z26" s="72" t="n"/>
      <c r="AA26" s="72" t="n"/>
      <c r="AB26" s="72" t="n"/>
      <c r="AC26" s="72" t="n"/>
    </row>
    <row r="27">
      <c r="A27" s="84" t="inlineStr">
        <is>
          <t>P31.25</t>
        </is>
      </c>
      <c r="B27" s="84" t="n">
        <v>31.25</v>
      </c>
      <c r="C27" s="84" t="inlineStr">
        <is>
          <t>4R2G1B</t>
        </is>
      </c>
      <c r="D27" s="84" t="inlineStr">
        <is>
          <t>晶元金线</t>
        </is>
      </c>
      <c r="E27" s="84" t="inlineStr">
        <is>
          <t>5034B</t>
        </is>
      </c>
      <c r="F27" s="84" t="n">
        <v>15000</v>
      </c>
      <c r="G27" s="84" t="n">
        <v>250</v>
      </c>
      <c r="H27" s="84" t="n">
        <v>250</v>
      </c>
      <c r="I27" s="84" t="inlineStr">
        <is>
          <t>黄白</t>
        </is>
      </c>
      <c r="J27" s="84" t="inlineStr">
        <is>
          <t>批次-310</t>
        </is>
      </c>
      <c r="K27" s="84" t="inlineStr">
        <is>
          <t>贴片</t>
        </is>
      </c>
      <c r="L27" s="84" t="n">
        <v>256</v>
      </c>
      <c r="M27" s="84" t="n">
        <v>128</v>
      </c>
      <c r="N27" s="84" t="n">
        <v>64</v>
      </c>
      <c r="O27" s="88">
        <f>IF(J27="","",SUMIFS(灯珠单价!B:B,灯珠单价!A:A,J27))</f>
        <v/>
      </c>
      <c r="P27" s="88">
        <f>IF(J27="","",SUMIFS(灯珠单价!C:C,灯珠单价!A:A,J27))</f>
        <v/>
      </c>
      <c r="Q27" s="88">
        <f>IF(J27="","",SUMIFS(灯珠单价!D:D,灯珠单价!A:A,J27))</f>
        <v/>
      </c>
      <c r="R27" s="88">
        <f>IF(B27="","",L27*O27+M27*P27+N27*Q27)</f>
        <v/>
      </c>
      <c r="S27" s="84" t="n">
        <v>118.58</v>
      </c>
      <c r="T27" s="88">
        <f>IF(B27="","",SUMIFS(套件单价!G:G,套件单价!A:A,B27,套件单价!B:B,K27))</f>
        <v/>
      </c>
      <c r="U27" s="84" t="n">
        <v>3.5</v>
      </c>
      <c r="V27" s="88">
        <f>IF(B27="","",R27+S27+T27)</f>
        <v/>
      </c>
      <c r="W27" s="88">
        <f>IF(B27="","",V27+U27)</f>
        <v/>
      </c>
      <c r="X27" s="84" t="n"/>
      <c r="Y27" s="72" t="n"/>
      <c r="Z27" s="72" t="n"/>
      <c r="AA27" s="72" t="n"/>
      <c r="AB27" s="72" t="n"/>
      <c r="AC27" s="72" t="n"/>
    </row>
    <row r="28">
      <c r="A28" s="84" t="inlineStr">
        <is>
          <t>P31.25</t>
        </is>
      </c>
      <c r="B28" s="84" t="n">
        <v>31.25</v>
      </c>
      <c r="C28" s="84" t="inlineStr">
        <is>
          <t>3R2G</t>
        </is>
      </c>
      <c r="D28" s="84" t="inlineStr">
        <is>
          <t>晶元金线</t>
        </is>
      </c>
      <c r="E28" s="84" t="inlineStr">
        <is>
          <t>5034B</t>
        </is>
      </c>
      <c r="F28" s="84" t="n">
        <v>15000</v>
      </c>
      <c r="G28" s="84" t="n">
        <v>250</v>
      </c>
      <c r="H28" s="84" t="n">
        <v>250</v>
      </c>
      <c r="I28" s="84" t="inlineStr">
        <is>
          <t>黄色</t>
        </is>
      </c>
      <c r="J28" s="84" t="inlineStr">
        <is>
          <t>批次-310</t>
        </is>
      </c>
      <c r="K28" s="84" t="inlineStr">
        <is>
          <t>贴片</t>
        </is>
      </c>
      <c r="L28" s="84" t="n">
        <v>192</v>
      </c>
      <c r="M28" s="84" t="n">
        <v>128</v>
      </c>
      <c r="N28" s="84" t="n"/>
      <c r="O28" s="88">
        <f>IF(J28="","",SUMIFS(灯珠单价!B:B,灯珠单价!A:A,J28))</f>
        <v/>
      </c>
      <c r="P28" s="88">
        <f>IF(J28="","",SUMIFS(灯珠单价!C:C,灯珠单价!A:A,J28))</f>
        <v/>
      </c>
      <c r="Q28" s="88">
        <f>IF(J28="","",SUMIFS(灯珠单价!D:D,灯珠单价!A:A,J28))</f>
        <v/>
      </c>
      <c r="R28" s="88">
        <f>IF(B28="","",L28*O28+M28*P28+N28*Q28)</f>
        <v/>
      </c>
      <c r="S28" s="84" t="n">
        <v>110.42</v>
      </c>
      <c r="T28" s="88">
        <f>IF(B28="","",SUMIFS(套件单价!G:G,套件单价!A:A,B28,套件单价!B:B,K28))</f>
        <v/>
      </c>
      <c r="U28" s="84" t="n">
        <v>3.5</v>
      </c>
      <c r="V28" s="88">
        <f>IF(B28="","",R28+S28+T28)</f>
        <v/>
      </c>
      <c r="W28" s="88">
        <f>IF(B28="","",V28+U28)</f>
        <v/>
      </c>
      <c r="X28" s="84" t="n"/>
      <c r="Y28" s="72" t="n"/>
      <c r="Z28" s="72" t="n"/>
      <c r="AA28" s="72" t="n"/>
      <c r="AB28" s="72" t="n"/>
      <c r="AC28" s="72" t="n"/>
    </row>
    <row r="29">
      <c r="A29" s="84" t="inlineStr">
        <is>
          <t>P31.25</t>
        </is>
      </c>
      <c r="B29" s="84" t="n">
        <v>31.25</v>
      </c>
      <c r="C29" s="84" t="inlineStr">
        <is>
          <t>3R2G1B</t>
        </is>
      </c>
      <c r="D29" s="84" t="inlineStr">
        <is>
          <t>晶元金线</t>
        </is>
      </c>
      <c r="E29" s="84" t="inlineStr">
        <is>
          <t>5034B</t>
        </is>
      </c>
      <c r="F29" s="84" t="n">
        <v>15000</v>
      </c>
      <c r="G29" s="84" t="n">
        <v>250</v>
      </c>
      <c r="H29" s="84" t="n">
        <v>250</v>
      </c>
      <c r="I29" s="84" t="inlineStr">
        <is>
          <t>黄白</t>
        </is>
      </c>
      <c r="J29" s="84" t="inlineStr">
        <is>
          <t>批次-310</t>
        </is>
      </c>
      <c r="K29" s="84" t="inlineStr">
        <is>
          <t>贴片</t>
        </is>
      </c>
      <c r="L29" s="84" t="n">
        <v>192</v>
      </c>
      <c r="M29" s="84" t="n">
        <v>128</v>
      </c>
      <c r="N29" s="84" t="n">
        <v>64</v>
      </c>
      <c r="O29" s="88">
        <f>IF(J29="","",SUMIFS(灯珠单价!B:B,灯珠单价!A:A,J29))</f>
        <v/>
      </c>
      <c r="P29" s="88">
        <f>IF(J29="","",SUMIFS(灯珠单价!C:C,灯珠单价!A:A,J29))</f>
        <v/>
      </c>
      <c r="Q29" s="88">
        <f>IF(J29="","",SUMIFS(灯珠单价!D:D,灯珠单价!A:A,J29))</f>
        <v/>
      </c>
      <c r="R29" s="88">
        <f>IF(B29="","",L29*O29+M29*P29+N29*Q29)</f>
        <v/>
      </c>
      <c r="S29" s="84" t="n">
        <v>117.58</v>
      </c>
      <c r="T29" s="88">
        <f>IF(B29="","",SUMIFS(套件单价!G:G,套件单价!A:A,B29,套件单价!B:B,K29))</f>
        <v/>
      </c>
      <c r="U29" s="84" t="n">
        <v>3.5</v>
      </c>
      <c r="V29" s="88">
        <f>IF(B29="","",R29+S29+T29)</f>
        <v/>
      </c>
      <c r="W29" s="88">
        <f>IF(B29="","",V29+U29)</f>
        <v/>
      </c>
      <c r="X29" s="84" t="n"/>
      <c r="Y29" s="72" t="n"/>
      <c r="Z29" s="72" t="n"/>
      <c r="AA29" s="72" t="n"/>
      <c r="AB29" s="72" t="n"/>
      <c r="AC29" s="72" t="n"/>
    </row>
    <row r="30">
      <c r="A30" s="84" t="inlineStr">
        <is>
          <t>P31.25</t>
        </is>
      </c>
      <c r="B30" s="84" t="n">
        <v>31.25</v>
      </c>
      <c r="C30" s="84" t="inlineStr">
        <is>
          <t>2R1G</t>
        </is>
      </c>
      <c r="D30" s="84" t="inlineStr">
        <is>
          <t>晶元金线</t>
        </is>
      </c>
      <c r="E30" s="84" t="inlineStr">
        <is>
          <t>5034B</t>
        </is>
      </c>
      <c r="F30" s="84" t="n">
        <v>15000</v>
      </c>
      <c r="G30" s="84" t="n">
        <v>250</v>
      </c>
      <c r="H30" s="84" t="n">
        <v>250</v>
      </c>
      <c r="I30" s="84" t="inlineStr">
        <is>
          <t>黄色</t>
        </is>
      </c>
      <c r="J30" s="84" t="inlineStr">
        <is>
          <t>批次-310</t>
        </is>
      </c>
      <c r="K30" s="84" t="inlineStr">
        <is>
          <t>贴片</t>
        </is>
      </c>
      <c r="L30" s="84" t="n">
        <v>128</v>
      </c>
      <c r="M30" s="84" t="n">
        <v>64</v>
      </c>
      <c r="N30" s="84" t="n"/>
      <c r="O30" s="88">
        <f>IF(J30="","",SUMIFS(灯珠单价!B:B,灯珠单价!A:A,J30))</f>
        <v/>
      </c>
      <c r="P30" s="88">
        <f>IF(J30="","",SUMIFS(灯珠单价!C:C,灯珠单价!A:A,J30))</f>
        <v/>
      </c>
      <c r="Q30" s="88">
        <f>IF(J30="","",SUMIFS(灯珠单价!D:D,灯珠单价!A:A,J30))</f>
        <v/>
      </c>
      <c r="R30" s="88">
        <f>IF(B30="","",L30*O30+M30*P30+N30*Q30)</f>
        <v/>
      </c>
      <c r="S30" s="84" t="n">
        <v>92.52</v>
      </c>
      <c r="T30" s="88">
        <f>IF(B30="","",SUMIFS(套件单价!G:G,套件单价!A:A,B30,套件单价!B:B,K30))</f>
        <v/>
      </c>
      <c r="U30" s="84" t="n">
        <v>3.5</v>
      </c>
      <c r="V30" s="88">
        <f>IF(B30="","",R30+S30+T30)</f>
        <v/>
      </c>
      <c r="W30" s="88">
        <f>IF(B30="","",V30+U30)</f>
        <v/>
      </c>
      <c r="X30" s="84" t="n"/>
      <c r="Y30" s="72" t="n"/>
      <c r="Z30" s="72" t="n"/>
      <c r="AA30" s="72" t="n"/>
      <c r="AB30" s="72" t="n"/>
      <c r="AC30" s="72" t="n"/>
    </row>
    <row r="31">
      <c r="A31" s="84" t="inlineStr">
        <is>
          <t>P31.25</t>
        </is>
      </c>
      <c r="B31" s="84" t="n">
        <v>31.25</v>
      </c>
      <c r="C31" s="84" t="inlineStr">
        <is>
          <t>2R1G1B</t>
        </is>
      </c>
      <c r="D31" s="84" t="inlineStr">
        <is>
          <t>晶元金线</t>
        </is>
      </c>
      <c r="E31" s="84" t="inlineStr">
        <is>
          <t>5034B</t>
        </is>
      </c>
      <c r="F31" s="84" t="n">
        <v>15000</v>
      </c>
      <c r="G31" s="84" t="n">
        <v>250</v>
      </c>
      <c r="H31" s="84" t="n">
        <v>250</v>
      </c>
      <c r="I31" s="84" t="inlineStr">
        <is>
          <t>黄白</t>
        </is>
      </c>
      <c r="J31" s="84" t="inlineStr">
        <is>
          <t>批次-310</t>
        </is>
      </c>
      <c r="K31" s="84" t="inlineStr">
        <is>
          <t>贴片</t>
        </is>
      </c>
      <c r="L31" s="84" t="n">
        <v>128</v>
      </c>
      <c r="M31" s="84" t="n">
        <v>64</v>
      </c>
      <c r="N31" s="84" t="n">
        <v>64</v>
      </c>
      <c r="O31" s="88">
        <f>IF(J31="","",SUMIFS(灯珠单价!B:B,灯珠单价!A:A,J31))</f>
        <v/>
      </c>
      <c r="P31" s="88">
        <f>IF(J31="","",SUMIFS(灯珠单价!C:C,灯珠单价!A:A,J31))</f>
        <v/>
      </c>
      <c r="Q31" s="88">
        <f>IF(J31="","",SUMIFS(灯珠单价!D:D,灯珠单价!A:A,J31))</f>
        <v/>
      </c>
      <c r="R31" s="88">
        <f>IF(B31="","",L31*O31+M31*P31+N31*Q31)</f>
        <v/>
      </c>
      <c r="S31" s="84" t="n">
        <v>106.38</v>
      </c>
      <c r="T31" s="88">
        <f>IF(B31="","",SUMIFS(套件单价!G:G,套件单价!A:A,B31,套件单价!B:B,K31))</f>
        <v/>
      </c>
      <c r="U31" s="84" t="n">
        <v>3.5</v>
      </c>
      <c r="V31" s="88">
        <f>IF(B31="","",R31+S31+T31)</f>
        <v/>
      </c>
      <c r="W31" s="88">
        <f>IF(B31="","",V31+U31)</f>
        <v/>
      </c>
      <c r="X31" s="84" t="n"/>
      <c r="Y31" s="72" t="n"/>
      <c r="Z31" s="72" t="n"/>
      <c r="AA31" s="72" t="n"/>
      <c r="AB31" s="72" t="n"/>
      <c r="AC31" s="72" t="n"/>
    </row>
    <row r="32">
      <c r="A32" s="84" t="inlineStr">
        <is>
          <t>P25</t>
        </is>
      </c>
      <c r="B32" s="84" t="n">
        <v>25</v>
      </c>
      <c r="C32" s="84" t="inlineStr">
        <is>
          <t>4R2G</t>
        </is>
      </c>
      <c r="D32" s="84" t="inlineStr">
        <is>
          <t>晶元金线</t>
        </is>
      </c>
      <c r="E32" s="84" t="inlineStr">
        <is>
          <t>5034B</t>
        </is>
      </c>
      <c r="F32" s="84" t="n">
        <v>15000</v>
      </c>
      <c r="G32" s="84" t="n">
        <v>200</v>
      </c>
      <c r="H32" s="84" t="n">
        <v>200</v>
      </c>
      <c r="I32" s="84" t="inlineStr">
        <is>
          <t>黄色</t>
        </is>
      </c>
      <c r="J32" s="84" t="inlineStr">
        <is>
          <t>批次-310</t>
        </is>
      </c>
      <c r="K32" s="84" t="inlineStr">
        <is>
          <t>贴片</t>
        </is>
      </c>
      <c r="L32" s="84" t="n">
        <v>256</v>
      </c>
      <c r="M32" s="84" t="n">
        <v>128</v>
      </c>
      <c r="N32" s="84" t="n"/>
      <c r="O32" s="88">
        <f>IF(J32="","",SUMIFS(灯珠单价!B:B,灯珠单价!A:A,J32))</f>
        <v/>
      </c>
      <c r="P32" s="88">
        <f>IF(J32="","",SUMIFS(灯珠单价!C:C,灯珠单价!A:A,J32))</f>
        <v/>
      </c>
      <c r="Q32" s="88">
        <f>IF(J32="","",SUMIFS(灯珠单价!D:D,灯珠单价!A:A,J32))</f>
        <v/>
      </c>
      <c r="R32" s="88">
        <f>IF(B32="","",L32*O32+M32*P32+N32*Q32)</f>
        <v/>
      </c>
      <c r="S32" s="84" t="n">
        <v>90.27</v>
      </c>
      <c r="T32" s="88">
        <f>IF(B32="","",SUMIFS(套件单价!G:G,套件单价!A:A,B32,套件单价!B:B,K32))</f>
        <v/>
      </c>
      <c r="U32" s="84" t="n">
        <v>2.5</v>
      </c>
      <c r="V32" s="88">
        <f>IF(B32="","",R32+S32+T32)</f>
        <v/>
      </c>
      <c r="W32" s="88">
        <f>IF(B32="","",V32+U32)</f>
        <v/>
      </c>
      <c r="X32" s="84" t="n"/>
      <c r="Y32" s="72" t="n"/>
      <c r="Z32" s="72" t="n"/>
      <c r="AA32" s="72" t="n"/>
      <c r="AB32" s="72" t="n"/>
      <c r="AC32" s="72" t="n"/>
    </row>
    <row r="33">
      <c r="A33" s="84" t="inlineStr">
        <is>
          <t>P25</t>
        </is>
      </c>
      <c r="B33" s="84" t="n">
        <v>25</v>
      </c>
      <c r="C33" s="84" t="inlineStr">
        <is>
          <t>4R2G1B</t>
        </is>
      </c>
      <c r="D33" s="84" t="inlineStr">
        <is>
          <t>晶元金线</t>
        </is>
      </c>
      <c r="E33" s="84" t="inlineStr">
        <is>
          <t>5034B</t>
        </is>
      </c>
      <c r="F33" s="84" t="n">
        <v>15000</v>
      </c>
      <c r="G33" s="84" t="n">
        <v>200</v>
      </c>
      <c r="H33" s="84" t="n">
        <v>200</v>
      </c>
      <c r="I33" s="84" t="inlineStr">
        <is>
          <t>黄白</t>
        </is>
      </c>
      <c r="J33" s="84" t="inlineStr">
        <is>
          <t>批次-310</t>
        </is>
      </c>
      <c r="K33" s="84" t="inlineStr">
        <is>
          <t>贴片</t>
        </is>
      </c>
      <c r="L33" s="84" t="n">
        <v>256</v>
      </c>
      <c r="M33" s="84" t="n">
        <v>128</v>
      </c>
      <c r="N33" s="84" t="n">
        <v>64</v>
      </c>
      <c r="O33" s="88">
        <f>IF(J33="","",SUMIFS(灯珠单价!B:B,灯珠单价!A:A,J33))</f>
        <v/>
      </c>
      <c r="P33" s="88">
        <f>IF(J33="","",SUMIFS(灯珠单价!C:C,灯珠单价!A:A,J33))</f>
        <v/>
      </c>
      <c r="Q33" s="88">
        <f>IF(J33="","",SUMIFS(灯珠单价!D:D,灯珠单价!A:A,J33))</f>
        <v/>
      </c>
      <c r="R33" s="88">
        <f>IF(B33="","",L33*O33+M33*P33+N33*Q33)</f>
        <v/>
      </c>
      <c r="S33" s="84" t="n"/>
      <c r="T33" s="88">
        <f>IF(B33="","",SUMIFS(套件单价!G:G,套件单价!A:A,B33,套件单价!B:B,K33))</f>
        <v/>
      </c>
      <c r="U33" s="84" t="n"/>
      <c r="V33" s="88">
        <f>IF(B33="","",R33+S33+T33)</f>
        <v/>
      </c>
      <c r="W33" s="88">
        <f>IF(B33="","",V33+U33)</f>
        <v/>
      </c>
      <c r="X33" s="84" t="n"/>
      <c r="Y33" s="72" t="n"/>
      <c r="Z33" s="72" t="n"/>
      <c r="AA33" s="72" t="n"/>
      <c r="AB33" s="72" t="n"/>
      <c r="AC33" s="72" t="n"/>
    </row>
    <row r="34">
      <c r="A34" s="84" t="inlineStr">
        <is>
          <t>P25</t>
        </is>
      </c>
      <c r="B34" s="84" t="n">
        <v>25</v>
      </c>
      <c r="C34" s="84" t="inlineStr">
        <is>
          <t>3R2G</t>
        </is>
      </c>
      <c r="D34" s="84" t="inlineStr">
        <is>
          <t>晶元金线</t>
        </is>
      </c>
      <c r="E34" s="84" t="inlineStr">
        <is>
          <t>5034B</t>
        </is>
      </c>
      <c r="F34" s="84" t="n">
        <v>15000</v>
      </c>
      <c r="G34" s="84" t="n">
        <v>200</v>
      </c>
      <c r="H34" s="84" t="n">
        <v>200</v>
      </c>
      <c r="I34" s="84" t="inlineStr">
        <is>
          <t>黄色</t>
        </is>
      </c>
      <c r="J34" s="84" t="inlineStr">
        <is>
          <t>批次-310</t>
        </is>
      </c>
      <c r="K34" s="84" t="inlineStr">
        <is>
          <t>贴片</t>
        </is>
      </c>
      <c r="L34" s="84" t="n">
        <v>192</v>
      </c>
      <c r="M34" s="84" t="n">
        <v>128</v>
      </c>
      <c r="N34" s="84" t="n"/>
      <c r="O34" s="88">
        <f>IF(J34="","",SUMIFS(灯珠单价!B:B,灯珠单价!A:A,J34))</f>
        <v/>
      </c>
      <c r="P34" s="88">
        <f>IF(J34="","",SUMIFS(灯珠单价!C:C,灯珠单价!A:A,J34))</f>
        <v/>
      </c>
      <c r="Q34" s="88">
        <f>IF(J34="","",SUMIFS(灯珠单价!D:D,灯珠单价!A:A,J34))</f>
        <v/>
      </c>
      <c r="R34" s="88">
        <f>IF(B34="","",L34*O34+M34*P34+N34*Q34)</f>
        <v/>
      </c>
      <c r="S34" s="84" t="n">
        <v>89.37</v>
      </c>
      <c r="T34" s="88">
        <f>IF(B34="","",SUMIFS(套件单价!G:G,套件单价!A:A,B34,套件单价!B:B,K34))</f>
        <v/>
      </c>
      <c r="U34" s="84" t="n">
        <v>2.5</v>
      </c>
      <c r="V34" s="88">
        <f>IF(B34="","",R34+S34+T34)</f>
        <v/>
      </c>
      <c r="W34" s="88">
        <f>IF(B34="","",V34+U34)</f>
        <v/>
      </c>
      <c r="X34" s="84" t="n"/>
      <c r="Y34" s="72" t="n"/>
      <c r="Z34" s="72" t="n"/>
      <c r="AA34" s="72" t="n"/>
      <c r="AB34" s="72" t="n"/>
      <c r="AC34" s="72" t="n"/>
    </row>
    <row r="35">
      <c r="A35" s="84" t="inlineStr">
        <is>
          <t>P25</t>
        </is>
      </c>
      <c r="B35" s="84" t="n">
        <v>25</v>
      </c>
      <c r="C35" s="84" t="inlineStr">
        <is>
          <t>3R2G1B</t>
        </is>
      </c>
      <c r="D35" s="84" t="inlineStr">
        <is>
          <t>晶元金线</t>
        </is>
      </c>
      <c r="E35" s="84" t="inlineStr">
        <is>
          <t>5034B</t>
        </is>
      </c>
      <c r="F35" s="84" t="n">
        <v>15000</v>
      </c>
      <c r="G35" s="84" t="n">
        <v>200</v>
      </c>
      <c r="H35" s="84" t="n">
        <v>200</v>
      </c>
      <c r="I35" s="84" t="inlineStr">
        <is>
          <t>黄白</t>
        </is>
      </c>
      <c r="J35" s="84" t="inlineStr">
        <is>
          <t>批次-310</t>
        </is>
      </c>
      <c r="K35" s="84" t="inlineStr">
        <is>
          <t>贴片</t>
        </is>
      </c>
      <c r="L35" s="84" t="n">
        <v>192</v>
      </c>
      <c r="M35" s="84" t="n">
        <v>128</v>
      </c>
      <c r="N35" s="84" t="n">
        <v>64</v>
      </c>
      <c r="O35" s="88">
        <f>IF(J35="","",SUMIFS(灯珠单价!B:B,灯珠单价!A:A,J35))</f>
        <v/>
      </c>
      <c r="P35" s="88">
        <f>IF(J35="","",SUMIFS(灯珠单价!C:C,灯珠单价!A:A,J35))</f>
        <v/>
      </c>
      <c r="Q35" s="88">
        <f>IF(J35="","",SUMIFS(灯珠单价!D:D,灯珠单价!A:A,J35))</f>
        <v/>
      </c>
      <c r="R35" s="88">
        <f>IF(B35="","",L35*O35+M35*P35+N35*Q35)</f>
        <v/>
      </c>
      <c r="S35" s="84" t="n">
        <v>96.53</v>
      </c>
      <c r="T35" s="88">
        <f>IF(B35="","",SUMIFS(套件单价!G:G,套件单价!A:A,B35,套件单价!B:B,K35))</f>
        <v/>
      </c>
      <c r="U35" s="84" t="n">
        <v>2.5</v>
      </c>
      <c r="V35" s="88">
        <f>IF(B35="","",R35+S35+T35)</f>
        <v/>
      </c>
      <c r="W35" s="88">
        <f>IF(B35="","",V35+U35)</f>
        <v/>
      </c>
      <c r="X35" s="84" t="n"/>
      <c r="Y35" s="72" t="n"/>
      <c r="Z35" s="72" t="n"/>
      <c r="AA35" s="72" t="n"/>
      <c r="AB35" s="72" t="n"/>
      <c r="AC35" s="72" t="n"/>
    </row>
    <row r="36">
      <c r="A36" s="84" t="inlineStr">
        <is>
          <t>P25</t>
        </is>
      </c>
      <c r="B36" s="84" t="n">
        <v>25</v>
      </c>
      <c r="C36" s="84" t="inlineStr">
        <is>
          <t>2R1G</t>
        </is>
      </c>
      <c r="D36" s="84" t="inlineStr">
        <is>
          <t>晶元金线</t>
        </is>
      </c>
      <c r="E36" s="84" t="inlineStr">
        <is>
          <t>5034B</t>
        </is>
      </c>
      <c r="F36" s="84" t="n">
        <v>15000</v>
      </c>
      <c r="G36" s="84" t="n">
        <v>200</v>
      </c>
      <c r="H36" s="84" t="n">
        <v>200</v>
      </c>
      <c r="I36" s="84" t="inlineStr">
        <is>
          <t>黄色</t>
        </is>
      </c>
      <c r="J36" s="84" t="inlineStr">
        <is>
          <t>批次-310</t>
        </is>
      </c>
      <c r="K36" s="84" t="inlineStr">
        <is>
          <t>贴片</t>
        </is>
      </c>
      <c r="L36" s="84" t="n">
        <v>128</v>
      </c>
      <c r="M36" s="84" t="n">
        <v>64</v>
      </c>
      <c r="N36" s="84" t="n"/>
      <c r="O36" s="88">
        <f>IF(J36="","",SUMIFS(灯珠单价!B:B,灯珠单价!A:A,J36))</f>
        <v/>
      </c>
      <c r="P36" s="88">
        <f>IF(J36="","",SUMIFS(灯珠单价!C:C,灯珠单价!A:A,J36))</f>
        <v/>
      </c>
      <c r="Q36" s="88">
        <f>IF(J36="","",SUMIFS(灯珠单价!D:D,灯珠单价!A:A,J36))</f>
        <v/>
      </c>
      <c r="R36" s="88">
        <f>IF(B36="","",L36*O36+M36*P36+N36*Q36)</f>
        <v/>
      </c>
      <c r="S36" s="84" t="n">
        <v>80.17</v>
      </c>
      <c r="T36" s="88">
        <f>IF(B36="","",SUMIFS(套件单价!G:G,套件单价!A:A,B36,套件单价!B:B,K36))</f>
        <v/>
      </c>
      <c r="U36" s="84" t="n">
        <v>2.5</v>
      </c>
      <c r="V36" s="88">
        <f>IF(B36="","",R36+S36+T36)</f>
        <v/>
      </c>
      <c r="W36" s="88">
        <f>IF(B36="","",V36+U36)</f>
        <v/>
      </c>
      <c r="X36" s="84" t="n"/>
      <c r="Y36" s="72" t="n"/>
      <c r="Z36" s="72" t="n"/>
      <c r="AA36" s="72" t="n"/>
      <c r="AB36" s="72" t="n"/>
      <c r="AC36" s="72" t="n"/>
    </row>
    <row r="37">
      <c r="A37" s="84" t="inlineStr">
        <is>
          <t>P25</t>
        </is>
      </c>
      <c r="B37" s="84" t="n">
        <v>25</v>
      </c>
      <c r="C37" s="84" t="inlineStr">
        <is>
          <t>2R1G1B</t>
        </is>
      </c>
      <c r="D37" s="84" t="inlineStr">
        <is>
          <t>晶元金线</t>
        </is>
      </c>
      <c r="E37" s="84" t="inlineStr">
        <is>
          <t>5034B</t>
        </is>
      </c>
      <c r="F37" s="84" t="n">
        <v>15000</v>
      </c>
      <c r="G37" s="84" t="n">
        <v>200</v>
      </c>
      <c r="H37" s="84" t="n">
        <v>200</v>
      </c>
      <c r="I37" s="84" t="inlineStr">
        <is>
          <t>黄白</t>
        </is>
      </c>
      <c r="J37" s="84" t="inlineStr">
        <is>
          <t>批次-310</t>
        </is>
      </c>
      <c r="K37" s="84" t="inlineStr">
        <is>
          <t>贴片</t>
        </is>
      </c>
      <c r="L37" s="84" t="n">
        <v>128</v>
      </c>
      <c r="M37" s="84" t="n">
        <v>64</v>
      </c>
      <c r="N37" s="84" t="n">
        <v>64</v>
      </c>
      <c r="O37" s="88">
        <f>IF(J37="","",SUMIFS(灯珠单价!B:B,灯珠单价!A:A,J37))</f>
        <v/>
      </c>
      <c r="P37" s="88">
        <f>IF(J37="","",SUMIFS(灯珠单价!C:C,灯珠单价!A:A,J37))</f>
        <v/>
      </c>
      <c r="Q37" s="88">
        <f>IF(J37="","",SUMIFS(灯珠单价!D:D,灯珠单价!A:A,J37))</f>
        <v/>
      </c>
      <c r="R37" s="88">
        <f>IF(B37="","",L37*O37+M37*P37+N37*Q37)</f>
        <v/>
      </c>
      <c r="S37" s="84" t="n">
        <v>85.33</v>
      </c>
      <c r="T37" s="88">
        <f>IF(B37="","",SUMIFS(套件单价!G:G,套件单价!A:A,B37,套件单价!B:B,K37))</f>
        <v/>
      </c>
      <c r="U37" s="84" t="n">
        <v>2.5</v>
      </c>
      <c r="V37" s="88">
        <f>IF(B37="","",R37+S37+T37)</f>
        <v/>
      </c>
      <c r="W37" s="88">
        <f>IF(B37="","",V37+U37)</f>
        <v/>
      </c>
      <c r="X37" s="84" t="n"/>
      <c r="Y37" s="72" t="n"/>
      <c r="Z37" s="72" t="n"/>
      <c r="AA37" s="72" t="n"/>
      <c r="AB37" s="72" t="n"/>
      <c r="AC37" s="72" t="n"/>
    </row>
    <row r="38">
      <c r="A38" s="84" t="inlineStr">
        <is>
          <t>P20</t>
        </is>
      </c>
      <c r="B38" s="84" t="n">
        <v>20</v>
      </c>
      <c r="C38" s="84" t="inlineStr">
        <is>
          <t>2R1G</t>
        </is>
      </c>
      <c r="D38" s="84" t="inlineStr">
        <is>
          <t>晶元金线</t>
        </is>
      </c>
      <c r="E38" s="84" t="inlineStr">
        <is>
          <t>5034B</t>
        </is>
      </c>
      <c r="F38" s="84" t="n">
        <v>15000</v>
      </c>
      <c r="G38" s="84" t="n">
        <v>320</v>
      </c>
      <c r="H38" s="84" t="n">
        <v>160</v>
      </c>
      <c r="I38" s="84" t="inlineStr">
        <is>
          <t>黄色</t>
        </is>
      </c>
      <c r="J38" s="84" t="inlineStr">
        <is>
          <t>批次-310</t>
        </is>
      </c>
      <c r="K38" s="84" t="inlineStr">
        <is>
          <t>贴片</t>
        </is>
      </c>
      <c r="L38" s="84" t="n">
        <v>256</v>
      </c>
      <c r="M38" s="84" t="n">
        <v>128</v>
      </c>
      <c r="N38" s="84" t="n"/>
      <c r="O38" s="88">
        <f>IF(J38="","",SUMIFS(灯珠单价!B:B,灯珠单价!A:A,J38))</f>
        <v/>
      </c>
      <c r="P38" s="88">
        <f>IF(J38="","",SUMIFS(灯珠单价!C:C,灯珠单价!A:A,J38))</f>
        <v/>
      </c>
      <c r="Q38" s="88">
        <f>IF(J38="","",SUMIFS(灯珠单价!D:D,灯珠单价!A:A,J38))</f>
        <v/>
      </c>
      <c r="R38" s="88">
        <f>IF(B38="","",L38*O38+M38*P38+N38*Q38)</f>
        <v/>
      </c>
      <c r="S38" s="84" t="n">
        <v>95.54000000000001</v>
      </c>
      <c r="T38" s="88">
        <f>IF(B38="","",SUMIFS(套件单价!G:G,套件单价!A:A,B38,套件单价!B:B,K38))</f>
        <v/>
      </c>
      <c r="U38" s="84" t="n">
        <v>3</v>
      </c>
      <c r="V38" s="88">
        <f>IF(B38="","",R38+S38+T38)</f>
        <v/>
      </c>
      <c r="W38" s="88">
        <f>IF(B38="","",V38+U38)</f>
        <v/>
      </c>
      <c r="X38" s="84" t="n"/>
      <c r="Y38" s="72" t="n"/>
      <c r="Z38" s="72" t="n"/>
      <c r="AA38" s="72" t="n"/>
      <c r="AB38" s="72" t="n"/>
      <c r="AC38" s="72" t="n"/>
    </row>
    <row r="39">
      <c r="A39" s="84" t="inlineStr">
        <is>
          <t>P20</t>
        </is>
      </c>
      <c r="B39" s="84" t="n">
        <v>20</v>
      </c>
      <c r="C39" s="84" t="inlineStr">
        <is>
          <t>1R1G1B</t>
        </is>
      </c>
      <c r="D39" s="84" t="inlineStr">
        <is>
          <t>晶元金线</t>
        </is>
      </c>
      <c r="E39" s="84" t="inlineStr">
        <is>
          <t>5034B</t>
        </is>
      </c>
      <c r="F39" s="84" t="n">
        <v>15000</v>
      </c>
      <c r="G39" s="84" t="n">
        <v>320</v>
      </c>
      <c r="H39" s="84" t="n">
        <v>160</v>
      </c>
      <c r="I39" s="84" t="inlineStr">
        <is>
          <t>黄白</t>
        </is>
      </c>
      <c r="J39" s="84" t="inlineStr">
        <is>
          <t>批次-310</t>
        </is>
      </c>
      <c r="K39" s="84" t="inlineStr">
        <is>
          <t>贴片</t>
        </is>
      </c>
      <c r="L39" s="84" t="n">
        <v>128</v>
      </c>
      <c r="M39" s="84" t="n">
        <v>128</v>
      </c>
      <c r="N39" s="84" t="n">
        <v>128</v>
      </c>
      <c r="O39" s="88">
        <f>IF(J39="","",SUMIFS(灯珠单价!B:B,灯珠单价!A:A,J39))</f>
        <v/>
      </c>
      <c r="P39" s="88">
        <f>IF(J39="","",SUMIFS(灯珠单价!C:C,灯珠单价!A:A,J39))</f>
        <v/>
      </c>
      <c r="Q39" s="88">
        <f>IF(J39="","",SUMIFS(灯珠单价!D:D,灯珠单价!A:A,J39))</f>
        <v/>
      </c>
      <c r="R39" s="88">
        <f>IF(B39="","",L39*O39+M39*P39+N39*Q39)</f>
        <v/>
      </c>
      <c r="S39" s="84" t="n">
        <v>104.16</v>
      </c>
      <c r="T39" s="88">
        <f>IF(B39="","",SUMIFS(套件单价!G:G,套件单价!A:A,B39,套件单价!B:B,K39))</f>
        <v/>
      </c>
      <c r="U39" s="84" t="n">
        <v>3</v>
      </c>
      <c r="V39" s="88">
        <f>IF(B39="","",R39+S39+T39)</f>
        <v/>
      </c>
      <c r="W39" s="88">
        <f>IF(B39="","",V39+U39)</f>
        <v/>
      </c>
      <c r="X39" s="84" t="n"/>
      <c r="Y39" s="72" t="n"/>
      <c r="Z39" s="72" t="n"/>
      <c r="AA39" s="72" t="n"/>
      <c r="AB39" s="72" t="n"/>
      <c r="AC39" s="72" t="n"/>
    </row>
    <row r="40">
      <c r="A40" s="84" t="inlineStr">
        <is>
          <t>P20</t>
        </is>
      </c>
      <c r="B40" s="84" t="n">
        <v>20</v>
      </c>
      <c r="C40" s="84" t="inlineStr">
        <is>
          <t>2R1G1B</t>
        </is>
      </c>
      <c r="D40" s="84" t="inlineStr">
        <is>
          <t>晶元金线</t>
        </is>
      </c>
      <c r="E40" s="84" t="inlineStr">
        <is>
          <t>5034B</t>
        </is>
      </c>
      <c r="F40" s="84" t="n">
        <v>15000</v>
      </c>
      <c r="G40" s="84" t="n">
        <v>320</v>
      </c>
      <c r="H40" s="84" t="n">
        <v>160</v>
      </c>
      <c r="I40" s="84" t="inlineStr">
        <is>
          <t>黄白</t>
        </is>
      </c>
      <c r="J40" s="84" t="inlineStr">
        <is>
          <t>批次-310</t>
        </is>
      </c>
      <c r="K40" s="84" t="inlineStr">
        <is>
          <t>贴片</t>
        </is>
      </c>
      <c r="L40" s="84" t="n">
        <v>256</v>
      </c>
      <c r="M40" s="84" t="n">
        <v>128</v>
      </c>
      <c r="N40" s="84" t="n">
        <v>128</v>
      </c>
      <c r="O40" s="88">
        <f>IF(J40="","",SUMIFS(灯珠单价!B:B,灯珠单价!A:A,J40))</f>
        <v/>
      </c>
      <c r="P40" s="88">
        <f>IF(J40="","",SUMIFS(灯珠单价!C:C,灯珠单价!A:A,J40))</f>
        <v/>
      </c>
      <c r="Q40" s="88">
        <f>IF(J40="","",SUMIFS(灯珠单价!D:D,灯珠单价!A:A,J40))</f>
        <v/>
      </c>
      <c r="R40" s="88">
        <f>IF(B40="","",L40*O40+M40*P40+N40*Q40)</f>
        <v/>
      </c>
      <c r="S40" s="84" t="n">
        <v>106.06</v>
      </c>
      <c r="T40" s="88">
        <f>IF(B40="","",SUMIFS(套件单价!G:G,套件单价!A:A,B40,套件单价!B:B,K40))</f>
        <v/>
      </c>
      <c r="U40" s="84" t="n">
        <v>3</v>
      </c>
      <c r="V40" s="88">
        <f>IF(B40="","",R40+S40+T40)</f>
        <v/>
      </c>
      <c r="W40" s="88">
        <f>IF(B40="","",V40+U40)</f>
        <v/>
      </c>
      <c r="X40" s="84" t="n"/>
      <c r="Y40" s="72" t="n"/>
      <c r="Z40" s="72" t="n"/>
      <c r="AA40" s="72" t="n"/>
      <c r="AB40" s="72" t="n"/>
      <c r="AC40" s="72" t="n"/>
    </row>
    <row r="41">
      <c r="A41" s="84" t="inlineStr">
        <is>
          <t>P16</t>
        </is>
      </c>
      <c r="B41" s="84" t="n">
        <v>16</v>
      </c>
      <c r="C41" s="84" t="inlineStr">
        <is>
          <t>2R1G</t>
        </is>
      </c>
      <c r="D41" s="84" t="inlineStr">
        <is>
          <t>晶元金线</t>
        </is>
      </c>
      <c r="E41" s="84" t="inlineStr">
        <is>
          <t>5034B</t>
        </is>
      </c>
      <c r="F41" s="84" t="n">
        <v>15000</v>
      </c>
      <c r="G41" s="84" t="n">
        <v>256</v>
      </c>
      <c r="H41" s="84" t="n">
        <v>256</v>
      </c>
      <c r="I41" s="84" t="inlineStr">
        <is>
          <t>黄色</t>
        </is>
      </c>
      <c r="J41" s="84" t="inlineStr">
        <is>
          <t>批次-310</t>
        </is>
      </c>
      <c r="K41" s="84" t="inlineStr">
        <is>
          <t>贴片</t>
        </is>
      </c>
      <c r="L41" s="84" t="n">
        <v>512</v>
      </c>
      <c r="M41" s="84" t="n">
        <v>256</v>
      </c>
      <c r="N41" s="84" t="n"/>
      <c r="O41" s="88">
        <f>IF(J41="","",SUMIFS(灯珠单价!B:B,灯珠单价!A:A,J41))</f>
        <v/>
      </c>
      <c r="P41" s="88">
        <f>IF(J41="","",SUMIFS(灯珠单价!C:C,灯珠单价!A:A,J41))</f>
        <v/>
      </c>
      <c r="Q41" s="88">
        <f>IF(J41="","",SUMIFS(灯珠单价!D:D,灯珠单价!A:A,J41))</f>
        <v/>
      </c>
      <c r="R41" s="88">
        <f>IF(B41="","",L41*O41+M41*P41+N41*Q41)</f>
        <v/>
      </c>
      <c r="S41" s="84" t="n">
        <v>137.08</v>
      </c>
      <c r="T41" s="88">
        <f>IF(B41="","",SUMIFS(套件单价!G:G,套件单价!A:A,B41,套件单价!B:B,K41))</f>
        <v/>
      </c>
      <c r="U41" s="84" t="n">
        <v>3.5</v>
      </c>
      <c r="V41" s="88">
        <f>IF(B41="","",R41+S41+T41)</f>
        <v/>
      </c>
      <c r="W41" s="88">
        <f>IF(B41="","",V41+U41)</f>
        <v/>
      </c>
      <c r="X41" s="84" t="n"/>
    </row>
    <row r="42">
      <c r="A42" s="84" t="inlineStr">
        <is>
          <t>P16</t>
        </is>
      </c>
      <c r="B42" s="84" t="n">
        <v>16</v>
      </c>
      <c r="C42" s="84" t="inlineStr">
        <is>
          <t>1R1G1B</t>
        </is>
      </c>
      <c r="D42" s="84" t="inlineStr">
        <is>
          <t>晶元金线</t>
        </is>
      </c>
      <c r="E42" s="84" t="inlineStr">
        <is>
          <t>5034B</t>
        </is>
      </c>
      <c r="F42" s="84" t="n">
        <v>15000</v>
      </c>
      <c r="G42" s="84" t="n">
        <v>256</v>
      </c>
      <c r="H42" s="84" t="n">
        <v>256</v>
      </c>
      <c r="I42" s="84" t="inlineStr">
        <is>
          <t>黄白</t>
        </is>
      </c>
      <c r="J42" s="84" t="inlineStr">
        <is>
          <t>批次-310</t>
        </is>
      </c>
      <c r="K42" s="84" t="inlineStr">
        <is>
          <t>贴片</t>
        </is>
      </c>
      <c r="L42" s="84" t="n">
        <v>256</v>
      </c>
      <c r="M42" s="84" t="n">
        <v>256</v>
      </c>
      <c r="N42" s="84" t="n">
        <v>256</v>
      </c>
      <c r="O42" s="88">
        <f>IF(J42="","",SUMIFS(灯珠单价!B:B,灯珠单价!A:A,J42))</f>
        <v/>
      </c>
      <c r="P42" s="88">
        <f>IF(J42="","",SUMIFS(灯珠单价!C:C,灯珠单价!A:A,J42))</f>
        <v/>
      </c>
      <c r="Q42" s="88">
        <f>IF(J42="","",SUMIFS(灯珠单价!D:D,灯珠单价!A:A,J42))</f>
        <v/>
      </c>
      <c r="R42" s="88">
        <f>IF(B42="","",L42*O42+M42*P42+N42*Q42)</f>
        <v/>
      </c>
      <c r="S42" s="84" t="n">
        <v>153.92</v>
      </c>
      <c r="T42" s="88">
        <f>IF(B42="","",SUMIFS(套件单价!G:G,套件单价!A:A,B42,套件单价!B:B,K42))</f>
        <v/>
      </c>
      <c r="U42" s="84" t="n">
        <v>3.5</v>
      </c>
      <c r="V42" s="88">
        <f>IF(B42="","",R42+S42+T42)</f>
        <v/>
      </c>
      <c r="W42" s="88">
        <f>IF(B42="","",V42+U42)</f>
        <v/>
      </c>
      <c r="X42" s="84" t="n"/>
    </row>
    <row r="43">
      <c r="A43" s="84" t="inlineStr">
        <is>
          <t>P16</t>
        </is>
      </c>
      <c r="B43" s="84" t="n">
        <v>16</v>
      </c>
      <c r="C43" s="84" t="inlineStr">
        <is>
          <t>2R1G1B</t>
        </is>
      </c>
      <c r="D43" s="84" t="inlineStr">
        <is>
          <t>晶元金线</t>
        </is>
      </c>
      <c r="E43" s="84" t="inlineStr">
        <is>
          <t>5034B</t>
        </is>
      </c>
      <c r="F43" s="84" t="n">
        <v>15000</v>
      </c>
      <c r="G43" s="84" t="n">
        <v>256</v>
      </c>
      <c r="H43" s="84" t="n">
        <v>256</v>
      </c>
      <c r="I43" s="84" t="inlineStr">
        <is>
          <t>黄白</t>
        </is>
      </c>
      <c r="J43" s="84" t="inlineStr">
        <is>
          <t>批次-310</t>
        </is>
      </c>
      <c r="K43" s="84" t="inlineStr">
        <is>
          <t>贴片</t>
        </is>
      </c>
      <c r="L43" s="84" t="n">
        <v>512</v>
      </c>
      <c r="M43" s="84" t="n">
        <v>256</v>
      </c>
      <c r="N43" s="84" t="n">
        <v>256</v>
      </c>
      <c r="O43" s="88">
        <f>IF(J43="","",SUMIFS(灯珠单价!B:B,灯珠单价!A:A,J43))</f>
        <v/>
      </c>
      <c r="P43" s="88">
        <f>IF(J43="","",SUMIFS(灯珠单价!C:C,灯珠单价!A:A,J43))</f>
        <v/>
      </c>
      <c r="Q43" s="88">
        <f>IF(J43="","",SUMIFS(灯珠单价!D:D,灯珠单价!A:A,J43))</f>
        <v/>
      </c>
      <c r="R43" s="88">
        <f>IF(B43="","",L43*O43+M43*P43+N43*Q43)</f>
        <v/>
      </c>
      <c r="S43" s="84" t="n">
        <v>154.18</v>
      </c>
      <c r="T43" s="88">
        <f>IF(B43="","",SUMIFS(套件单价!G:G,套件单价!A:A,B43,套件单价!B:B,K43))</f>
        <v/>
      </c>
      <c r="U43" s="84" t="n">
        <v>3.5</v>
      </c>
      <c r="V43" s="88">
        <f>IF(B43="","",R43+S43+T43)</f>
        <v/>
      </c>
      <c r="W43" s="88">
        <f>IF(B43="","",V43+U43)</f>
        <v/>
      </c>
      <c r="X43" s="84" t="n"/>
    </row>
    <row r="44">
      <c r="A44" s="84" t="inlineStr">
        <is>
          <t>P10</t>
        </is>
      </c>
      <c r="B44" s="84" t="n">
        <v>10</v>
      </c>
      <c r="C44" s="84" t="inlineStr">
        <is>
          <t>2R1G</t>
        </is>
      </c>
      <c r="D44" s="84" t="inlineStr">
        <is>
          <t>晶元金线</t>
        </is>
      </c>
      <c r="E44" s="84" t="inlineStr">
        <is>
          <t>5124</t>
        </is>
      </c>
      <c r="F44" s="84" t="n">
        <v>15000</v>
      </c>
      <c r="G44" s="84" t="n">
        <v>160</v>
      </c>
      <c r="H44" s="84" t="n">
        <v>320</v>
      </c>
      <c r="I44" s="84" t="inlineStr">
        <is>
          <t>黄白</t>
        </is>
      </c>
      <c r="J44" s="84" t="inlineStr">
        <is>
          <t>批次-310</t>
        </is>
      </c>
      <c r="K44" s="84" t="inlineStr">
        <is>
          <t>贴片</t>
        </is>
      </c>
      <c r="L44" s="84" t="n">
        <v>1024</v>
      </c>
      <c r="M44" s="84" t="n">
        <v>512</v>
      </c>
      <c r="N44" s="84" t="n"/>
      <c r="O44" s="88">
        <f>IF(J44="","",SUMIFS(灯珠单价!B:B,灯珠单价!A:A,J44))</f>
        <v/>
      </c>
      <c r="P44" s="88">
        <f>IF(J44="","",SUMIFS(灯珠单价!C:C,灯珠单价!A:A,J44))</f>
        <v/>
      </c>
      <c r="Q44" s="88">
        <f>IF(J44="","",SUMIFS(灯珠单价!D:D,灯珠单价!A:A,J44))</f>
        <v/>
      </c>
      <c r="R44" s="88">
        <f>IF(B44="","",L44*O44+M44*P44+N44*Q44)</f>
        <v/>
      </c>
      <c r="S44" s="84" t="n">
        <v>89.06</v>
      </c>
      <c r="T44" s="88">
        <f>IF(B44="","",SUMIFS(套件单价!G:G,套件单价!A:A,B44,套件单价!B:B,K44))</f>
        <v/>
      </c>
      <c r="U44" s="84" t="n">
        <v>3</v>
      </c>
      <c r="V44" s="88">
        <f>IF(B44="","",R44+S44+T44)</f>
        <v/>
      </c>
      <c r="W44" s="88">
        <f>IF(B44="","",V44+U44)</f>
        <v/>
      </c>
      <c r="X44" s="84" t="n"/>
    </row>
    <row r="45">
      <c r="A45" s="84" t="inlineStr">
        <is>
          <t>P10</t>
        </is>
      </c>
      <c r="B45" s="84" t="n">
        <v>10</v>
      </c>
      <c r="C45" s="84" t="inlineStr">
        <is>
          <t>1R1G</t>
        </is>
      </c>
      <c r="D45" s="84" t="inlineStr">
        <is>
          <t>晶元金线</t>
        </is>
      </c>
      <c r="E45" s="84" t="inlineStr">
        <is>
          <t>5124</t>
        </is>
      </c>
      <c r="F45" s="84" t="n">
        <v>15000</v>
      </c>
      <c r="G45" s="84" t="n">
        <v>160</v>
      </c>
      <c r="H45" s="84" t="n">
        <v>320</v>
      </c>
      <c r="I45" s="84" t="inlineStr">
        <is>
          <t>黄色</t>
        </is>
      </c>
      <c r="J45" s="84" t="inlineStr">
        <is>
          <t>批次-310</t>
        </is>
      </c>
      <c r="K45" s="84" t="inlineStr">
        <is>
          <t>贴片</t>
        </is>
      </c>
      <c r="L45" s="84" t="n">
        <v>512</v>
      </c>
      <c r="M45" s="84" t="n">
        <v>512</v>
      </c>
      <c r="N45" s="84" t="n"/>
      <c r="O45" s="88">
        <f>IF(J45="","",SUMIFS(灯珠单价!B:B,灯珠单价!A:A,J45))</f>
        <v/>
      </c>
      <c r="P45" s="88">
        <f>IF(J45="","",SUMIFS(灯珠单价!C:C,灯珠单价!A:A,J45))</f>
        <v/>
      </c>
      <c r="Q45" s="88">
        <f>IF(J45="","",SUMIFS(灯珠单价!D:D,灯珠单价!A:A,J45))</f>
        <v/>
      </c>
      <c r="R45" s="88">
        <f>IF(B45="","",L45*O45+M45*P45+N45*Q45)</f>
        <v/>
      </c>
      <c r="S45" s="84" t="n">
        <v>87.06</v>
      </c>
      <c r="T45" s="88">
        <f>IF(B45="","",SUMIFS(套件单价!G:G,套件单价!A:A,B45,套件单价!B:B,K45))</f>
        <v/>
      </c>
      <c r="U45" s="84" t="n">
        <v>3</v>
      </c>
      <c r="V45" s="88">
        <f>IF(B45="","",R45+S45+T45)</f>
        <v/>
      </c>
      <c r="W45" s="88">
        <f>IF(B45="","",V45+U45)</f>
        <v/>
      </c>
      <c r="X45" s="84" t="n"/>
    </row>
    <row r="46">
      <c r="A46" s="84" t="inlineStr">
        <is>
          <t>P10</t>
        </is>
      </c>
      <c r="B46" s="84" t="n">
        <v>10</v>
      </c>
      <c r="C46" s="84" t="inlineStr">
        <is>
          <t>1R1G1B</t>
        </is>
      </c>
      <c r="D46" s="84" t="inlineStr">
        <is>
          <t>晶元金线</t>
        </is>
      </c>
      <c r="E46" s="84" t="inlineStr">
        <is>
          <t>5124</t>
        </is>
      </c>
      <c r="F46" s="84" t="n">
        <v>15000</v>
      </c>
      <c r="G46" s="84" t="n">
        <v>160</v>
      </c>
      <c r="H46" s="84" t="n">
        <v>320</v>
      </c>
      <c r="I46" s="84" t="inlineStr">
        <is>
          <t>黄白</t>
        </is>
      </c>
      <c r="J46" s="84" t="inlineStr">
        <is>
          <t>批次-310</t>
        </is>
      </c>
      <c r="K46" s="84" t="inlineStr">
        <is>
          <t>贴片</t>
        </is>
      </c>
      <c r="L46" s="84" t="n">
        <v>512</v>
      </c>
      <c r="M46" s="84" t="n">
        <v>512</v>
      </c>
      <c r="N46" s="84" t="n">
        <v>512</v>
      </c>
      <c r="O46" s="88">
        <f>IF(J46="","",SUMIFS(灯珠单价!B:B,灯珠单价!A:A,J46))</f>
        <v/>
      </c>
      <c r="P46" s="88">
        <f>IF(J46="","",SUMIFS(灯珠单价!C:C,灯珠单价!A:A,J46))</f>
        <v/>
      </c>
      <c r="Q46" s="88">
        <f>IF(J46="","",SUMIFS(灯珠单价!D:D,灯珠单价!A:A,J46))</f>
        <v/>
      </c>
      <c r="R46" s="88">
        <f>IF(B46="","",L46*O46+M46*P46+N46*Q46)</f>
        <v/>
      </c>
      <c r="S46" s="84" t="n">
        <v>91.14</v>
      </c>
      <c r="T46" s="88">
        <f>IF(B46="","",SUMIFS(套件单价!G:G,套件单价!A:A,B46,套件单价!B:B,K46))</f>
        <v/>
      </c>
      <c r="U46" s="84" t="n">
        <v>3</v>
      </c>
      <c r="V46" s="88">
        <f>IF(B46="","",R46+S46+T46)</f>
        <v/>
      </c>
      <c r="W46" s="88">
        <f>IF(B46="","",V46+U46)</f>
        <v/>
      </c>
      <c r="X46" s="84" t="n"/>
    </row>
    <row r="47">
      <c r="A47" s="84" t="inlineStr">
        <is>
          <t>P31.25</t>
        </is>
      </c>
      <c r="B47" s="84" t="n">
        <v>31.25</v>
      </c>
      <c r="C47" s="84" t="inlineStr">
        <is>
          <t>2R1G</t>
        </is>
      </c>
      <c r="D47" s="84" t="inlineStr">
        <is>
          <t>晶元金线</t>
        </is>
      </c>
      <c r="E47" s="84" t="inlineStr">
        <is>
          <t>16289S</t>
        </is>
      </c>
      <c r="F47" s="84" t="n">
        <v>15000</v>
      </c>
      <c r="G47" s="84" t="n">
        <v>250</v>
      </c>
      <c r="H47" s="84" t="n">
        <v>250</v>
      </c>
      <c r="I47" s="84" t="inlineStr">
        <is>
          <t>黄色</t>
        </is>
      </c>
      <c r="J47" s="84" t="inlineStr">
        <is>
          <t>批次-510</t>
        </is>
      </c>
      <c r="K47" s="84" t="inlineStr">
        <is>
          <t>贴片</t>
        </is>
      </c>
      <c r="L47" s="84" t="n">
        <v>128</v>
      </c>
      <c r="M47" s="84" t="n">
        <v>64</v>
      </c>
      <c r="N47" s="84" t="n"/>
      <c r="O47" s="88">
        <f>IF(J47="","",SUMIFS(灯珠单价!B:B,灯珠单价!A:A,J47))</f>
        <v/>
      </c>
      <c r="P47" s="88">
        <f>IF(J47="","",SUMIFS(灯珠单价!C:C,灯珠单价!A:A,J47))</f>
        <v/>
      </c>
      <c r="Q47" s="88">
        <f>IF(J47="","",SUMIFS(灯珠单价!D:D,灯珠单价!A:A,J47))</f>
        <v/>
      </c>
      <c r="R47" s="88">
        <f>IF(B47="","",L47*O47+M47*P47+N47*Q47)</f>
        <v/>
      </c>
      <c r="S47" s="84" t="n"/>
      <c r="T47" s="88">
        <f>IF(B47="","",SUMIFS(套件单价!G:G,套件单价!A:A,B47,套件单价!B:B,K47))</f>
        <v/>
      </c>
      <c r="U47" s="84" t="n">
        <v>3.5</v>
      </c>
      <c r="V47" s="88">
        <f>IF(B47="","",R47+S47+T47)</f>
        <v/>
      </c>
      <c r="W47" s="88">
        <f>IF(B47="","",V47+U47)</f>
        <v/>
      </c>
      <c r="X47" s="84" t="n"/>
    </row>
    <row r="48">
      <c r="A48" s="84" t="inlineStr">
        <is>
          <t>P31.25</t>
        </is>
      </c>
      <c r="B48" s="84" t="n">
        <v>31.25</v>
      </c>
      <c r="C48" s="84" t="inlineStr">
        <is>
          <t>2R1G1B</t>
        </is>
      </c>
      <c r="D48" s="84" t="inlineStr">
        <is>
          <t>晶元金线</t>
        </is>
      </c>
      <c r="E48" s="84" t="inlineStr">
        <is>
          <t>16289S</t>
        </is>
      </c>
      <c r="F48" s="84" t="n">
        <v>15000</v>
      </c>
      <c r="G48" s="84" t="n">
        <v>250</v>
      </c>
      <c r="H48" s="84" t="n">
        <v>250</v>
      </c>
      <c r="I48" s="84" t="inlineStr">
        <is>
          <t>黄白</t>
        </is>
      </c>
      <c r="J48" s="84" t="inlineStr">
        <is>
          <t>批次-510</t>
        </is>
      </c>
      <c r="K48" s="84" t="inlineStr">
        <is>
          <t>贴片</t>
        </is>
      </c>
      <c r="L48" s="84" t="n">
        <v>128</v>
      </c>
      <c r="M48" s="84" t="n">
        <v>64</v>
      </c>
      <c r="N48" s="84" t="n">
        <v>64</v>
      </c>
      <c r="O48" s="88">
        <f>IF(J48="","",SUMIFS(灯珠单价!B:B,灯珠单价!A:A,J48))</f>
        <v/>
      </c>
      <c r="P48" s="88">
        <f>IF(J48="","",SUMIFS(灯珠单价!C:C,灯珠单价!A:A,J48))</f>
        <v/>
      </c>
      <c r="Q48" s="88">
        <f>IF(J48="","",SUMIFS(灯珠单价!D:D,灯珠单价!A:A,J48))</f>
        <v/>
      </c>
      <c r="R48" s="88">
        <f>IF(B48="","",L48*O48+M48*P48+N48*Q48)</f>
        <v/>
      </c>
      <c r="S48" s="84" t="n"/>
      <c r="T48" s="88">
        <f>IF(B48="","",SUMIFS(套件单价!G:G,套件单价!A:A,B48,套件单价!B:B,K48))</f>
        <v/>
      </c>
      <c r="U48" s="84" t="n">
        <v>3.5</v>
      </c>
      <c r="V48" s="88">
        <f>IF(B48="","",R48+S48+T48)</f>
        <v/>
      </c>
      <c r="W48" s="88">
        <f>IF(B48="","",V48+U48)</f>
        <v/>
      </c>
      <c r="X48" s="84" t="n"/>
    </row>
    <row r="49">
      <c r="A49" s="84" t="inlineStr">
        <is>
          <t>P25</t>
        </is>
      </c>
      <c r="B49" s="84" t="n">
        <v>25</v>
      </c>
      <c r="C49" s="84" t="inlineStr">
        <is>
          <t>2R1G</t>
        </is>
      </c>
      <c r="D49" s="84" t="inlineStr">
        <is>
          <t>晶元金线</t>
        </is>
      </c>
      <c r="E49" s="84" t="inlineStr">
        <is>
          <t>16289S</t>
        </is>
      </c>
      <c r="F49" s="84" t="n">
        <v>15000</v>
      </c>
      <c r="G49" s="84" t="n">
        <v>200</v>
      </c>
      <c r="H49" s="84" t="n">
        <v>200</v>
      </c>
      <c r="I49" s="84" t="inlineStr">
        <is>
          <t>黄色</t>
        </is>
      </c>
      <c r="J49" s="84" t="inlineStr">
        <is>
          <t>批次-510</t>
        </is>
      </c>
      <c r="K49" s="84" t="inlineStr">
        <is>
          <t>贴片</t>
        </is>
      </c>
      <c r="L49" s="84" t="n">
        <v>128</v>
      </c>
      <c r="M49" s="84" t="n">
        <v>64</v>
      </c>
      <c r="N49" s="84" t="n"/>
      <c r="O49" s="88">
        <f>IF(J49="","",SUMIFS(灯珠单价!B:B,灯珠单价!A:A,J49))</f>
        <v/>
      </c>
      <c r="P49" s="88">
        <f>IF(J49="","",SUMIFS(灯珠单价!C:C,灯珠单价!A:A,J49))</f>
        <v/>
      </c>
      <c r="Q49" s="88">
        <f>IF(J49="","",SUMIFS(灯珠单价!D:D,灯珠单价!A:A,J49))</f>
        <v/>
      </c>
      <c r="R49" s="88">
        <f>IF(B49="","",L49*O49+M49*P49+N49*Q49)</f>
        <v/>
      </c>
      <c r="S49" s="84" t="n"/>
      <c r="T49" s="88">
        <f>IF(B49="","",SUMIFS(套件单价!G:G,套件单价!A:A,B49,套件单价!B:B,K49))</f>
        <v/>
      </c>
      <c r="U49" s="84" t="n">
        <v>2.5</v>
      </c>
      <c r="V49" s="88">
        <f>IF(B49="","",R49+S49+T49)</f>
        <v/>
      </c>
      <c r="W49" s="88">
        <f>IF(B49="","",V49+U49)</f>
        <v/>
      </c>
      <c r="X49" s="84" t="n"/>
    </row>
    <row r="50">
      <c r="A50" s="84" t="inlineStr">
        <is>
          <t>P25</t>
        </is>
      </c>
      <c r="B50" s="84" t="n">
        <v>25</v>
      </c>
      <c r="C50" s="84" t="inlineStr">
        <is>
          <t>2R1G1B</t>
        </is>
      </c>
      <c r="D50" s="84" t="inlineStr">
        <is>
          <t>晶元金线</t>
        </is>
      </c>
      <c r="E50" s="84" t="inlineStr">
        <is>
          <t>16289S</t>
        </is>
      </c>
      <c r="F50" s="84" t="n">
        <v>15000</v>
      </c>
      <c r="G50" s="84" t="n">
        <v>200</v>
      </c>
      <c r="H50" s="84" t="n">
        <v>200</v>
      </c>
      <c r="I50" s="84" t="inlineStr">
        <is>
          <t>黄白</t>
        </is>
      </c>
      <c r="J50" s="84" t="inlineStr">
        <is>
          <t>批次-510</t>
        </is>
      </c>
      <c r="K50" s="84" t="inlineStr">
        <is>
          <t>贴片</t>
        </is>
      </c>
      <c r="L50" s="84" t="n">
        <v>128</v>
      </c>
      <c r="M50" s="84" t="n">
        <v>64</v>
      </c>
      <c r="N50" s="84" t="n">
        <v>64</v>
      </c>
      <c r="O50" s="88">
        <f>IF(J50="","",SUMIFS(灯珠单价!B:B,灯珠单价!A:A,J50))</f>
        <v/>
      </c>
      <c r="P50" s="88">
        <f>IF(J50="","",SUMIFS(灯珠单价!C:C,灯珠单价!A:A,J50))</f>
        <v/>
      </c>
      <c r="Q50" s="88">
        <f>IF(J50="","",SUMIFS(灯珠单价!D:D,灯珠单价!A:A,J50))</f>
        <v/>
      </c>
      <c r="R50" s="88">
        <f>IF(B50="","",L50*O50+M50*P50+N50*Q50)</f>
        <v/>
      </c>
      <c r="S50" s="84" t="n"/>
      <c r="T50" s="88">
        <f>IF(B50="","",SUMIFS(套件单价!G:G,套件单价!A:A,B50,套件单价!B:B,K50))</f>
        <v/>
      </c>
      <c r="U50" s="84" t="n">
        <v>2.5</v>
      </c>
      <c r="V50" s="88">
        <f>IF(B50="","",R50+S50+T50)</f>
        <v/>
      </c>
      <c r="W50" s="88">
        <f>IF(B50="","",V50+U50)</f>
        <v/>
      </c>
      <c r="X50" s="84" t="n"/>
    </row>
    <row r="51">
      <c r="A51" s="84" t="inlineStr">
        <is>
          <t>P20</t>
        </is>
      </c>
      <c r="B51" s="84" t="n">
        <v>20</v>
      </c>
      <c r="C51" s="84" t="inlineStr">
        <is>
          <t>2R1G</t>
        </is>
      </c>
      <c r="D51" s="84" t="inlineStr">
        <is>
          <t>晶元金线</t>
        </is>
      </c>
      <c r="E51" s="84" t="inlineStr">
        <is>
          <t>16289S</t>
        </is>
      </c>
      <c r="F51" s="84" t="n">
        <v>15000</v>
      </c>
      <c r="G51" s="84" t="n">
        <v>320</v>
      </c>
      <c r="H51" s="84" t="n">
        <v>160</v>
      </c>
      <c r="I51" s="84" t="inlineStr">
        <is>
          <t>黄色</t>
        </is>
      </c>
      <c r="J51" s="84" t="inlineStr">
        <is>
          <t>批次-510</t>
        </is>
      </c>
      <c r="K51" s="84" t="inlineStr">
        <is>
          <t>贴片</t>
        </is>
      </c>
      <c r="L51" s="84" t="n">
        <v>256</v>
      </c>
      <c r="M51" s="84" t="n">
        <v>128</v>
      </c>
      <c r="N51" s="84" t="n"/>
      <c r="O51" s="88">
        <f>IF(J51="","",SUMIFS(灯珠单价!B:B,灯珠单价!A:A,J51))</f>
        <v/>
      </c>
      <c r="P51" s="88">
        <f>IF(J51="","",SUMIFS(灯珠单价!C:C,灯珠单价!A:A,J51))</f>
        <v/>
      </c>
      <c r="Q51" s="88">
        <f>IF(J51="","",SUMIFS(灯珠单价!D:D,灯珠单价!A:A,J51))</f>
        <v/>
      </c>
      <c r="R51" s="88">
        <f>IF(B51="","",L51*O51+M51*P51+N51*Q51)</f>
        <v/>
      </c>
      <c r="S51" s="84" t="n"/>
      <c r="T51" s="88">
        <f>IF(B51="","",SUMIFS(套件单价!G:G,套件单价!A:A,B51,套件单价!B:B,K51))</f>
        <v/>
      </c>
      <c r="U51" s="84" t="n">
        <v>3</v>
      </c>
      <c r="V51" s="88">
        <f>IF(B51="","",R51+S51+T51)</f>
        <v/>
      </c>
      <c r="W51" s="88">
        <f>IF(B51="","",V51+U51)</f>
        <v/>
      </c>
      <c r="X51" s="84" t="n"/>
    </row>
    <row r="52">
      <c r="A52" s="84" t="inlineStr">
        <is>
          <t>P20</t>
        </is>
      </c>
      <c r="B52" s="84" t="n">
        <v>20</v>
      </c>
      <c r="C52" s="84" t="inlineStr">
        <is>
          <t>1R1G1B</t>
        </is>
      </c>
      <c r="D52" s="84" t="inlineStr">
        <is>
          <t>晶元金线</t>
        </is>
      </c>
      <c r="E52" s="84" t="inlineStr">
        <is>
          <t>16289S</t>
        </is>
      </c>
      <c r="F52" s="84" t="n">
        <v>15000</v>
      </c>
      <c r="G52" s="84" t="n">
        <v>320</v>
      </c>
      <c r="H52" s="84" t="n">
        <v>160</v>
      </c>
      <c r="I52" s="84" t="inlineStr">
        <is>
          <t>黄白</t>
        </is>
      </c>
      <c r="J52" s="84" t="inlineStr">
        <is>
          <t>批次-510</t>
        </is>
      </c>
      <c r="K52" s="84" t="inlineStr">
        <is>
          <t>贴片</t>
        </is>
      </c>
      <c r="L52" s="84" t="n">
        <v>128</v>
      </c>
      <c r="M52" s="84" t="n">
        <v>128</v>
      </c>
      <c r="N52" s="84" t="n">
        <v>128</v>
      </c>
      <c r="O52" s="88">
        <f>IF(J52="","",SUMIFS(灯珠单价!B:B,灯珠单价!A:A,J52))</f>
        <v/>
      </c>
      <c r="P52" s="88">
        <f>IF(J52="","",SUMIFS(灯珠单价!C:C,灯珠单价!A:A,J52))</f>
        <v/>
      </c>
      <c r="Q52" s="88">
        <f>IF(J52="","",SUMIFS(灯珠单价!D:D,灯珠单价!A:A,J52))</f>
        <v/>
      </c>
      <c r="R52" s="88">
        <f>IF(B52="","",L52*O52+M52*P52+N52*Q52)</f>
        <v/>
      </c>
      <c r="S52" s="84" t="n"/>
      <c r="T52" s="88">
        <f>IF(B52="","",SUMIFS(套件单价!G:G,套件单价!A:A,B52,套件单价!B:B,K52))</f>
        <v/>
      </c>
      <c r="U52" s="84" t="n">
        <v>3</v>
      </c>
      <c r="V52" s="88">
        <f>IF(B52="","",R52+S52+T52)</f>
        <v/>
      </c>
      <c r="W52" s="88">
        <f>IF(B52="","",V52+U52)</f>
        <v/>
      </c>
      <c r="X52" s="84" t="n"/>
    </row>
    <row r="53">
      <c r="A53" s="84" t="inlineStr">
        <is>
          <t>P20</t>
        </is>
      </c>
      <c r="B53" s="84" t="n">
        <v>20</v>
      </c>
      <c r="C53" s="84" t="inlineStr">
        <is>
          <t>2R1G1B</t>
        </is>
      </c>
      <c r="D53" s="84" t="inlineStr">
        <is>
          <t>晶元金线</t>
        </is>
      </c>
      <c r="E53" s="84" t="inlineStr">
        <is>
          <t>16289S</t>
        </is>
      </c>
      <c r="F53" s="84" t="n">
        <v>15000</v>
      </c>
      <c r="G53" s="84" t="n">
        <v>320</v>
      </c>
      <c r="H53" s="84" t="n">
        <v>160</v>
      </c>
      <c r="I53" s="84" t="inlineStr">
        <is>
          <t>黄白</t>
        </is>
      </c>
      <c r="J53" s="84" t="inlineStr">
        <is>
          <t>批次-510</t>
        </is>
      </c>
      <c r="K53" s="84" t="inlineStr">
        <is>
          <t>贴片</t>
        </is>
      </c>
      <c r="L53" s="84" t="n">
        <v>256</v>
      </c>
      <c r="M53" s="84" t="n">
        <v>128</v>
      </c>
      <c r="N53" s="84" t="n">
        <v>128</v>
      </c>
      <c r="O53" s="88">
        <f>IF(J53="","",SUMIFS(灯珠单价!B:B,灯珠单价!A:A,J53))</f>
        <v/>
      </c>
      <c r="P53" s="88">
        <f>IF(J53="","",SUMIFS(灯珠单价!C:C,灯珠单价!A:A,J53))</f>
        <v/>
      </c>
      <c r="Q53" s="88">
        <f>IF(J53="","",SUMIFS(灯珠单价!D:D,灯珠单价!A:A,J53))</f>
        <v/>
      </c>
      <c r="R53" s="88">
        <f>IF(B53="","",L53*O53+M53*P53+N53*Q53)</f>
        <v/>
      </c>
      <c r="S53" s="84" t="n"/>
      <c r="T53" s="88">
        <f>IF(B53="","",SUMIFS(套件单价!G:G,套件单价!A:A,B53,套件单价!B:B,K53))</f>
        <v/>
      </c>
      <c r="U53" s="84" t="n">
        <v>3</v>
      </c>
      <c r="V53" s="88">
        <f>IF(B53="","",R53+S53+T53)</f>
        <v/>
      </c>
      <c r="W53" s="88">
        <f>IF(B53="","",V53+U53)</f>
        <v/>
      </c>
      <c r="X53" s="84" t="n"/>
    </row>
    <row r="54">
      <c r="A54" s="84" t="inlineStr">
        <is>
          <t>P16</t>
        </is>
      </c>
      <c r="B54" s="84" t="n">
        <v>16</v>
      </c>
      <c r="C54" s="84" t="inlineStr">
        <is>
          <t>2R1G</t>
        </is>
      </c>
      <c r="D54" s="84" t="inlineStr">
        <is>
          <t>晶元金线</t>
        </is>
      </c>
      <c r="E54" s="84" t="inlineStr">
        <is>
          <t>16289S</t>
        </is>
      </c>
      <c r="F54" s="84" t="n">
        <v>15000</v>
      </c>
      <c r="G54" s="84" t="n">
        <v>256</v>
      </c>
      <c r="H54" s="84" t="n">
        <v>256</v>
      </c>
      <c r="I54" s="84" t="inlineStr">
        <is>
          <t>黄色</t>
        </is>
      </c>
      <c r="J54" s="84" t="inlineStr">
        <is>
          <t>批次-510</t>
        </is>
      </c>
      <c r="K54" s="84" t="inlineStr">
        <is>
          <t>贴片</t>
        </is>
      </c>
      <c r="L54" s="84" t="n">
        <v>512</v>
      </c>
      <c r="M54" s="84" t="n">
        <v>256</v>
      </c>
      <c r="N54" s="84" t="n"/>
      <c r="O54" s="88">
        <f>IF(J54="","",SUMIFS(灯珠单价!B:B,灯珠单价!A:A,J54))</f>
        <v/>
      </c>
      <c r="P54" s="88">
        <f>IF(J54="","",SUMIFS(灯珠单价!C:C,灯珠单价!A:A,J54))</f>
        <v/>
      </c>
      <c r="Q54" s="88">
        <f>IF(J54="","",SUMIFS(灯珠单价!D:D,灯珠单价!A:A,J54))</f>
        <v/>
      </c>
      <c r="R54" s="88">
        <f>IF(B54="","",L54*O54+M54*P54+N54*Q54)</f>
        <v/>
      </c>
      <c r="S54" s="84" t="n"/>
      <c r="T54" s="88">
        <f>IF(B54="","",SUMIFS(套件单价!G:G,套件单价!A:A,B54,套件单价!B:B,K54))</f>
        <v/>
      </c>
      <c r="U54" s="84" t="n">
        <v>3.5</v>
      </c>
      <c r="V54" s="88">
        <f>IF(B54="","",R54+S54+T54)</f>
        <v/>
      </c>
      <c r="W54" s="88">
        <f>IF(B54="","",V54+U54)</f>
        <v/>
      </c>
      <c r="X54" s="84" t="n"/>
    </row>
    <row r="55">
      <c r="A55" s="84" t="inlineStr">
        <is>
          <t>P16</t>
        </is>
      </c>
      <c r="B55" s="84" t="n">
        <v>16</v>
      </c>
      <c r="C55" s="84" t="inlineStr">
        <is>
          <t>1R1G1B</t>
        </is>
      </c>
      <c r="D55" s="84" t="inlineStr">
        <is>
          <t>晶元金线</t>
        </is>
      </c>
      <c r="E55" s="84" t="inlineStr">
        <is>
          <t>16289S</t>
        </is>
      </c>
      <c r="F55" s="84" t="n">
        <v>15000</v>
      </c>
      <c r="G55" s="84" t="n">
        <v>256</v>
      </c>
      <c r="H55" s="84" t="n">
        <v>256</v>
      </c>
      <c r="I55" s="84" t="inlineStr">
        <is>
          <t>黄白</t>
        </is>
      </c>
      <c r="J55" s="84" t="inlineStr">
        <is>
          <t>批次-510</t>
        </is>
      </c>
      <c r="K55" s="84" t="inlineStr">
        <is>
          <t>贴片</t>
        </is>
      </c>
      <c r="L55" s="84" t="n">
        <v>256</v>
      </c>
      <c r="M55" s="84" t="n">
        <v>256</v>
      </c>
      <c r="N55" s="84" t="n">
        <v>256</v>
      </c>
      <c r="O55" s="88">
        <f>IF(J55="","",SUMIFS(灯珠单价!B:B,灯珠单价!A:A,J55))</f>
        <v/>
      </c>
      <c r="P55" s="88">
        <f>IF(J55="","",SUMIFS(灯珠单价!C:C,灯珠单价!A:A,J55))</f>
        <v/>
      </c>
      <c r="Q55" s="88">
        <f>IF(J55="","",SUMIFS(灯珠单价!D:D,灯珠单价!A:A,J55))</f>
        <v/>
      </c>
      <c r="R55" s="88">
        <f>IF(B55="","",L55*O55+M55*P55+N55*Q55)</f>
        <v/>
      </c>
      <c r="S55" s="84" t="n"/>
      <c r="T55" s="88">
        <f>IF(B55="","",SUMIFS(套件单价!G:G,套件单价!A:A,B55,套件单价!B:B,K55))</f>
        <v/>
      </c>
      <c r="U55" s="84" t="n">
        <v>3.5</v>
      </c>
      <c r="V55" s="88">
        <f>IF(B55="","",R55+S55+T55)</f>
        <v/>
      </c>
      <c r="W55" s="88">
        <f>IF(B55="","",V55+U55)</f>
        <v/>
      </c>
      <c r="X55" s="84" t="n"/>
    </row>
    <row r="56">
      <c r="A56" s="84" t="inlineStr">
        <is>
          <t>P16</t>
        </is>
      </c>
      <c r="B56" s="84" t="n">
        <v>16</v>
      </c>
      <c r="C56" s="84" t="inlineStr">
        <is>
          <t>2R1G1B</t>
        </is>
      </c>
      <c r="D56" s="84" t="inlineStr">
        <is>
          <t>晶元金线</t>
        </is>
      </c>
      <c r="E56" s="84" t="inlineStr">
        <is>
          <t>16289S</t>
        </is>
      </c>
      <c r="F56" s="84" t="n">
        <v>15000</v>
      </c>
      <c r="G56" s="84" t="n">
        <v>256</v>
      </c>
      <c r="H56" s="84" t="n">
        <v>256</v>
      </c>
      <c r="I56" s="84" t="inlineStr">
        <is>
          <t>黄白</t>
        </is>
      </c>
      <c r="J56" s="84" t="inlineStr">
        <is>
          <t>批次-510</t>
        </is>
      </c>
      <c r="K56" s="84" t="inlineStr">
        <is>
          <t>贴片</t>
        </is>
      </c>
      <c r="L56" s="84" t="n">
        <v>512</v>
      </c>
      <c r="M56" s="84" t="n">
        <v>256</v>
      </c>
      <c r="N56" s="84" t="n">
        <v>256</v>
      </c>
      <c r="O56" s="88">
        <f>IF(J56="","",SUMIFS(灯珠单价!B:B,灯珠单价!A:A,J56))</f>
        <v/>
      </c>
      <c r="P56" s="88">
        <f>IF(J56="","",SUMIFS(灯珠单价!C:C,灯珠单价!A:A,J56))</f>
        <v/>
      </c>
      <c r="Q56" s="88">
        <f>IF(J56="","",SUMIFS(灯珠单价!D:D,灯珠单价!A:A,J56))</f>
        <v/>
      </c>
      <c r="R56" s="88">
        <f>IF(B56="","",L56*O56+M56*P56+N56*Q56)</f>
        <v/>
      </c>
      <c r="S56" s="84" t="n"/>
      <c r="T56" s="88">
        <f>IF(B56="","",SUMIFS(套件单价!G:G,套件单价!A:A,B56,套件单价!B:B,K56))</f>
        <v/>
      </c>
      <c r="U56" s="84" t="n">
        <v>3.5</v>
      </c>
      <c r="V56" s="88">
        <f>IF(B56="","",R56+S56+T56)</f>
        <v/>
      </c>
      <c r="W56" s="88">
        <f>IF(B56="","",V56+U56)</f>
        <v/>
      </c>
      <c r="X56" s="84" t="n"/>
    </row>
    <row r="57">
      <c r="A57" s="84" t="inlineStr">
        <is>
          <t>P31.25</t>
        </is>
      </c>
      <c r="B57" s="84" t="n">
        <v>31.25</v>
      </c>
      <c r="C57" s="84" t="inlineStr">
        <is>
          <t>2R1G</t>
        </is>
      </c>
      <c r="D57" s="84" t="inlineStr">
        <is>
          <t>晶元金线</t>
        </is>
      </c>
      <c r="E57" s="84" t="inlineStr">
        <is>
          <t>16289S</t>
        </is>
      </c>
      <c r="F57" s="84" t="n">
        <v>15000</v>
      </c>
      <c r="G57" s="84" t="n">
        <v>250</v>
      </c>
      <c r="H57" s="84" t="n">
        <v>250</v>
      </c>
      <c r="I57" s="84" t="inlineStr">
        <is>
          <t>黄色</t>
        </is>
      </c>
      <c r="J57" s="84" t="inlineStr">
        <is>
          <t>批次-310</t>
        </is>
      </c>
      <c r="K57" s="84" t="inlineStr">
        <is>
          <t>贴片</t>
        </is>
      </c>
      <c r="L57" s="84" t="n">
        <v>128</v>
      </c>
      <c r="M57" s="84" t="n">
        <v>64</v>
      </c>
      <c r="N57" s="84" t="n"/>
      <c r="O57" s="88">
        <f>IF(J57="","",SUMIFS(灯珠单价!B:B,灯珠单价!A:A,J57))</f>
        <v/>
      </c>
      <c r="P57" s="88">
        <f>IF(J57="","",SUMIFS(灯珠单价!C:C,灯珠单价!A:A,J57))</f>
        <v/>
      </c>
      <c r="Q57" s="88">
        <f>IF(J57="","",SUMIFS(灯珠单价!D:D,灯珠单价!A:A,J57))</f>
        <v/>
      </c>
      <c r="R57" s="88">
        <f>IF(B57="","",L57*O57+M57*P57+N57*Q57)</f>
        <v/>
      </c>
      <c r="S57" s="84" t="n"/>
      <c r="T57" s="88">
        <f>IF(B57="","",SUMIFS(套件单价!G:G,套件单价!A:A,B57,套件单价!B:B,K57))</f>
        <v/>
      </c>
      <c r="U57" s="84" t="n">
        <v>3.5</v>
      </c>
      <c r="V57" s="88">
        <f>IF(B57="","",R57+S57+T57)</f>
        <v/>
      </c>
      <c r="W57" s="88">
        <f>IF(B57="","",V57+U57)</f>
        <v/>
      </c>
      <c r="X57" s="84" t="n"/>
    </row>
    <row r="58">
      <c r="A58" s="84" t="inlineStr">
        <is>
          <t>P31.25</t>
        </is>
      </c>
      <c r="B58" s="84" t="n">
        <v>31.25</v>
      </c>
      <c r="C58" s="84" t="inlineStr">
        <is>
          <t>2R1G1B</t>
        </is>
      </c>
      <c r="D58" s="84" t="inlineStr">
        <is>
          <t>晶元金线</t>
        </is>
      </c>
      <c r="E58" s="84" t="inlineStr">
        <is>
          <t>16289S</t>
        </is>
      </c>
      <c r="F58" s="84" t="n">
        <v>15000</v>
      </c>
      <c r="G58" s="84" t="n">
        <v>250</v>
      </c>
      <c r="H58" s="84" t="n">
        <v>250</v>
      </c>
      <c r="I58" s="84" t="inlineStr">
        <is>
          <t>黄白</t>
        </is>
      </c>
      <c r="J58" s="84" t="inlineStr">
        <is>
          <t>批次-310</t>
        </is>
      </c>
      <c r="K58" s="84" t="inlineStr">
        <is>
          <t>贴片</t>
        </is>
      </c>
      <c r="L58" s="84" t="n">
        <v>128</v>
      </c>
      <c r="M58" s="84" t="n">
        <v>64</v>
      </c>
      <c r="N58" s="84" t="n">
        <v>64</v>
      </c>
      <c r="O58" s="88">
        <f>IF(J58="","",SUMIFS(灯珠单价!B:B,灯珠单价!A:A,J58))</f>
        <v/>
      </c>
      <c r="P58" s="88">
        <f>IF(J58="","",SUMIFS(灯珠单价!C:C,灯珠单价!A:A,J58))</f>
        <v/>
      </c>
      <c r="Q58" s="88">
        <f>IF(J58="","",SUMIFS(灯珠单价!D:D,灯珠单价!A:A,J58))</f>
        <v/>
      </c>
      <c r="R58" s="88">
        <f>IF(B58="","",L58*O58+M58*P58+N58*Q58)</f>
        <v/>
      </c>
      <c r="S58" s="84" t="n"/>
      <c r="T58" s="88">
        <f>IF(B58="","",SUMIFS(套件单价!G:G,套件单价!A:A,B58,套件单价!B:B,K58))</f>
        <v/>
      </c>
      <c r="U58" s="84" t="n">
        <v>3.5</v>
      </c>
      <c r="V58" s="88">
        <f>IF(B58="","",R58+S58+T58)</f>
        <v/>
      </c>
      <c r="W58" s="88">
        <f>IF(B58="","",V58+U58)</f>
        <v/>
      </c>
      <c r="X58" s="84" t="n"/>
    </row>
    <row r="59">
      <c r="A59" s="84" t="inlineStr">
        <is>
          <t>P25</t>
        </is>
      </c>
      <c r="B59" s="84" t="n">
        <v>25</v>
      </c>
      <c r="C59" s="84" t="inlineStr">
        <is>
          <t>2R1G</t>
        </is>
      </c>
      <c r="D59" s="84" t="inlineStr">
        <is>
          <t>晶元金线</t>
        </is>
      </c>
      <c r="E59" s="84" t="inlineStr">
        <is>
          <t>16289S</t>
        </is>
      </c>
      <c r="F59" s="84" t="n">
        <v>15000</v>
      </c>
      <c r="G59" s="84" t="n">
        <v>200</v>
      </c>
      <c r="H59" s="84" t="n">
        <v>200</v>
      </c>
      <c r="I59" s="84" t="inlineStr">
        <is>
          <t>黄色</t>
        </is>
      </c>
      <c r="J59" s="84" t="inlineStr">
        <is>
          <t>批次-310</t>
        </is>
      </c>
      <c r="K59" s="84" t="inlineStr">
        <is>
          <t>贴片</t>
        </is>
      </c>
      <c r="L59" s="84" t="n">
        <v>128</v>
      </c>
      <c r="M59" s="84" t="n">
        <v>64</v>
      </c>
      <c r="N59" s="84" t="n"/>
      <c r="O59" s="88">
        <f>IF(J59="","",SUMIFS(灯珠单价!B:B,灯珠单价!A:A,J59))</f>
        <v/>
      </c>
      <c r="P59" s="88">
        <f>IF(J59="","",SUMIFS(灯珠单价!C:C,灯珠单价!A:A,J59))</f>
        <v/>
      </c>
      <c r="Q59" s="88">
        <f>IF(J59="","",SUMIFS(灯珠单价!D:D,灯珠单价!A:A,J59))</f>
        <v/>
      </c>
      <c r="R59" s="88">
        <f>IF(B59="","",L59*O59+M59*P59+N59*Q59)</f>
        <v/>
      </c>
      <c r="S59" s="84" t="n"/>
      <c r="T59" s="88">
        <f>IF(B59="","",SUMIFS(套件单价!G:G,套件单价!A:A,B59,套件单价!B:B,K59))</f>
        <v/>
      </c>
      <c r="U59" s="84" t="n">
        <v>2.5</v>
      </c>
      <c r="V59" s="88">
        <f>IF(B59="","",R59+S59+T59)</f>
        <v/>
      </c>
      <c r="W59" s="88">
        <f>IF(B59="","",V59+U59)</f>
        <v/>
      </c>
      <c r="X59" s="84" t="n"/>
    </row>
    <row r="60">
      <c r="A60" s="84" t="inlineStr">
        <is>
          <t>P25</t>
        </is>
      </c>
      <c r="B60" s="84" t="n">
        <v>25</v>
      </c>
      <c r="C60" s="84" t="inlineStr">
        <is>
          <t>2R1G1B</t>
        </is>
      </c>
      <c r="D60" s="84" t="inlineStr">
        <is>
          <t>晶元金线</t>
        </is>
      </c>
      <c r="E60" s="84" t="inlineStr">
        <is>
          <t>16289S</t>
        </is>
      </c>
      <c r="F60" s="84" t="n">
        <v>15000</v>
      </c>
      <c r="G60" s="84" t="n">
        <v>200</v>
      </c>
      <c r="H60" s="84" t="n">
        <v>200</v>
      </c>
      <c r="I60" s="84" t="inlineStr">
        <is>
          <t>黄白</t>
        </is>
      </c>
      <c r="J60" s="84" t="inlineStr">
        <is>
          <t>批次-310</t>
        </is>
      </c>
      <c r="K60" s="84" t="inlineStr">
        <is>
          <t>贴片</t>
        </is>
      </c>
      <c r="L60" s="84" t="n">
        <v>128</v>
      </c>
      <c r="M60" s="84" t="n">
        <v>64</v>
      </c>
      <c r="N60" s="84" t="n">
        <v>64</v>
      </c>
      <c r="O60" s="88">
        <f>IF(J60="","",SUMIFS(灯珠单价!B:B,灯珠单价!A:A,J60))</f>
        <v/>
      </c>
      <c r="P60" s="88">
        <f>IF(J60="","",SUMIFS(灯珠单价!C:C,灯珠单价!A:A,J60))</f>
        <v/>
      </c>
      <c r="Q60" s="88">
        <f>IF(J60="","",SUMIFS(灯珠单价!D:D,灯珠单价!A:A,J60))</f>
        <v/>
      </c>
      <c r="R60" s="88">
        <f>IF(B60="","",L60*O60+M60*P60+N60*Q60)</f>
        <v/>
      </c>
      <c r="S60" s="84" t="n"/>
      <c r="T60" s="88">
        <f>IF(B60="","",SUMIFS(套件单价!G:G,套件单价!A:A,B60,套件单价!B:B,K60))</f>
        <v/>
      </c>
      <c r="U60" s="84" t="n">
        <v>2.5</v>
      </c>
      <c r="V60" s="88">
        <f>IF(B60="","",R60+S60+T60)</f>
        <v/>
      </c>
      <c r="W60" s="88">
        <f>IF(B60="","",V60+U60)</f>
        <v/>
      </c>
      <c r="X60" s="84" t="n"/>
    </row>
    <row r="61">
      <c r="A61" s="84" t="inlineStr">
        <is>
          <t>P20</t>
        </is>
      </c>
      <c r="B61" s="84" t="n">
        <v>20</v>
      </c>
      <c r="C61" s="84" t="inlineStr">
        <is>
          <t>2R1G</t>
        </is>
      </c>
      <c r="D61" s="84" t="inlineStr">
        <is>
          <t>晶元金线</t>
        </is>
      </c>
      <c r="E61" s="84" t="inlineStr">
        <is>
          <t>16289S</t>
        </is>
      </c>
      <c r="F61" s="84" t="n">
        <v>15000</v>
      </c>
      <c r="G61" s="84" t="n">
        <v>320</v>
      </c>
      <c r="H61" s="84" t="n">
        <v>160</v>
      </c>
      <c r="I61" s="84" t="inlineStr">
        <is>
          <t>黄色</t>
        </is>
      </c>
      <c r="J61" s="84" t="inlineStr">
        <is>
          <t>批次-310</t>
        </is>
      </c>
      <c r="K61" s="84" t="inlineStr">
        <is>
          <t>贴片</t>
        </is>
      </c>
      <c r="L61" s="84" t="n">
        <v>256</v>
      </c>
      <c r="M61" s="84" t="n">
        <v>128</v>
      </c>
      <c r="N61" s="84" t="n"/>
      <c r="O61" s="88">
        <f>IF(J61="","",SUMIFS(灯珠单价!B:B,灯珠单价!A:A,J61))</f>
        <v/>
      </c>
      <c r="P61" s="88">
        <f>IF(J61="","",SUMIFS(灯珠单价!C:C,灯珠单价!A:A,J61))</f>
        <v/>
      </c>
      <c r="Q61" s="88">
        <f>IF(J61="","",SUMIFS(灯珠单价!D:D,灯珠单价!A:A,J61))</f>
        <v/>
      </c>
      <c r="R61" s="88">
        <f>IF(B61="","",L61*O61+M61*P61+N61*Q61)</f>
        <v/>
      </c>
      <c r="S61" s="84" t="n"/>
      <c r="T61" s="88">
        <f>IF(B61="","",SUMIFS(套件单价!G:G,套件单价!A:A,B61,套件单价!B:B,K61))</f>
        <v/>
      </c>
      <c r="U61" s="84" t="n">
        <v>3</v>
      </c>
      <c r="V61" s="88">
        <f>IF(B61="","",R61+S61+T61)</f>
        <v/>
      </c>
      <c r="W61" s="88">
        <f>IF(B61="","",V61+U61)</f>
        <v/>
      </c>
      <c r="X61" s="84" t="n"/>
    </row>
    <row r="62">
      <c r="A62" s="84" t="inlineStr">
        <is>
          <t>P20</t>
        </is>
      </c>
      <c r="B62" s="84" t="n">
        <v>20</v>
      </c>
      <c r="C62" s="84" t="inlineStr">
        <is>
          <t>1R1G1B</t>
        </is>
      </c>
      <c r="D62" s="84" t="inlineStr">
        <is>
          <t>晶元金线</t>
        </is>
      </c>
      <c r="E62" s="84" t="inlineStr">
        <is>
          <t>16289S</t>
        </is>
      </c>
      <c r="F62" s="84" t="n">
        <v>15000</v>
      </c>
      <c r="G62" s="84" t="n">
        <v>320</v>
      </c>
      <c r="H62" s="84" t="n">
        <v>160</v>
      </c>
      <c r="I62" s="84" t="inlineStr">
        <is>
          <t>黄白</t>
        </is>
      </c>
      <c r="J62" s="84" t="inlineStr">
        <is>
          <t>批次-310</t>
        </is>
      </c>
      <c r="K62" s="84" t="inlineStr">
        <is>
          <t>贴片</t>
        </is>
      </c>
      <c r="L62" s="84" t="n">
        <v>128</v>
      </c>
      <c r="M62" s="84" t="n">
        <v>128</v>
      </c>
      <c r="N62" s="84" t="n">
        <v>128</v>
      </c>
      <c r="O62" s="88">
        <f>IF(J62="","",SUMIFS(灯珠单价!B:B,灯珠单价!A:A,J62))</f>
        <v/>
      </c>
      <c r="P62" s="88">
        <f>IF(J62="","",SUMIFS(灯珠单价!C:C,灯珠单价!A:A,J62))</f>
        <v/>
      </c>
      <c r="Q62" s="88">
        <f>IF(J62="","",SUMIFS(灯珠单价!D:D,灯珠单价!A:A,J62))</f>
        <v/>
      </c>
      <c r="R62" s="88">
        <f>IF(B62="","",L62*O62+M62*P62+N62*Q62)</f>
        <v/>
      </c>
      <c r="S62" s="84" t="n"/>
      <c r="T62" s="88">
        <f>IF(B62="","",SUMIFS(套件单价!G:G,套件单价!A:A,B62,套件单价!B:B,K62))</f>
        <v/>
      </c>
      <c r="U62" s="84" t="n">
        <v>3</v>
      </c>
      <c r="V62" s="88">
        <f>IF(B62="","",R62+S62+T62)</f>
        <v/>
      </c>
      <c r="W62" s="88">
        <f>IF(B62="","",V62+U62)</f>
        <v/>
      </c>
      <c r="X62" s="84" t="n"/>
    </row>
    <row r="63">
      <c r="A63" s="84" t="inlineStr">
        <is>
          <t>P20</t>
        </is>
      </c>
      <c r="B63" s="84" t="n">
        <v>20</v>
      </c>
      <c r="C63" s="84" t="inlineStr">
        <is>
          <t>2R1G1B</t>
        </is>
      </c>
      <c r="D63" s="84" t="inlineStr">
        <is>
          <t>晶元金线</t>
        </is>
      </c>
      <c r="E63" s="84" t="inlineStr">
        <is>
          <t>16289S</t>
        </is>
      </c>
      <c r="F63" s="84" t="n">
        <v>15000</v>
      </c>
      <c r="G63" s="84" t="n">
        <v>320</v>
      </c>
      <c r="H63" s="84" t="n">
        <v>160</v>
      </c>
      <c r="I63" s="84" t="inlineStr">
        <is>
          <t>黄白</t>
        </is>
      </c>
      <c r="J63" s="84" t="inlineStr">
        <is>
          <t>批次-310</t>
        </is>
      </c>
      <c r="K63" s="84" t="inlineStr">
        <is>
          <t>贴片</t>
        </is>
      </c>
      <c r="L63" s="84" t="n">
        <v>256</v>
      </c>
      <c r="M63" s="84" t="n">
        <v>128</v>
      </c>
      <c r="N63" s="84" t="n">
        <v>128</v>
      </c>
      <c r="O63" s="88">
        <f>IF(J63="","",SUMIFS(灯珠单价!B:B,灯珠单价!A:A,J63))</f>
        <v/>
      </c>
      <c r="P63" s="88">
        <f>IF(J63="","",SUMIFS(灯珠单价!C:C,灯珠单价!A:A,J63))</f>
        <v/>
      </c>
      <c r="Q63" s="88">
        <f>IF(J63="","",SUMIFS(灯珠单价!D:D,灯珠单价!A:A,J63))</f>
        <v/>
      </c>
      <c r="R63" s="88">
        <f>IF(B63="","",L63*O63+M63*P63+N63*Q63)</f>
        <v/>
      </c>
      <c r="S63" s="84" t="n"/>
      <c r="T63" s="88">
        <f>IF(B63="","",SUMIFS(套件单价!G:G,套件单价!A:A,B63,套件单价!B:B,K63))</f>
        <v/>
      </c>
      <c r="U63" s="84" t="n">
        <v>3</v>
      </c>
      <c r="V63" s="88">
        <f>IF(B63="","",R63+S63+T63)</f>
        <v/>
      </c>
      <c r="W63" s="88">
        <f>IF(B63="","",V63+U63)</f>
        <v/>
      </c>
      <c r="X63" s="84" t="n"/>
    </row>
    <row r="64">
      <c r="A64" s="84" t="inlineStr">
        <is>
          <t>P16</t>
        </is>
      </c>
      <c r="B64" s="84" t="n">
        <v>16</v>
      </c>
      <c r="C64" s="84" t="inlineStr">
        <is>
          <t>2R1G</t>
        </is>
      </c>
      <c r="D64" s="84" t="inlineStr">
        <is>
          <t>晶元金线</t>
        </is>
      </c>
      <c r="E64" s="84" t="inlineStr">
        <is>
          <t>16289S</t>
        </is>
      </c>
      <c r="F64" s="84" t="n">
        <v>15000</v>
      </c>
      <c r="G64" s="84" t="n">
        <v>256</v>
      </c>
      <c r="H64" s="84" t="n">
        <v>256</v>
      </c>
      <c r="I64" s="84" t="inlineStr">
        <is>
          <t>黄色</t>
        </is>
      </c>
      <c r="J64" s="84" t="inlineStr">
        <is>
          <t>批次-310</t>
        </is>
      </c>
      <c r="K64" s="84" t="inlineStr">
        <is>
          <t>贴片</t>
        </is>
      </c>
      <c r="L64" s="84" t="n">
        <v>512</v>
      </c>
      <c r="M64" s="84" t="n">
        <v>256</v>
      </c>
      <c r="N64" s="84" t="n"/>
      <c r="O64" s="88">
        <f>IF(J64="","",SUMIFS(灯珠单价!B:B,灯珠单价!A:A,J64))</f>
        <v/>
      </c>
      <c r="P64" s="88">
        <f>IF(J64="","",SUMIFS(灯珠单价!C:C,灯珠单价!A:A,J64))</f>
        <v/>
      </c>
      <c r="Q64" s="88">
        <f>IF(J64="","",SUMIFS(灯珠单价!D:D,灯珠单价!A:A,J64))</f>
        <v/>
      </c>
      <c r="R64" s="88">
        <f>IF(B64="","",L64*O64+M64*P64+N64*Q64)</f>
        <v/>
      </c>
      <c r="S64" s="84" t="n"/>
      <c r="T64" s="88">
        <f>IF(B64="","",SUMIFS(套件单价!G:G,套件单价!A:A,B64,套件单价!B:B,K64))</f>
        <v/>
      </c>
      <c r="U64" s="84" t="n">
        <v>3.5</v>
      </c>
      <c r="V64" s="88">
        <f>IF(B64="","",R64+S64+T64)</f>
        <v/>
      </c>
      <c r="W64" s="88">
        <f>IF(B64="","",V64+U64)</f>
        <v/>
      </c>
      <c r="X64" s="84" t="n"/>
    </row>
    <row r="65">
      <c r="A65" s="84" t="inlineStr">
        <is>
          <t>P16</t>
        </is>
      </c>
      <c r="B65" s="84" t="n">
        <v>16</v>
      </c>
      <c r="C65" s="84" t="inlineStr">
        <is>
          <t>1R1G1B</t>
        </is>
      </c>
      <c r="D65" s="84" t="inlineStr">
        <is>
          <t>晶元金线</t>
        </is>
      </c>
      <c r="E65" s="84" t="inlineStr">
        <is>
          <t>16289S</t>
        </is>
      </c>
      <c r="F65" s="84" t="n">
        <v>15000</v>
      </c>
      <c r="G65" s="84" t="n">
        <v>256</v>
      </c>
      <c r="H65" s="84" t="n">
        <v>256</v>
      </c>
      <c r="I65" s="84" t="inlineStr">
        <is>
          <t>黄白</t>
        </is>
      </c>
      <c r="J65" s="84" t="inlineStr">
        <is>
          <t>批次-310</t>
        </is>
      </c>
      <c r="K65" s="84" t="inlineStr">
        <is>
          <t>贴片</t>
        </is>
      </c>
      <c r="L65" s="84" t="n">
        <v>256</v>
      </c>
      <c r="M65" s="84" t="n">
        <v>256</v>
      </c>
      <c r="N65" s="84" t="n">
        <v>256</v>
      </c>
      <c r="O65" s="88">
        <f>IF(J65="","",SUMIFS(灯珠单价!B:B,灯珠单价!A:A,J65))</f>
        <v/>
      </c>
      <c r="P65" s="88">
        <f>IF(J65="","",SUMIFS(灯珠单价!C:C,灯珠单价!A:A,J65))</f>
        <v/>
      </c>
      <c r="Q65" s="88">
        <f>IF(J65="","",SUMIFS(灯珠单价!D:D,灯珠单价!A:A,J65))</f>
        <v/>
      </c>
      <c r="R65" s="88">
        <f>IF(B65="","",L65*O65+M65*P65+N65*Q65)</f>
        <v/>
      </c>
      <c r="S65" s="84" t="n"/>
      <c r="T65" s="88">
        <f>IF(B65="","",SUMIFS(套件单价!G:G,套件单价!A:A,B65,套件单价!B:B,K65))</f>
        <v/>
      </c>
      <c r="U65" s="84" t="n">
        <v>3.5</v>
      </c>
      <c r="V65" s="88">
        <f>IF(B65="","",R65+S65+T65)</f>
        <v/>
      </c>
      <c r="W65" s="88">
        <f>IF(B65="","",V65+U65)</f>
        <v/>
      </c>
      <c r="X65" s="84" t="n"/>
    </row>
    <row r="66">
      <c r="A66" s="84" t="inlineStr">
        <is>
          <t>P16</t>
        </is>
      </c>
      <c r="B66" s="84" t="n">
        <v>16</v>
      </c>
      <c r="C66" s="84" t="inlineStr">
        <is>
          <t>2R1G1B</t>
        </is>
      </c>
      <c r="D66" s="84" t="inlineStr">
        <is>
          <t>晶元金线</t>
        </is>
      </c>
      <c r="E66" s="84" t="inlineStr">
        <is>
          <t>16289S</t>
        </is>
      </c>
      <c r="F66" s="84" t="n">
        <v>15000</v>
      </c>
      <c r="G66" s="84" t="n">
        <v>256</v>
      </c>
      <c r="H66" s="84" t="n">
        <v>256</v>
      </c>
      <c r="I66" s="84" t="inlineStr">
        <is>
          <t>黄白</t>
        </is>
      </c>
      <c r="J66" s="84" t="inlineStr">
        <is>
          <t>批次-310</t>
        </is>
      </c>
      <c r="K66" s="84" t="inlineStr">
        <is>
          <t>贴片</t>
        </is>
      </c>
      <c r="L66" s="84" t="n">
        <v>512</v>
      </c>
      <c r="M66" s="84" t="n">
        <v>256</v>
      </c>
      <c r="N66" s="84" t="n">
        <v>256</v>
      </c>
      <c r="O66" s="88">
        <f>IF(J66="","",SUMIFS(灯珠单价!B:B,灯珠单价!A:A,J66))</f>
        <v/>
      </c>
      <c r="P66" s="88">
        <f>IF(J66="","",SUMIFS(灯珠单价!C:C,灯珠单价!A:A,J66))</f>
        <v/>
      </c>
      <c r="Q66" s="88">
        <f>IF(J66="","",SUMIFS(灯珠单价!D:D,灯珠单价!A:A,J66))</f>
        <v/>
      </c>
      <c r="R66" s="88">
        <f>IF(B66="","",L66*O66+M66*P66+N66*Q66)</f>
        <v/>
      </c>
      <c r="S66" s="84" t="n"/>
      <c r="T66" s="88">
        <f>IF(B66="","",SUMIFS(套件单价!G:G,套件单价!A:A,B66,套件单价!B:B,K66))</f>
        <v/>
      </c>
      <c r="U66" s="84" t="n">
        <v>3.5</v>
      </c>
      <c r="V66" s="88">
        <f>IF(B66="","",R66+S66+T66)</f>
        <v/>
      </c>
      <c r="W66" s="88">
        <f>IF(B66="","",V66+U66)</f>
        <v/>
      </c>
      <c r="X66" s="84" t="n"/>
    </row>
    <row r="67">
      <c r="A67" s="84" t="inlineStr">
        <is>
          <t>P10</t>
        </is>
      </c>
      <c r="B67" s="84" t="n">
        <v>10</v>
      </c>
      <c r="C67" s="84" t="inlineStr">
        <is>
          <t>2R1G</t>
        </is>
      </c>
      <c r="D67" s="84" t="inlineStr">
        <is>
          <t>晶元金线</t>
        </is>
      </c>
      <c r="E67" s="84" t="inlineStr">
        <is>
          <t>16289</t>
        </is>
      </c>
      <c r="F67" s="84" t="n">
        <v>15000</v>
      </c>
      <c r="G67" s="84" t="n">
        <v>160</v>
      </c>
      <c r="H67" s="84" t="n">
        <v>320</v>
      </c>
      <c r="I67" s="84" t="inlineStr">
        <is>
          <t>黄白</t>
        </is>
      </c>
      <c r="J67" s="84" t="inlineStr">
        <is>
          <t>批次-310</t>
        </is>
      </c>
      <c r="K67" s="84" t="inlineStr">
        <is>
          <t>贴片</t>
        </is>
      </c>
      <c r="L67" s="84" t="n">
        <v>1024</v>
      </c>
      <c r="M67" s="84" t="n">
        <v>512</v>
      </c>
      <c r="N67" s="84" t="n"/>
      <c r="O67" s="88">
        <f>IF(J67="","",SUMIFS(灯珠单价!B:B,灯珠单价!A:A,J67))</f>
        <v/>
      </c>
      <c r="P67" s="88">
        <f>IF(J67="","",SUMIFS(灯珠单价!C:C,灯珠单价!A:A,J67))</f>
        <v/>
      </c>
      <c r="Q67" s="88">
        <f>IF(J67="","",SUMIFS(灯珠单价!D:D,灯珠单价!A:A,J67))</f>
        <v/>
      </c>
      <c r="R67" s="88">
        <f>IF(B67="","",L67*O67+M67*P67+N67*Q67)</f>
        <v/>
      </c>
      <c r="S67" s="84" t="n"/>
      <c r="T67" s="88">
        <f>IF(B67="","",SUMIFS(套件单价!G:G,套件单价!A:A,B67,套件单价!B:B,K67))</f>
        <v/>
      </c>
      <c r="U67" s="84" t="n">
        <v>3</v>
      </c>
      <c r="V67" s="88">
        <f>IF(B67="","",R67+S67+T67)</f>
        <v/>
      </c>
      <c r="W67" s="88">
        <f>IF(B67="","",V67+U67)</f>
        <v/>
      </c>
      <c r="X67" s="84" t="n"/>
    </row>
    <row r="68">
      <c r="A68" s="84" t="inlineStr">
        <is>
          <t>P10</t>
        </is>
      </c>
      <c r="B68" s="84" t="n">
        <v>10</v>
      </c>
      <c r="C68" s="84" t="inlineStr">
        <is>
          <t>1R1G</t>
        </is>
      </c>
      <c r="D68" s="84" t="inlineStr">
        <is>
          <t>晶元金线</t>
        </is>
      </c>
      <c r="E68" s="84" t="inlineStr">
        <is>
          <t>16289</t>
        </is>
      </c>
      <c r="F68" s="84" t="n">
        <v>15000</v>
      </c>
      <c r="G68" s="84" t="n">
        <v>160</v>
      </c>
      <c r="H68" s="84" t="n">
        <v>320</v>
      </c>
      <c r="I68" s="84" t="inlineStr">
        <is>
          <t>黄色</t>
        </is>
      </c>
      <c r="J68" s="84" t="inlineStr">
        <is>
          <t>批次-310</t>
        </is>
      </c>
      <c r="K68" s="84" t="inlineStr">
        <is>
          <t>贴片</t>
        </is>
      </c>
      <c r="L68" s="84" t="n">
        <v>512</v>
      </c>
      <c r="M68" s="84" t="n">
        <v>512</v>
      </c>
      <c r="N68" s="84" t="n"/>
      <c r="O68" s="88">
        <f>IF(J68="","",SUMIFS(灯珠单价!B:B,灯珠单价!A:A,J68))</f>
        <v/>
      </c>
      <c r="P68" s="88">
        <f>IF(J68="","",SUMIFS(灯珠单价!C:C,灯珠单价!A:A,J68))</f>
        <v/>
      </c>
      <c r="Q68" s="88">
        <f>IF(J68="","",SUMIFS(灯珠单价!D:D,灯珠单价!A:A,J68))</f>
        <v/>
      </c>
      <c r="R68" s="88">
        <f>IF(B68="","",L68*O68+M68*P68+N68*Q68)</f>
        <v/>
      </c>
      <c r="S68" s="84" t="n"/>
      <c r="T68" s="88">
        <f>IF(B68="","",SUMIFS(套件单价!G:G,套件单价!A:A,B68,套件单价!B:B,K68))</f>
        <v/>
      </c>
      <c r="U68" s="84" t="n">
        <v>3</v>
      </c>
      <c r="V68" s="88">
        <f>IF(B68="","",R68+S68+T68)</f>
        <v/>
      </c>
      <c r="W68" s="88">
        <f>IF(B68="","",V68+U68)</f>
        <v/>
      </c>
      <c r="X68" s="84" t="n"/>
    </row>
    <row r="69">
      <c r="A69" s="84" t="inlineStr">
        <is>
          <t>P10</t>
        </is>
      </c>
      <c r="B69" s="84" t="n">
        <v>10</v>
      </c>
      <c r="C69" s="84" t="inlineStr">
        <is>
          <t>1R1G1B</t>
        </is>
      </c>
      <c r="D69" s="84" t="inlineStr">
        <is>
          <t>晶元金线</t>
        </is>
      </c>
      <c r="E69" s="84" t="inlineStr">
        <is>
          <t>16289</t>
        </is>
      </c>
      <c r="F69" s="84" t="n">
        <v>15000</v>
      </c>
      <c r="G69" s="84" t="n">
        <v>160</v>
      </c>
      <c r="H69" s="84" t="n">
        <v>320</v>
      </c>
      <c r="I69" s="84" t="inlineStr">
        <is>
          <t>黄白</t>
        </is>
      </c>
      <c r="J69" s="84" t="inlineStr">
        <is>
          <t>批次-310</t>
        </is>
      </c>
      <c r="K69" s="84" t="inlineStr">
        <is>
          <t>贴片</t>
        </is>
      </c>
      <c r="L69" s="84" t="n">
        <v>512</v>
      </c>
      <c r="M69" s="84" t="n">
        <v>512</v>
      </c>
      <c r="N69" s="84" t="n">
        <v>512</v>
      </c>
      <c r="O69" s="88">
        <f>IF(J69="","",SUMIFS(灯珠单价!B:B,灯珠单价!A:A,J69))</f>
        <v/>
      </c>
      <c r="P69" s="88">
        <f>IF(J69="","",SUMIFS(灯珠单价!C:C,灯珠单价!A:A,J69))</f>
        <v/>
      </c>
      <c r="Q69" s="88">
        <f>IF(J69="","",SUMIFS(灯珠单价!D:D,灯珠单价!A:A,J69))</f>
        <v/>
      </c>
      <c r="R69" s="88">
        <f>IF(B69="","",L69*O69+M69*P69+N69*Q69)</f>
        <v/>
      </c>
      <c r="S69" s="84" t="n"/>
      <c r="T69" s="88">
        <f>IF(B69="","",SUMIFS(套件单价!G:G,套件单价!A:A,B69,套件单价!B:B,K69))</f>
        <v/>
      </c>
      <c r="U69" s="84" t="n">
        <v>3</v>
      </c>
      <c r="V69" s="88">
        <f>IF(B69="","",R69+S69+T69)</f>
        <v/>
      </c>
      <c r="W69" s="88">
        <f>IF(B69="","",V69+U69)</f>
        <v/>
      </c>
      <c r="X69" s="84" t="n"/>
    </row>
    <row r="70">
      <c r="A70" s="84" t="inlineStr">
        <is>
          <t>P31.25</t>
        </is>
      </c>
      <c r="B70" s="84" t="n">
        <v>31.25</v>
      </c>
      <c r="C70" s="84" t="inlineStr">
        <is>
          <t>4R2G</t>
        </is>
      </c>
      <c r="D70" s="84" t="inlineStr">
        <is>
          <t>晶元金线</t>
        </is>
      </c>
      <c r="E70" s="84" t="inlineStr">
        <is>
          <t>5034B</t>
        </is>
      </c>
      <c r="F70" s="84" t="n">
        <v>15000</v>
      </c>
      <c r="G70" s="84" t="n">
        <v>250</v>
      </c>
      <c r="H70" s="84" t="n">
        <v>500</v>
      </c>
      <c r="I70" s="84" t="inlineStr">
        <is>
          <t>黄色</t>
        </is>
      </c>
      <c r="J70" s="84" t="inlineStr">
        <is>
          <t>批次-310</t>
        </is>
      </c>
      <c r="K70" s="84" t="inlineStr">
        <is>
          <t>贴片</t>
        </is>
      </c>
      <c r="L70" s="84" t="n">
        <v>512</v>
      </c>
      <c r="M70" s="84" t="n">
        <v>256</v>
      </c>
      <c r="N70" s="84" t="n"/>
      <c r="O70" s="88">
        <f>IF(J70="","",SUMIFS(灯珠单价!B:B,灯珠单价!A:A,J70))</f>
        <v/>
      </c>
      <c r="P70" s="88">
        <f>IF(J70="","",SUMIFS(灯珠单价!C:C,灯珠单价!A:A,J70))</f>
        <v/>
      </c>
      <c r="Q70" s="88">
        <f>IF(J70="","",SUMIFS(灯珠单价!D:D,灯珠单价!A:A,J70))</f>
        <v/>
      </c>
      <c r="R70" s="88">
        <f>IF(B70="","",L70*O70+M70*P70+N70*Q70)</f>
        <v/>
      </c>
      <c r="S70" s="84" t="n"/>
      <c r="T70" s="88">
        <f>IF(B70="","",SUMIFS(套件单价!G:G,套件单价!A:A,B70,套件单价!B:B,K70))</f>
        <v/>
      </c>
      <c r="U70" s="84" t="n">
        <v>3.5</v>
      </c>
      <c r="V70" s="88">
        <f>IF(B70="","",R70+S70+T70)</f>
        <v/>
      </c>
      <c r="W70" s="88">
        <f>IF(B70="","",V70+U70)</f>
        <v/>
      </c>
      <c r="X70" s="84" t="n"/>
    </row>
    <row r="71">
      <c r="A71" s="84" t="inlineStr">
        <is>
          <t>P31.25</t>
        </is>
      </c>
      <c r="B71" s="84" t="n">
        <v>31.25</v>
      </c>
      <c r="C71" s="84" t="inlineStr">
        <is>
          <t>4R2G1B</t>
        </is>
      </c>
      <c r="D71" s="84" t="inlineStr">
        <is>
          <t>晶元金线</t>
        </is>
      </c>
      <c r="E71" s="84" t="inlineStr">
        <is>
          <t>5034B</t>
        </is>
      </c>
      <c r="F71" s="84" t="n">
        <v>15000</v>
      </c>
      <c r="G71" s="84" t="n">
        <v>250</v>
      </c>
      <c r="H71" s="84" t="n">
        <v>500</v>
      </c>
      <c r="I71" s="84" t="inlineStr">
        <is>
          <t>黄白</t>
        </is>
      </c>
      <c r="J71" s="84" t="inlineStr">
        <is>
          <t>批次-310</t>
        </is>
      </c>
      <c r="K71" s="84" t="inlineStr">
        <is>
          <t>贴片</t>
        </is>
      </c>
      <c r="L71" s="84" t="n">
        <v>512</v>
      </c>
      <c r="M71" s="84" t="n">
        <v>256</v>
      </c>
      <c r="N71" s="84" t="n">
        <v>128</v>
      </c>
      <c r="O71" s="88">
        <f>IF(J71="","",SUMIFS(灯珠单价!B:B,灯珠单价!A:A,J71))</f>
        <v/>
      </c>
      <c r="P71" s="88">
        <f>IF(J71="","",SUMIFS(灯珠单价!C:C,灯珠单价!A:A,J71))</f>
        <v/>
      </c>
      <c r="Q71" s="88">
        <f>IF(J71="","",SUMIFS(灯珠单价!D:D,灯珠单价!A:A,J71))</f>
        <v/>
      </c>
      <c r="R71" s="88">
        <f>IF(B71="","",L71*O71+M71*P71+N71*Q71)</f>
        <v/>
      </c>
      <c r="S71" s="84" t="n"/>
      <c r="T71" s="88">
        <f>IF(B71="","",SUMIFS(套件单价!G:G,套件单价!A:A,B71,套件单价!B:B,K71))</f>
        <v/>
      </c>
      <c r="U71" s="84" t="n">
        <v>3.5</v>
      </c>
      <c r="V71" s="88">
        <f>IF(B71="","",R71+S71+T71)</f>
        <v/>
      </c>
      <c r="W71" s="88">
        <f>IF(B71="","",V71+U71)</f>
        <v/>
      </c>
      <c r="X71" s="84" t="n"/>
    </row>
    <row r="72">
      <c r="A72" s="84" t="inlineStr">
        <is>
          <t>P31.25</t>
        </is>
      </c>
      <c r="B72" s="84" t="n">
        <v>31.25</v>
      </c>
      <c r="C72" s="84" t="inlineStr">
        <is>
          <t>3R2G</t>
        </is>
      </c>
      <c r="D72" s="84" t="inlineStr">
        <is>
          <t>晶元金线</t>
        </is>
      </c>
      <c r="E72" s="84" t="inlineStr">
        <is>
          <t>5034B</t>
        </is>
      </c>
      <c r="F72" s="84" t="n">
        <v>15000</v>
      </c>
      <c r="G72" s="84" t="n">
        <v>250</v>
      </c>
      <c r="H72" s="84" t="n">
        <v>500</v>
      </c>
      <c r="I72" s="84" t="inlineStr">
        <is>
          <t>黄色</t>
        </is>
      </c>
      <c r="J72" s="84" t="inlineStr">
        <is>
          <t>批次-310</t>
        </is>
      </c>
      <c r="K72" s="84" t="inlineStr">
        <is>
          <t>贴片</t>
        </is>
      </c>
      <c r="L72" s="84" t="n">
        <v>384</v>
      </c>
      <c r="M72" s="84" t="n">
        <v>256</v>
      </c>
      <c r="N72" s="84" t="n"/>
      <c r="O72" s="88">
        <f>IF(J72="","",SUMIFS(灯珠单价!B:B,灯珠单价!A:A,J72))</f>
        <v/>
      </c>
      <c r="P72" s="88">
        <f>IF(J72="","",SUMIFS(灯珠单价!C:C,灯珠单价!A:A,J72))</f>
        <v/>
      </c>
      <c r="Q72" s="88">
        <f>IF(J72="","",SUMIFS(灯珠单价!D:D,灯珠单价!A:A,J72))</f>
        <v/>
      </c>
      <c r="R72" s="88">
        <f>IF(B72="","",L72*O72+M72*P72+N72*Q72)</f>
        <v/>
      </c>
      <c r="S72" s="84" t="n"/>
      <c r="T72" s="88">
        <f>IF(B72="","",SUMIFS(套件单价!G:G,套件单价!A:A,B72,套件单价!B:B,K72))</f>
        <v/>
      </c>
      <c r="U72" s="84" t="n">
        <v>3.5</v>
      </c>
      <c r="V72" s="88">
        <f>IF(B72="","",R72+S72+T72)</f>
        <v/>
      </c>
      <c r="W72" s="88">
        <f>IF(B72="","",V72+U72)</f>
        <v/>
      </c>
      <c r="X72" s="84" t="n"/>
    </row>
    <row r="73">
      <c r="A73" s="84" t="inlineStr">
        <is>
          <t>P31.25</t>
        </is>
      </c>
      <c r="B73" s="84" t="n">
        <v>31.25</v>
      </c>
      <c r="C73" s="84" t="inlineStr">
        <is>
          <t>3R2G1B</t>
        </is>
      </c>
      <c r="D73" s="84" t="inlineStr">
        <is>
          <t>晶元金线</t>
        </is>
      </c>
      <c r="E73" s="84" t="inlineStr">
        <is>
          <t>5034B</t>
        </is>
      </c>
      <c r="F73" s="84" t="n">
        <v>15000</v>
      </c>
      <c r="G73" s="84" t="n">
        <v>250</v>
      </c>
      <c r="H73" s="84" t="n">
        <v>500</v>
      </c>
      <c r="I73" s="84" t="inlineStr">
        <is>
          <t>黄白</t>
        </is>
      </c>
      <c r="J73" s="84" t="inlineStr">
        <is>
          <t>批次-310</t>
        </is>
      </c>
      <c r="K73" s="84" t="inlineStr">
        <is>
          <t>贴片</t>
        </is>
      </c>
      <c r="L73" s="84" t="n">
        <v>384</v>
      </c>
      <c r="M73" s="84" t="n">
        <v>256</v>
      </c>
      <c r="N73" s="84" t="n">
        <v>128</v>
      </c>
      <c r="O73" s="88">
        <f>IF(J73="","",SUMIFS(灯珠单价!B:B,灯珠单价!A:A,J73))</f>
        <v/>
      </c>
      <c r="P73" s="88">
        <f>IF(J73="","",SUMIFS(灯珠单价!C:C,灯珠单价!A:A,J73))</f>
        <v/>
      </c>
      <c r="Q73" s="88">
        <f>IF(J73="","",SUMIFS(灯珠单价!D:D,灯珠单价!A:A,J73))</f>
        <v/>
      </c>
      <c r="R73" s="88">
        <f>IF(B73="","",L73*O73+M73*P73+N73*Q73)</f>
        <v/>
      </c>
      <c r="S73" s="84" t="n"/>
      <c r="T73" s="88">
        <f>IF(B73="","",SUMIFS(套件单价!G:G,套件单价!A:A,B73,套件单价!B:B,K73))</f>
        <v/>
      </c>
      <c r="U73" s="84" t="n">
        <v>3.5</v>
      </c>
      <c r="V73" s="88">
        <f>IF(B73="","",R73+S73+T73)</f>
        <v/>
      </c>
      <c r="W73" s="88">
        <f>IF(B73="","",V73+U73)</f>
        <v/>
      </c>
      <c r="X73" s="84" t="n"/>
    </row>
    <row r="74">
      <c r="A74" s="84" t="inlineStr">
        <is>
          <t>P31.25</t>
        </is>
      </c>
      <c r="B74" s="84" t="n">
        <v>31.25</v>
      </c>
      <c r="C74" s="84" t="inlineStr">
        <is>
          <t>2R1G</t>
        </is>
      </c>
      <c r="D74" s="84" t="inlineStr">
        <is>
          <t>晶元金线</t>
        </is>
      </c>
      <c r="E74" s="84" t="inlineStr">
        <is>
          <t>5034B</t>
        </is>
      </c>
      <c r="F74" s="84" t="n">
        <v>15000</v>
      </c>
      <c r="G74" s="84" t="n">
        <v>250</v>
      </c>
      <c r="H74" s="84" t="n">
        <v>500</v>
      </c>
      <c r="I74" s="84" t="inlineStr">
        <is>
          <t>黄色</t>
        </is>
      </c>
      <c r="J74" s="84" t="inlineStr">
        <is>
          <t>批次-310</t>
        </is>
      </c>
      <c r="K74" s="84" t="inlineStr">
        <is>
          <t>贴片</t>
        </is>
      </c>
      <c r="L74" s="84" t="n">
        <v>256</v>
      </c>
      <c r="M74" s="84" t="n">
        <v>128</v>
      </c>
      <c r="N74" s="84" t="n"/>
      <c r="O74" s="88">
        <f>IF(J74="","",SUMIFS(灯珠单价!B:B,灯珠单价!A:A,J74))</f>
        <v/>
      </c>
      <c r="P74" s="88">
        <f>IF(J74="","",SUMIFS(灯珠单价!C:C,灯珠单价!A:A,J74))</f>
        <v/>
      </c>
      <c r="Q74" s="88">
        <f>IF(J74="","",SUMIFS(灯珠单价!D:D,灯珠单价!A:A,J74))</f>
        <v/>
      </c>
      <c r="R74" s="88">
        <f>IF(B74="","",L74*O74+M74*P74+N74*Q74)</f>
        <v/>
      </c>
      <c r="S74" s="84" t="n"/>
      <c r="T74" s="88">
        <f>IF(B74="","",SUMIFS(套件单价!G:G,套件单价!A:A,B74,套件单价!B:B,K74))</f>
        <v/>
      </c>
      <c r="U74" s="84" t="n">
        <v>3.5</v>
      </c>
      <c r="V74" s="88">
        <f>IF(B74="","",R74+S74+T74)</f>
        <v/>
      </c>
      <c r="W74" s="88">
        <f>IF(B74="","",V74+U74)</f>
        <v/>
      </c>
      <c r="X74" s="84" t="n"/>
    </row>
    <row r="75">
      <c r="A75" s="84" t="inlineStr">
        <is>
          <t>P31.25</t>
        </is>
      </c>
      <c r="B75" s="84" t="n">
        <v>31.25</v>
      </c>
      <c r="C75" s="84" t="inlineStr">
        <is>
          <t>2R1G1B</t>
        </is>
      </c>
      <c r="D75" s="84" t="inlineStr">
        <is>
          <t>晶元金线</t>
        </is>
      </c>
      <c r="E75" s="84" t="inlineStr">
        <is>
          <t>5034B</t>
        </is>
      </c>
      <c r="F75" s="84" t="n">
        <v>15000</v>
      </c>
      <c r="G75" s="84" t="n">
        <v>250</v>
      </c>
      <c r="H75" s="84" t="n">
        <v>500</v>
      </c>
      <c r="I75" s="84" t="inlineStr">
        <is>
          <t>黄白</t>
        </is>
      </c>
      <c r="J75" s="84" t="inlineStr">
        <is>
          <t>批次-310</t>
        </is>
      </c>
      <c r="K75" s="84" t="inlineStr">
        <is>
          <t>贴片</t>
        </is>
      </c>
      <c r="L75" s="84" t="n">
        <v>384</v>
      </c>
      <c r="M75" s="84" t="n">
        <v>128</v>
      </c>
      <c r="N75" s="84" t="n">
        <v>128</v>
      </c>
      <c r="O75" s="88">
        <f>IF(J75="","",SUMIFS(灯珠单价!B:B,灯珠单价!A:A,J75))</f>
        <v/>
      </c>
      <c r="P75" s="88">
        <f>IF(J75="","",SUMIFS(灯珠单价!C:C,灯珠单价!A:A,J75))</f>
        <v/>
      </c>
      <c r="Q75" s="88">
        <f>IF(J75="","",SUMIFS(灯珠单价!D:D,灯珠单价!A:A,J75))</f>
        <v/>
      </c>
      <c r="R75" s="88">
        <f>IF(B75="","",L75*O75+M75*P75+N75*Q75)</f>
        <v/>
      </c>
      <c r="S75" s="84" t="n"/>
      <c r="T75" s="88">
        <f>IF(B75="","",SUMIFS(套件单价!G:G,套件单价!A:A,B75,套件单价!B:B,K75))</f>
        <v/>
      </c>
      <c r="U75" s="84" t="n">
        <v>3.5</v>
      </c>
      <c r="V75" s="88">
        <f>IF(B75="","",R75+S75+T75)</f>
        <v/>
      </c>
      <c r="W75" s="88">
        <f>IF(B75="","",V75+U75)</f>
        <v/>
      </c>
      <c r="X75" s="84" t="n"/>
    </row>
    <row r="76">
      <c r="A76" s="84" t="inlineStr">
        <is>
          <t>P25</t>
        </is>
      </c>
      <c r="B76" s="84" t="n">
        <v>25</v>
      </c>
      <c r="C76" s="84" t="inlineStr">
        <is>
          <t>4R2G</t>
        </is>
      </c>
      <c r="D76" s="84" t="inlineStr">
        <is>
          <t>晶元金线</t>
        </is>
      </c>
      <c r="E76" s="84" t="inlineStr">
        <is>
          <t>5034B</t>
        </is>
      </c>
      <c r="F76" s="84" t="n">
        <v>15000</v>
      </c>
      <c r="G76" s="84" t="n">
        <v>250</v>
      </c>
      <c r="H76" s="84" t="n">
        <v>500</v>
      </c>
      <c r="I76" s="84" t="inlineStr">
        <is>
          <t>黄色</t>
        </is>
      </c>
      <c r="J76" s="84" t="inlineStr">
        <is>
          <t>批次-310</t>
        </is>
      </c>
      <c r="K76" s="84" t="inlineStr">
        <is>
          <t>贴片</t>
        </is>
      </c>
      <c r="L76" s="84" t="n">
        <v>800</v>
      </c>
      <c r="M76" s="84" t="n">
        <v>400</v>
      </c>
      <c r="N76" s="84" t="n"/>
      <c r="O76" s="88">
        <f>IF(J76="","",SUMIFS(灯珠单价!B:B,灯珠单价!A:A,J76))</f>
        <v/>
      </c>
      <c r="P76" s="88">
        <f>IF(J76="","",SUMIFS(灯珠单价!C:C,灯珠单价!A:A,J76))</f>
        <v/>
      </c>
      <c r="Q76" s="88">
        <f>IF(J76="","",SUMIFS(灯珠单价!D:D,灯珠单价!A:A,J76))</f>
        <v/>
      </c>
      <c r="R76" s="88">
        <f>IF(B76="","",L76*O76+M76*P76+N76*Q76)</f>
        <v/>
      </c>
      <c r="S76" s="84" t="n"/>
      <c r="T76" s="88">
        <f>IF(B76="","",SUMIFS(套件单价!G:G,套件单价!A:A,B76,套件单价!B:B,K76))</f>
        <v/>
      </c>
      <c r="U76" s="84" t="n">
        <v>3.5</v>
      </c>
      <c r="V76" s="88">
        <f>IF(B76="","",R76+S76+T76)</f>
        <v/>
      </c>
      <c r="W76" s="88">
        <f>IF(B76="","",V76+U76)</f>
        <v/>
      </c>
      <c r="X76" s="84" t="n"/>
    </row>
    <row r="77">
      <c r="A77" s="84" t="inlineStr">
        <is>
          <t>P25</t>
        </is>
      </c>
      <c r="B77" s="84" t="n">
        <v>25</v>
      </c>
      <c r="C77" s="84" t="inlineStr">
        <is>
          <t>3R2G</t>
        </is>
      </c>
      <c r="D77" s="84" t="inlineStr">
        <is>
          <t>晶元金线</t>
        </is>
      </c>
      <c r="E77" s="84" t="inlineStr">
        <is>
          <t>5034B</t>
        </is>
      </c>
      <c r="F77" s="84" t="n">
        <v>15000</v>
      </c>
      <c r="G77" s="84" t="n">
        <v>250</v>
      </c>
      <c r="H77" s="84" t="n">
        <v>500</v>
      </c>
      <c r="I77" s="84" t="inlineStr">
        <is>
          <t>黄色</t>
        </is>
      </c>
      <c r="J77" s="84" t="inlineStr">
        <is>
          <t>批次-310</t>
        </is>
      </c>
      <c r="K77" s="84" t="inlineStr">
        <is>
          <t>贴片</t>
        </is>
      </c>
      <c r="L77" s="84" t="n">
        <v>600</v>
      </c>
      <c r="M77" s="84" t="n">
        <v>400</v>
      </c>
      <c r="N77" s="84" t="n"/>
      <c r="O77" s="88">
        <f>IF(J77="","",SUMIFS(灯珠单价!B:B,灯珠单价!A:A,J77))</f>
        <v/>
      </c>
      <c r="P77" s="88">
        <f>IF(J77="","",SUMIFS(灯珠单价!C:C,灯珠单价!A:A,J77))</f>
        <v/>
      </c>
      <c r="Q77" s="88">
        <f>IF(J77="","",SUMIFS(灯珠单价!D:D,灯珠单价!A:A,J77))</f>
        <v/>
      </c>
      <c r="R77" s="88">
        <f>IF(B77="","",L77*O77+M77*P77+N77*Q77)</f>
        <v/>
      </c>
      <c r="S77" s="84" t="n"/>
      <c r="T77" s="88">
        <f>IF(B77="","",SUMIFS(套件单价!G:G,套件单价!A:A,B77,套件单价!B:B,K77))</f>
        <v/>
      </c>
      <c r="U77" s="84" t="n">
        <v>3.5</v>
      </c>
      <c r="V77" s="88">
        <f>IF(B77="","",R77+S77+T77)</f>
        <v/>
      </c>
      <c r="W77" s="88">
        <f>IF(B77="","",V77+U77)</f>
        <v/>
      </c>
      <c r="X77" s="84" t="n"/>
    </row>
    <row r="78">
      <c r="A78" s="84" t="inlineStr">
        <is>
          <t>P25</t>
        </is>
      </c>
      <c r="B78" s="84" t="n">
        <v>25</v>
      </c>
      <c r="C78" s="84" t="inlineStr">
        <is>
          <t>3R2G1B</t>
        </is>
      </c>
      <c r="D78" s="84" t="inlineStr">
        <is>
          <t>晶元金线</t>
        </is>
      </c>
      <c r="E78" s="84" t="inlineStr">
        <is>
          <t>5034B</t>
        </is>
      </c>
      <c r="F78" s="84" t="n">
        <v>15000</v>
      </c>
      <c r="G78" s="84" t="n">
        <v>250</v>
      </c>
      <c r="H78" s="84" t="n">
        <v>500</v>
      </c>
      <c r="I78" s="84" t="inlineStr">
        <is>
          <t>黄白</t>
        </is>
      </c>
      <c r="J78" s="84" t="inlineStr">
        <is>
          <t>批次-310</t>
        </is>
      </c>
      <c r="K78" s="84" t="inlineStr">
        <is>
          <t>贴片</t>
        </is>
      </c>
      <c r="L78" s="84" t="n">
        <v>600</v>
      </c>
      <c r="M78" s="84" t="n">
        <v>400</v>
      </c>
      <c r="N78" s="84" t="n">
        <v>200</v>
      </c>
      <c r="O78" s="88">
        <f>IF(J78="","",SUMIFS(灯珠单价!B:B,灯珠单价!A:A,J78))</f>
        <v/>
      </c>
      <c r="P78" s="88">
        <f>IF(J78="","",SUMIFS(灯珠单价!C:C,灯珠单价!A:A,J78))</f>
        <v/>
      </c>
      <c r="Q78" s="88">
        <f>IF(J78="","",SUMIFS(灯珠单价!D:D,灯珠单价!A:A,J78))</f>
        <v/>
      </c>
      <c r="R78" s="88">
        <f>IF(B78="","",L78*O78+M78*P78+N78*Q78)</f>
        <v/>
      </c>
      <c r="S78" s="84" t="n"/>
      <c r="T78" s="88">
        <f>IF(B78="","",SUMIFS(套件单价!G:G,套件单价!A:A,B78,套件单价!B:B,K78))</f>
        <v/>
      </c>
      <c r="U78" s="84" t="n">
        <v>3.5</v>
      </c>
      <c r="V78" s="88">
        <f>IF(B78="","",R78+S78+T78)</f>
        <v/>
      </c>
      <c r="W78" s="88">
        <f>IF(B78="","",V78+U78)</f>
        <v/>
      </c>
      <c r="X78" s="84" t="n"/>
    </row>
    <row r="79">
      <c r="A79" s="84" t="inlineStr">
        <is>
          <t>P25</t>
        </is>
      </c>
      <c r="B79" s="84" t="n">
        <v>25</v>
      </c>
      <c r="C79" s="84" t="inlineStr">
        <is>
          <t>2R1G</t>
        </is>
      </c>
      <c r="D79" s="84" t="inlineStr">
        <is>
          <t>晶元金线</t>
        </is>
      </c>
      <c r="E79" s="84" t="inlineStr">
        <is>
          <t>5034B</t>
        </is>
      </c>
      <c r="F79" s="84" t="n">
        <v>15000</v>
      </c>
      <c r="G79" s="84" t="n">
        <v>250</v>
      </c>
      <c r="H79" s="84" t="n">
        <v>500</v>
      </c>
      <c r="I79" s="84" t="inlineStr">
        <is>
          <t>黄色</t>
        </is>
      </c>
      <c r="J79" s="84" t="inlineStr">
        <is>
          <t>批次-310</t>
        </is>
      </c>
      <c r="K79" s="84" t="inlineStr">
        <is>
          <t>贴片</t>
        </is>
      </c>
      <c r="L79" s="84" t="n">
        <v>400</v>
      </c>
      <c r="M79" s="84" t="n">
        <v>200</v>
      </c>
      <c r="N79" s="84" t="n"/>
      <c r="O79" s="88">
        <f>IF(J79="","",SUMIFS(灯珠单价!B:B,灯珠单价!A:A,J79))</f>
        <v/>
      </c>
      <c r="P79" s="88">
        <f>IF(J79="","",SUMIFS(灯珠单价!C:C,灯珠单价!A:A,J79))</f>
        <v/>
      </c>
      <c r="Q79" s="88">
        <f>IF(J79="","",SUMIFS(灯珠单价!D:D,灯珠单价!A:A,J79))</f>
        <v/>
      </c>
      <c r="R79" s="88">
        <f>IF(B79="","",L79*O79+M79*P79+N79*Q79)</f>
        <v/>
      </c>
      <c r="S79" s="84" t="n"/>
      <c r="T79" s="88">
        <f>IF(B79="","",SUMIFS(套件单价!G:G,套件单价!A:A,B79,套件单价!B:B,K79))</f>
        <v/>
      </c>
      <c r="U79" s="84" t="n">
        <v>3.5</v>
      </c>
      <c r="V79" s="88">
        <f>IF(B79="","",R79+S79+T79)</f>
        <v/>
      </c>
      <c r="W79" s="88">
        <f>IF(B79="","",V79+U79)</f>
        <v/>
      </c>
      <c r="X79" s="84" t="n"/>
    </row>
    <row r="80">
      <c r="A80" s="84" t="inlineStr">
        <is>
          <t>P25</t>
        </is>
      </c>
      <c r="B80" s="84" t="n">
        <v>25</v>
      </c>
      <c r="C80" s="84" t="inlineStr">
        <is>
          <t>2R1G1B</t>
        </is>
      </c>
      <c r="D80" s="84" t="inlineStr">
        <is>
          <t>晶元金线</t>
        </is>
      </c>
      <c r="E80" s="84" t="inlineStr">
        <is>
          <t>5034B</t>
        </is>
      </c>
      <c r="F80" s="84" t="n">
        <v>15000</v>
      </c>
      <c r="G80" s="84" t="n">
        <v>250</v>
      </c>
      <c r="H80" s="84" t="n">
        <v>500</v>
      </c>
      <c r="I80" s="84" t="inlineStr">
        <is>
          <t>黄白</t>
        </is>
      </c>
      <c r="J80" s="84" t="inlineStr">
        <is>
          <t>批次-310</t>
        </is>
      </c>
      <c r="K80" s="84" t="inlineStr">
        <is>
          <t>贴片</t>
        </is>
      </c>
      <c r="L80" s="84" t="n">
        <v>400</v>
      </c>
      <c r="M80" s="84" t="n">
        <v>200</v>
      </c>
      <c r="N80" s="84" t="n">
        <v>200</v>
      </c>
      <c r="O80" s="88">
        <f>IF(J80="","",SUMIFS(灯珠单价!B:B,灯珠单价!A:A,J80))</f>
        <v/>
      </c>
      <c r="P80" s="88">
        <f>IF(J80="","",SUMIFS(灯珠单价!C:C,灯珠单价!A:A,J80))</f>
        <v/>
      </c>
      <c r="Q80" s="88">
        <f>IF(J80="","",SUMIFS(灯珠单价!D:D,灯珠单价!A:A,J80))</f>
        <v/>
      </c>
      <c r="R80" s="88">
        <f>IF(B80="","",L80*O80+M80*P80+N80*Q80)</f>
        <v/>
      </c>
      <c r="S80" s="84" t="n"/>
      <c r="T80" s="88">
        <f>IF(B80="","",SUMIFS(套件单价!G:G,套件单价!A:A,B80,套件单价!B:B,K80))</f>
        <v/>
      </c>
      <c r="U80" s="84" t="n">
        <v>3.5</v>
      </c>
      <c r="V80" s="88">
        <f>IF(B80="","",R80+S80+T80)</f>
        <v/>
      </c>
      <c r="W80" s="88">
        <f>IF(B80="","",V80+U80)</f>
        <v/>
      </c>
      <c r="X80" s="84" t="n"/>
    </row>
    <row r="81">
      <c r="A81" s="84" t="inlineStr">
        <is>
          <t>P20.833</t>
        </is>
      </c>
      <c r="B81" s="84" t="n">
        <v>20.833</v>
      </c>
      <c r="C81" s="84" t="inlineStr">
        <is>
          <t>2R1G</t>
        </is>
      </c>
      <c r="D81" s="84" t="inlineStr">
        <is>
          <t>晶元金线</t>
        </is>
      </c>
      <c r="E81" s="84" t="inlineStr">
        <is>
          <t>5034B</t>
        </is>
      </c>
      <c r="F81" s="84" t="n">
        <v>15000</v>
      </c>
      <c r="G81" s="84" t="n">
        <v>250</v>
      </c>
      <c r="H81" s="84" t="n">
        <v>500</v>
      </c>
      <c r="I81" s="84" t="inlineStr">
        <is>
          <t>黄色</t>
        </is>
      </c>
      <c r="J81" s="84" t="inlineStr">
        <is>
          <t>批次-310</t>
        </is>
      </c>
      <c r="K81" s="84" t="inlineStr">
        <is>
          <t>贴片</t>
        </is>
      </c>
      <c r="L81" s="84" t="n">
        <v>576</v>
      </c>
      <c r="M81" s="84" t="n">
        <v>288</v>
      </c>
      <c r="N81" s="84" t="n"/>
      <c r="O81" s="88">
        <f>IF(J81="","",SUMIFS(灯珠单价!B:B,灯珠单价!A:A,J81))</f>
        <v/>
      </c>
      <c r="P81" s="88">
        <f>IF(J81="","",SUMIFS(灯珠单价!C:C,灯珠单价!A:A,J81))</f>
        <v/>
      </c>
      <c r="Q81" s="88">
        <f>IF(J81="","",SUMIFS(灯珠单价!D:D,灯珠单价!A:A,J81))</f>
        <v/>
      </c>
      <c r="R81" s="88">
        <f>IF(B81="","",L81*O81+M81*P81+N81*Q81)</f>
        <v/>
      </c>
      <c r="S81" s="84" t="n"/>
      <c r="T81" s="88">
        <f>IF(B81="","",SUMIFS(套件单价!G:G,套件单价!A:A,B81,套件单价!B:B,K81))</f>
        <v/>
      </c>
      <c r="U81" s="84" t="n">
        <v>3.5</v>
      </c>
      <c r="V81" s="88">
        <f>IF(B81="","",R81+S81+T81)</f>
        <v/>
      </c>
      <c r="W81" s="88">
        <f>IF(B81="","",V81+U81)</f>
        <v/>
      </c>
      <c r="X81" s="84" t="n"/>
    </row>
    <row r="82">
      <c r="A82" s="84" t="inlineStr">
        <is>
          <t>P20.833</t>
        </is>
      </c>
      <c r="B82" s="84" t="n">
        <v>20.833</v>
      </c>
      <c r="C82" s="84" t="inlineStr">
        <is>
          <t>2R1G1B</t>
        </is>
      </c>
      <c r="D82" s="84" t="inlineStr">
        <is>
          <t>晶元金线</t>
        </is>
      </c>
      <c r="E82" s="84" t="inlineStr">
        <is>
          <t>5034B</t>
        </is>
      </c>
      <c r="F82" s="84" t="n">
        <v>15000</v>
      </c>
      <c r="G82" s="84" t="n">
        <v>250</v>
      </c>
      <c r="H82" s="84" t="n">
        <v>500</v>
      </c>
      <c r="I82" s="84" t="inlineStr">
        <is>
          <t>黄白</t>
        </is>
      </c>
      <c r="J82" s="84" t="inlineStr">
        <is>
          <t>批次-310</t>
        </is>
      </c>
      <c r="K82" s="84" t="inlineStr">
        <is>
          <t>贴片</t>
        </is>
      </c>
      <c r="L82" s="84" t="n">
        <v>576</v>
      </c>
      <c r="M82" s="84" t="n">
        <v>288</v>
      </c>
      <c r="N82" s="84" t="n">
        <v>288</v>
      </c>
      <c r="O82" s="88">
        <f>IF(J82="","",SUMIFS(灯珠单价!B:B,灯珠单价!A:A,J82))</f>
        <v/>
      </c>
      <c r="P82" s="88">
        <f>IF(J82="","",SUMIFS(灯珠单价!C:C,灯珠单价!A:A,J82))</f>
        <v/>
      </c>
      <c r="Q82" s="88">
        <f>IF(J82="","",SUMIFS(灯珠单价!D:D,灯珠单价!A:A,J82))</f>
        <v/>
      </c>
      <c r="R82" s="88">
        <f>IF(B82="","",L82*O82+M82*P82+N82*Q82)</f>
        <v/>
      </c>
      <c r="S82" s="84" t="n"/>
      <c r="T82" s="88">
        <f>IF(B82="","",SUMIFS(套件单价!G:G,套件单价!A:A,B82,套件单价!B:B,K82))</f>
        <v/>
      </c>
      <c r="U82" s="84" t="n">
        <v>3.5</v>
      </c>
      <c r="V82" s="88">
        <f>IF(B82="","",R82+S82+T82)</f>
        <v/>
      </c>
      <c r="W82" s="88">
        <f>IF(B82="","",V82+U82)</f>
        <v/>
      </c>
      <c r="X82" s="84" t="n"/>
    </row>
    <row r="83">
      <c r="A83" s="84" t="inlineStr">
        <is>
          <t>P20.833</t>
        </is>
      </c>
      <c r="B83" s="84" t="n">
        <v>20.833</v>
      </c>
      <c r="C83" s="84" t="inlineStr">
        <is>
          <t>1R1G</t>
        </is>
      </c>
      <c r="D83" s="84" t="inlineStr">
        <is>
          <t>晶元金线</t>
        </is>
      </c>
      <c r="E83" s="84" t="inlineStr">
        <is>
          <t>5034B</t>
        </is>
      </c>
      <c r="F83" s="84" t="n">
        <v>15000</v>
      </c>
      <c r="G83" s="84" t="n">
        <v>250</v>
      </c>
      <c r="H83" s="84" t="n">
        <v>500</v>
      </c>
      <c r="I83" s="84" t="inlineStr">
        <is>
          <t>黄白</t>
        </is>
      </c>
      <c r="J83" s="84" t="inlineStr">
        <is>
          <t>批次-310</t>
        </is>
      </c>
      <c r="K83" s="84" t="inlineStr">
        <is>
          <t>贴片</t>
        </is>
      </c>
      <c r="L83" s="84" t="n">
        <v>288</v>
      </c>
      <c r="M83" s="84" t="n">
        <v>288</v>
      </c>
      <c r="N83" s="84" t="n"/>
      <c r="O83" s="88">
        <f>IF(J83="","",SUMIFS(灯珠单价!B:B,灯珠单价!A:A,J83))</f>
        <v/>
      </c>
      <c r="P83" s="88">
        <f>IF(J83="","",SUMIFS(灯珠单价!C:C,灯珠单价!A:A,J83))</f>
        <v/>
      </c>
      <c r="Q83" s="88">
        <f>IF(J83="","",SUMIFS(灯珠单价!D:D,灯珠单价!A:A,J83))</f>
        <v/>
      </c>
      <c r="R83" s="88">
        <f>IF(B83="","",L83*O83+M83*P83+N83*Q83)</f>
        <v/>
      </c>
      <c r="S83" s="84" t="n"/>
      <c r="T83" s="88">
        <f>IF(B83="","",SUMIFS(套件单价!G:G,套件单价!A:A,B83,套件单价!B:B,K83))</f>
        <v/>
      </c>
      <c r="U83" s="84" t="n">
        <v>3.5</v>
      </c>
      <c r="V83" s="88">
        <f>IF(B83="","",R83+S83+T83)</f>
        <v/>
      </c>
      <c r="W83" s="88">
        <f>IF(B83="","",V83+U83)</f>
        <v/>
      </c>
      <c r="X83" s="84" t="n"/>
    </row>
    <row r="84">
      <c r="A84" s="84" t="inlineStr">
        <is>
          <t>P20.833</t>
        </is>
      </c>
      <c r="B84" s="84" t="n">
        <v>20.833</v>
      </c>
      <c r="C84" s="84" t="inlineStr">
        <is>
          <t>1R1G1B</t>
        </is>
      </c>
      <c r="D84" s="84" t="inlineStr">
        <is>
          <t>晶元金线</t>
        </is>
      </c>
      <c r="E84" s="84" t="inlineStr">
        <is>
          <t>5034B</t>
        </is>
      </c>
      <c r="F84" s="84" t="n">
        <v>15000</v>
      </c>
      <c r="G84" s="84" t="n">
        <v>250</v>
      </c>
      <c r="H84" s="84" t="n">
        <v>500</v>
      </c>
      <c r="I84" s="84" t="inlineStr">
        <is>
          <t>黄白</t>
        </is>
      </c>
      <c r="J84" s="84" t="inlineStr">
        <is>
          <t>批次-310</t>
        </is>
      </c>
      <c r="K84" s="84" t="inlineStr">
        <is>
          <t>贴片</t>
        </is>
      </c>
      <c r="L84" s="84" t="n">
        <v>288</v>
      </c>
      <c r="M84" s="84" t="n">
        <v>288</v>
      </c>
      <c r="N84" s="84" t="n">
        <v>288</v>
      </c>
      <c r="O84" s="88">
        <f>IF(J84="","",SUMIFS(灯珠单价!B:B,灯珠单价!A:A,J84))</f>
        <v/>
      </c>
      <c r="P84" s="88">
        <f>IF(J84="","",SUMIFS(灯珠单价!C:C,灯珠单价!A:A,J84))</f>
        <v/>
      </c>
      <c r="Q84" s="88">
        <f>IF(J84="","",SUMIFS(灯珠单价!D:D,灯珠单价!A:A,J84))</f>
        <v/>
      </c>
      <c r="R84" s="88">
        <f>IF(B84="","",L84*O84+M84*P84+N84*Q84)</f>
        <v/>
      </c>
      <c r="S84" s="84" t="n"/>
      <c r="T84" s="88">
        <f>IF(B84="","",SUMIFS(套件单价!G:G,套件单价!A:A,B84,套件单价!B:B,K84))</f>
        <v/>
      </c>
      <c r="U84" s="84" t="n">
        <v>3.5</v>
      </c>
      <c r="V84" s="88">
        <f>IF(B84="","",R84+S84+T84)</f>
        <v/>
      </c>
      <c r="W84" s="88">
        <f>IF(B84="","",V84+U84)</f>
        <v/>
      </c>
      <c r="X84" s="84" t="n"/>
    </row>
    <row r="85">
      <c r="A85" s="84" t="inlineStr">
        <is>
          <t>P15.625</t>
        </is>
      </c>
      <c r="B85" s="84" t="n">
        <v>15.625</v>
      </c>
      <c r="C85" s="84" t="inlineStr">
        <is>
          <t>2R1G</t>
        </is>
      </c>
      <c r="D85" s="84" t="inlineStr">
        <is>
          <t>晶元金线</t>
        </is>
      </c>
      <c r="E85" s="84" t="inlineStr">
        <is>
          <t>5034B</t>
        </is>
      </c>
      <c r="F85" s="84" t="n">
        <v>15000</v>
      </c>
      <c r="G85" s="84" t="n">
        <v>250</v>
      </c>
      <c r="H85" s="84" t="n">
        <v>500</v>
      </c>
      <c r="I85" s="84" t="inlineStr">
        <is>
          <t>黄色</t>
        </is>
      </c>
      <c r="J85" s="84" t="inlineStr">
        <is>
          <t>批次-310</t>
        </is>
      </c>
      <c r="K85" s="84" t="inlineStr">
        <is>
          <t>贴片</t>
        </is>
      </c>
      <c r="L85" s="84" t="n">
        <v>1024</v>
      </c>
      <c r="M85" s="84" t="n">
        <v>512</v>
      </c>
      <c r="N85" s="84" t="n"/>
      <c r="O85" s="88">
        <f>IF(J85="","",SUMIFS(灯珠单价!B:B,灯珠单价!A:A,J85))</f>
        <v/>
      </c>
      <c r="P85" s="88">
        <f>IF(J85="","",SUMIFS(灯珠单价!C:C,灯珠单价!A:A,J85))</f>
        <v/>
      </c>
      <c r="Q85" s="88">
        <f>IF(J85="","",SUMIFS(灯珠单价!D:D,灯珠单价!A:A,J85))</f>
        <v/>
      </c>
      <c r="R85" s="88">
        <f>IF(B85="","",L85*O85+M85*P85+N85*Q85)</f>
        <v/>
      </c>
      <c r="S85" s="84" t="n"/>
      <c r="T85" s="88">
        <f>IF(B85="","",SUMIFS(套件单价!G:G,套件单价!A:A,B85,套件单价!B:B,K85))</f>
        <v/>
      </c>
      <c r="U85" s="84" t="n">
        <v>3.5</v>
      </c>
      <c r="V85" s="88">
        <f>IF(B85="","",R85+S85+T85)</f>
        <v/>
      </c>
      <c r="W85" s="88">
        <f>IF(B85="","",V85+U85)</f>
        <v/>
      </c>
      <c r="X85" s="84" t="n"/>
    </row>
    <row r="86">
      <c r="A86" s="84" t="inlineStr">
        <is>
          <t>P15.625</t>
        </is>
      </c>
      <c r="B86" s="84" t="n">
        <v>15.625</v>
      </c>
      <c r="C86" s="84" t="inlineStr">
        <is>
          <t>2R1G1B</t>
        </is>
      </c>
      <c r="D86" s="84" t="inlineStr">
        <is>
          <t>晶元金线</t>
        </is>
      </c>
      <c r="E86" s="84" t="inlineStr">
        <is>
          <t>5034B</t>
        </is>
      </c>
      <c r="F86" s="84" t="n">
        <v>15000</v>
      </c>
      <c r="G86" s="84" t="n">
        <v>250</v>
      </c>
      <c r="H86" s="84" t="n">
        <v>500</v>
      </c>
      <c r="I86" s="84" t="inlineStr">
        <is>
          <t>黄白</t>
        </is>
      </c>
      <c r="J86" s="84" t="inlineStr">
        <is>
          <t>批次-310</t>
        </is>
      </c>
      <c r="K86" s="84" t="inlineStr">
        <is>
          <t>贴片</t>
        </is>
      </c>
      <c r="L86" s="84" t="n">
        <v>1024</v>
      </c>
      <c r="M86" s="84" t="n">
        <v>512</v>
      </c>
      <c r="N86" s="84" t="n">
        <v>512</v>
      </c>
      <c r="O86" s="88">
        <f>IF(J86="","",SUMIFS(灯珠单价!B:B,灯珠单价!A:A,J86))</f>
        <v/>
      </c>
      <c r="P86" s="88">
        <f>IF(J86="","",SUMIFS(灯珠单价!C:C,灯珠单价!A:A,J86))</f>
        <v/>
      </c>
      <c r="Q86" s="88">
        <f>IF(J86="","",SUMIFS(灯珠单价!D:D,灯珠单价!A:A,J86))</f>
        <v/>
      </c>
      <c r="R86" s="88">
        <f>IF(B86="","",L86*O86+M86*P86+N86*Q86)</f>
        <v/>
      </c>
      <c r="S86" s="84" t="n"/>
      <c r="T86" s="88">
        <f>IF(B86="","",SUMIFS(套件单价!G:G,套件单价!A:A,B86,套件单价!B:B,K86))</f>
        <v/>
      </c>
      <c r="U86" s="84" t="n">
        <v>3.5</v>
      </c>
      <c r="V86" s="88">
        <f>IF(B86="","",R86+S86+T86)</f>
        <v/>
      </c>
      <c r="W86" s="88">
        <f>IF(B86="","",V86+U86)</f>
        <v/>
      </c>
      <c r="X86" s="84" t="n"/>
    </row>
    <row r="87">
      <c r="A87" s="84" t="inlineStr">
        <is>
          <t>P15.625</t>
        </is>
      </c>
      <c r="B87" s="84" t="n">
        <v>15.625</v>
      </c>
      <c r="C87" s="84" t="inlineStr">
        <is>
          <t>1R1G</t>
        </is>
      </c>
      <c r="D87" s="84" t="inlineStr">
        <is>
          <t>晶元金线</t>
        </is>
      </c>
      <c r="E87" s="84" t="inlineStr">
        <is>
          <t>5034B</t>
        </is>
      </c>
      <c r="F87" s="84" t="n">
        <v>15000</v>
      </c>
      <c r="G87" s="84" t="n">
        <v>250</v>
      </c>
      <c r="H87" s="84" t="n">
        <v>500</v>
      </c>
      <c r="I87" s="84" t="inlineStr">
        <is>
          <t>黄色</t>
        </is>
      </c>
      <c r="J87" s="84" t="inlineStr">
        <is>
          <t>批次-310</t>
        </is>
      </c>
      <c r="K87" s="84" t="inlineStr">
        <is>
          <t>贴片</t>
        </is>
      </c>
      <c r="L87" s="84" t="n">
        <v>512</v>
      </c>
      <c r="M87" s="84" t="n">
        <v>512</v>
      </c>
      <c r="N87" s="84" t="n"/>
      <c r="O87" s="88">
        <f>IF(J87="","",SUMIFS(灯珠单价!B:B,灯珠单价!A:A,J87))</f>
        <v/>
      </c>
      <c r="P87" s="88">
        <f>IF(J87="","",SUMIFS(灯珠单价!C:C,灯珠单价!A:A,J87))</f>
        <v/>
      </c>
      <c r="Q87" s="88">
        <f>IF(J87="","",SUMIFS(灯珠单价!D:D,灯珠单价!A:A,J87))</f>
        <v/>
      </c>
      <c r="R87" s="88">
        <f>IF(B87="","",L87*O87+M87*P87+N87*Q87)</f>
        <v/>
      </c>
      <c r="S87" s="84" t="n"/>
      <c r="T87" s="88">
        <f>IF(B87="","",SUMIFS(套件单价!G:G,套件单价!A:A,B87,套件单价!B:B,K87))</f>
        <v/>
      </c>
      <c r="U87" s="84" t="n">
        <v>3.5</v>
      </c>
      <c r="V87" s="88">
        <f>IF(B87="","",R87+S87+T87)</f>
        <v/>
      </c>
      <c r="W87" s="88">
        <f>IF(B87="","",V87+U87)</f>
        <v/>
      </c>
      <c r="X87" s="84" t="n"/>
    </row>
    <row r="88">
      <c r="A88" s="84" t="inlineStr">
        <is>
          <t>P15.625</t>
        </is>
      </c>
      <c r="B88" s="84" t="n">
        <v>15.625</v>
      </c>
      <c r="C88" s="84" t="inlineStr">
        <is>
          <t>1R1G1B</t>
        </is>
      </c>
      <c r="D88" s="84" t="inlineStr">
        <is>
          <t>晶元金线</t>
        </is>
      </c>
      <c r="E88" s="84" t="inlineStr">
        <is>
          <t>5034B</t>
        </is>
      </c>
      <c r="F88" s="84" t="n">
        <v>15000</v>
      </c>
      <c r="G88" s="84" t="n">
        <v>250</v>
      </c>
      <c r="H88" s="84" t="n">
        <v>500</v>
      </c>
      <c r="I88" s="84" t="inlineStr">
        <is>
          <t>黄白</t>
        </is>
      </c>
      <c r="J88" s="84" t="inlineStr">
        <is>
          <t>批次-310</t>
        </is>
      </c>
      <c r="K88" s="84" t="inlineStr">
        <is>
          <t>贴片</t>
        </is>
      </c>
      <c r="L88" s="84" t="n">
        <v>512</v>
      </c>
      <c r="M88" s="84" t="n">
        <v>512</v>
      </c>
      <c r="N88" s="84" t="n">
        <v>512</v>
      </c>
      <c r="O88" s="88">
        <f>IF(J88="","",SUMIFS(灯珠单价!B:B,灯珠单价!A:A,J88))</f>
        <v/>
      </c>
      <c r="P88" s="88">
        <f>IF(J88="","",SUMIFS(灯珠单价!C:C,灯珠单价!A:A,J88))</f>
        <v/>
      </c>
      <c r="Q88" s="88">
        <f>IF(J88="","",SUMIFS(灯珠单价!D:D,灯珠单价!A:A,J88))</f>
        <v/>
      </c>
      <c r="R88" s="88">
        <f>IF(B88="","",L88*O88+M88*P88+N88*Q88)</f>
        <v/>
      </c>
      <c r="S88" s="84" t="n"/>
      <c r="T88" s="88">
        <f>IF(B88="","",SUMIFS(套件单价!G:G,套件单价!A:A,B88,套件单价!B:B,K88))</f>
        <v/>
      </c>
      <c r="U88" s="84" t="n">
        <v>3.5</v>
      </c>
      <c r="V88" s="88">
        <f>IF(B88="","",R88+S88+T88)</f>
        <v/>
      </c>
      <c r="W88" s="88">
        <f>IF(B88="","",V88+U88)</f>
        <v/>
      </c>
      <c r="X88" s="84" t="n"/>
    </row>
    <row r="89">
      <c r="A89" s="84" t="inlineStr">
        <is>
          <t>P10.416</t>
        </is>
      </c>
      <c r="B89" s="84" t="n">
        <v>10.416</v>
      </c>
      <c r="C89" s="84" t="inlineStr">
        <is>
          <t>2R1G</t>
        </is>
      </c>
      <c r="D89" s="84" t="inlineStr">
        <is>
          <t>晶元金线</t>
        </is>
      </c>
      <c r="E89" s="84" t="inlineStr">
        <is>
          <t>5124</t>
        </is>
      </c>
      <c r="F89" s="84" t="n">
        <v>15000</v>
      </c>
      <c r="G89" s="84" t="n">
        <v>250</v>
      </c>
      <c r="H89" s="84" t="n">
        <v>500</v>
      </c>
      <c r="I89" s="84" t="inlineStr">
        <is>
          <t>黄白</t>
        </is>
      </c>
      <c r="J89" s="84" t="inlineStr">
        <is>
          <t>批次-310</t>
        </is>
      </c>
      <c r="K89" s="84" t="inlineStr">
        <is>
          <t>贴片</t>
        </is>
      </c>
      <c r="L89" s="84" t="n">
        <v>2304</v>
      </c>
      <c r="M89" s="84" t="n">
        <v>1152</v>
      </c>
      <c r="N89" s="84" t="n"/>
      <c r="O89" s="88">
        <f>IF(J89="","",SUMIFS(灯珠单价!B:B,灯珠单价!A:A,J89))</f>
        <v/>
      </c>
      <c r="P89" s="88">
        <f>IF(J89="","",SUMIFS(灯珠单价!C:C,灯珠单价!A:A,J89))</f>
        <v/>
      </c>
      <c r="Q89" s="88">
        <f>IF(J89="","",SUMIFS(灯珠单价!D:D,灯珠单价!A:A,J89))</f>
        <v/>
      </c>
      <c r="R89" s="88">
        <f>IF(B89="","",L89*O89+M89*P89+N89*Q89)</f>
        <v/>
      </c>
      <c r="S89" s="84" t="n"/>
      <c r="T89" s="88">
        <f>IF(B89="","",SUMIFS(套件单价!G:G,套件单价!A:A,B89,套件单价!B:B,K89))</f>
        <v/>
      </c>
      <c r="U89" s="84" t="n">
        <v>3.5</v>
      </c>
      <c r="V89" s="88">
        <f>IF(B89="","",R89+S89+T89)</f>
        <v/>
      </c>
      <c r="W89" s="88">
        <f>IF(B89="","",V89+U89)</f>
        <v/>
      </c>
      <c r="X89" s="84" t="n"/>
    </row>
    <row r="90">
      <c r="A90" s="84" t="inlineStr">
        <is>
          <t>P10.416</t>
        </is>
      </c>
      <c r="B90" s="84" t="n">
        <v>10.416</v>
      </c>
      <c r="C90" s="84" t="inlineStr">
        <is>
          <t>1R1G</t>
        </is>
      </c>
      <c r="D90" s="84" t="inlineStr">
        <is>
          <t>晶元金线</t>
        </is>
      </c>
      <c r="E90" s="84" t="inlineStr">
        <is>
          <t>5124</t>
        </is>
      </c>
      <c r="F90" s="84" t="n">
        <v>15000</v>
      </c>
      <c r="G90" s="84" t="n">
        <v>250</v>
      </c>
      <c r="H90" s="84" t="n">
        <v>500</v>
      </c>
      <c r="I90" s="84" t="inlineStr">
        <is>
          <t>黄色</t>
        </is>
      </c>
      <c r="J90" s="84" t="inlineStr">
        <is>
          <t>批次-310</t>
        </is>
      </c>
      <c r="K90" s="84" t="inlineStr">
        <is>
          <t>贴片</t>
        </is>
      </c>
      <c r="L90" s="84" t="n">
        <v>1152</v>
      </c>
      <c r="M90" s="84" t="n">
        <v>1152</v>
      </c>
      <c r="N90" s="84" t="n"/>
      <c r="O90" s="88">
        <f>IF(J90="","",SUMIFS(灯珠单价!B:B,灯珠单价!A:A,J90))</f>
        <v/>
      </c>
      <c r="P90" s="88">
        <f>IF(J90="","",SUMIFS(灯珠单价!C:C,灯珠单价!A:A,J90))</f>
        <v/>
      </c>
      <c r="Q90" s="88">
        <f>IF(J90="","",SUMIFS(灯珠单价!D:D,灯珠单价!A:A,J90))</f>
        <v/>
      </c>
      <c r="R90" s="88">
        <f>IF(B90="","",L90*O90+M90*P90+N90*Q90)</f>
        <v/>
      </c>
      <c r="S90" s="84" t="n"/>
      <c r="T90" s="88">
        <f>IF(B90="","",SUMIFS(套件单价!G:G,套件单价!A:A,B90,套件单价!B:B,K90))</f>
        <v/>
      </c>
      <c r="U90" s="84" t="n">
        <v>3.5</v>
      </c>
      <c r="V90" s="88">
        <f>IF(B90="","",R90+S90+T90)</f>
        <v/>
      </c>
      <c r="W90" s="88">
        <f>IF(B90="","",V90+U90)</f>
        <v/>
      </c>
      <c r="X90" s="84" t="n"/>
    </row>
    <row r="91">
      <c r="A91" s="84" t="inlineStr">
        <is>
          <t>P10.416</t>
        </is>
      </c>
      <c r="B91" s="84" t="n">
        <v>10.416</v>
      </c>
      <c r="C91" s="84" t="inlineStr">
        <is>
          <t>1R1G1B</t>
        </is>
      </c>
      <c r="D91" s="84" t="inlineStr">
        <is>
          <t>晶元金线</t>
        </is>
      </c>
      <c r="E91" s="84" t="inlineStr">
        <is>
          <t>5124</t>
        </is>
      </c>
      <c r="F91" s="84" t="n">
        <v>15000</v>
      </c>
      <c r="G91" s="84" t="n">
        <v>250</v>
      </c>
      <c r="H91" s="84" t="n">
        <v>500</v>
      </c>
      <c r="I91" s="84" t="inlineStr">
        <is>
          <t>黄白</t>
        </is>
      </c>
      <c r="J91" s="84" t="inlineStr">
        <is>
          <t>批次-310</t>
        </is>
      </c>
      <c r="K91" s="84" t="inlineStr">
        <is>
          <t>贴片</t>
        </is>
      </c>
      <c r="L91" s="84" t="n">
        <v>1152</v>
      </c>
      <c r="M91" s="84" t="n">
        <v>1152</v>
      </c>
      <c r="N91" s="84" t="n">
        <v>1152</v>
      </c>
      <c r="O91" s="88">
        <f>IF(J91="","",SUMIFS(灯珠单价!B:B,灯珠单价!A:A,J91))</f>
        <v/>
      </c>
      <c r="P91" s="88">
        <f>IF(J91="","",SUMIFS(灯珠单价!C:C,灯珠单价!A:A,J91))</f>
        <v/>
      </c>
      <c r="Q91" s="88">
        <f>IF(J91="","",SUMIFS(灯珠单价!D:D,灯珠单价!A:A,J91))</f>
        <v/>
      </c>
      <c r="R91" s="88">
        <f>IF(B91="","",L91*O91+M91*P91+N91*Q91)</f>
        <v/>
      </c>
      <c r="S91" s="84" t="n"/>
      <c r="T91" s="88">
        <f>IF(B91="","",SUMIFS(套件单价!G:G,套件单价!A:A,B91,套件单价!B:B,K91))</f>
        <v/>
      </c>
      <c r="U91" s="84" t="n">
        <v>3.5</v>
      </c>
      <c r="V91" s="88">
        <f>IF(B91="","",R91+S91+T91)</f>
        <v/>
      </c>
      <c r="W91" s="88">
        <f>IF(B91="","",V91+U91)</f>
        <v/>
      </c>
      <c r="X91" s="84" t="n"/>
    </row>
    <row r="92">
      <c r="A92" s="84" t="inlineStr">
        <is>
          <t>P31.25</t>
        </is>
      </c>
      <c r="B92" s="84" t="n">
        <v>31.25</v>
      </c>
      <c r="C92" s="84" t="inlineStr">
        <is>
          <t>2R1G</t>
        </is>
      </c>
      <c r="D92" s="84" t="inlineStr">
        <is>
          <t>晶元金线</t>
        </is>
      </c>
      <c r="E92" s="84" t="inlineStr">
        <is>
          <t>16289S</t>
        </is>
      </c>
      <c r="F92" s="84" t="n">
        <v>15000</v>
      </c>
      <c r="G92" s="84" t="n">
        <v>250</v>
      </c>
      <c r="H92" s="84" t="n">
        <v>500</v>
      </c>
      <c r="I92" s="84" t="inlineStr">
        <is>
          <t>黄色</t>
        </is>
      </c>
      <c r="J92" s="84" t="inlineStr">
        <is>
          <t>批次-310</t>
        </is>
      </c>
      <c r="K92" s="84" t="inlineStr">
        <is>
          <t>贴片</t>
        </is>
      </c>
      <c r="L92" s="84" t="n">
        <v>256</v>
      </c>
      <c r="M92" s="84" t="n">
        <v>128</v>
      </c>
      <c r="N92" s="84" t="n"/>
      <c r="O92" s="88">
        <f>IF(J92="","",SUMIFS(灯珠单价!B:B,灯珠单价!A:A,J92))</f>
        <v/>
      </c>
      <c r="P92" s="88">
        <f>IF(J92="","",SUMIFS(灯珠单价!C:C,灯珠单价!A:A,J92))</f>
        <v/>
      </c>
      <c r="Q92" s="88">
        <f>IF(J92="","",SUMIFS(灯珠单价!D:D,灯珠单价!A:A,J92))</f>
        <v/>
      </c>
      <c r="R92" s="88">
        <f>IF(B92="","",L92*O92+M92*P92+N92*Q92)</f>
        <v/>
      </c>
      <c r="S92" s="84" t="n"/>
      <c r="T92" s="88">
        <f>IF(B92="","",SUMIFS(套件单价!G:G,套件单价!A:A,B92,套件单价!B:B,K92))</f>
        <v/>
      </c>
      <c r="U92" s="84" t="n">
        <v>3.5</v>
      </c>
      <c r="V92" s="88">
        <f>IF(B92="","",R92+S92+T92)</f>
        <v/>
      </c>
      <c r="W92" s="88">
        <f>IF(B92="","",V92+U92)</f>
        <v/>
      </c>
      <c r="X92" s="84" t="n"/>
    </row>
    <row r="93">
      <c r="A93" s="84" t="inlineStr">
        <is>
          <t>P31.25</t>
        </is>
      </c>
      <c r="B93" s="84" t="n">
        <v>31.25</v>
      </c>
      <c r="C93" s="84" t="inlineStr">
        <is>
          <t>2R1G1B</t>
        </is>
      </c>
      <c r="D93" s="84" t="inlineStr">
        <is>
          <t>晶元金线</t>
        </is>
      </c>
      <c r="E93" s="84" t="inlineStr">
        <is>
          <t>16289S</t>
        </is>
      </c>
      <c r="F93" s="84" t="n">
        <v>15000</v>
      </c>
      <c r="G93" s="84" t="n">
        <v>250</v>
      </c>
      <c r="H93" s="84" t="n">
        <v>500</v>
      </c>
      <c r="I93" s="84" t="inlineStr">
        <is>
          <t>黄白</t>
        </is>
      </c>
      <c r="J93" s="84" t="inlineStr">
        <is>
          <t>批次-310</t>
        </is>
      </c>
      <c r="K93" s="84" t="inlineStr">
        <is>
          <t>贴片</t>
        </is>
      </c>
      <c r="L93" s="84" t="n">
        <v>256</v>
      </c>
      <c r="M93" s="84" t="n">
        <v>128</v>
      </c>
      <c r="N93" s="84" t="n">
        <v>128</v>
      </c>
      <c r="O93" s="88">
        <f>IF(J93="","",SUMIFS(灯珠单价!B:B,灯珠单价!A:A,J93))</f>
        <v/>
      </c>
      <c r="P93" s="88">
        <f>IF(J93="","",SUMIFS(灯珠单价!C:C,灯珠单价!A:A,J93))</f>
        <v/>
      </c>
      <c r="Q93" s="88">
        <f>IF(J93="","",SUMIFS(灯珠单价!D:D,灯珠单价!A:A,J93))</f>
        <v/>
      </c>
      <c r="R93" s="88">
        <f>IF(B93="","",L93*O93+M93*P93+N93*Q93)</f>
        <v/>
      </c>
      <c r="S93" s="84" t="n"/>
      <c r="T93" s="88">
        <f>IF(B93="","",SUMIFS(套件单价!G:G,套件单价!A:A,B93,套件单价!B:B,K93))</f>
        <v/>
      </c>
      <c r="U93" s="84" t="n">
        <v>3.5</v>
      </c>
      <c r="V93" s="88">
        <f>IF(B93="","",R93+S93+T93)</f>
        <v/>
      </c>
      <c r="W93" s="88">
        <f>IF(B93="","",V93+U93)</f>
        <v/>
      </c>
      <c r="X93" s="84" t="n"/>
    </row>
    <row r="94">
      <c r="A94" s="84" t="inlineStr">
        <is>
          <t>P25</t>
        </is>
      </c>
      <c r="B94" s="84" t="n">
        <v>25</v>
      </c>
      <c r="C94" s="84" t="inlineStr">
        <is>
          <t>2R1G</t>
        </is>
      </c>
      <c r="D94" s="84" t="inlineStr">
        <is>
          <t>晶元金线</t>
        </is>
      </c>
      <c r="E94" s="84" t="inlineStr">
        <is>
          <t>16289S</t>
        </is>
      </c>
      <c r="F94" s="84" t="n">
        <v>15000</v>
      </c>
      <c r="G94" s="84" t="n">
        <v>250</v>
      </c>
      <c r="H94" s="84" t="n">
        <v>500</v>
      </c>
      <c r="I94" s="84" t="inlineStr">
        <is>
          <t>黄色</t>
        </is>
      </c>
      <c r="J94" s="84" t="inlineStr">
        <is>
          <t>批次-310</t>
        </is>
      </c>
      <c r="K94" s="84" t="inlineStr">
        <is>
          <t>贴片</t>
        </is>
      </c>
      <c r="L94" s="84" t="n">
        <v>400</v>
      </c>
      <c r="M94" s="84" t="n">
        <v>200</v>
      </c>
      <c r="N94" s="84" t="n"/>
      <c r="O94" s="88">
        <f>IF(J94="","",SUMIFS(灯珠单价!B:B,灯珠单价!A:A,J94))</f>
        <v/>
      </c>
      <c r="P94" s="88">
        <f>IF(J94="","",SUMIFS(灯珠单价!C:C,灯珠单价!A:A,J94))</f>
        <v/>
      </c>
      <c r="Q94" s="88">
        <f>IF(J94="","",SUMIFS(灯珠单价!D:D,灯珠单价!A:A,J94))</f>
        <v/>
      </c>
      <c r="R94" s="88">
        <f>IF(B94="","",L94*O94+M94*P94+N94*Q94)</f>
        <v/>
      </c>
      <c r="S94" s="84" t="n"/>
      <c r="T94" s="88">
        <f>IF(B94="","",SUMIFS(套件单价!G:G,套件单价!A:A,B94,套件单价!B:B,K94))</f>
        <v/>
      </c>
      <c r="U94" s="84" t="n">
        <v>3.5</v>
      </c>
      <c r="V94" s="88">
        <f>IF(B94="","",R94+S94+T94)</f>
        <v/>
      </c>
      <c r="W94" s="88">
        <f>IF(B94="","",V94+U94)</f>
        <v/>
      </c>
      <c r="X94" s="84" t="n"/>
    </row>
    <row r="95">
      <c r="A95" s="84" t="inlineStr">
        <is>
          <t>P25</t>
        </is>
      </c>
      <c r="B95" s="84" t="n">
        <v>25</v>
      </c>
      <c r="C95" s="84" t="inlineStr">
        <is>
          <t>2R1G1B</t>
        </is>
      </c>
      <c r="D95" s="84" t="inlineStr">
        <is>
          <t>晶元金线</t>
        </is>
      </c>
      <c r="E95" s="84" t="inlineStr">
        <is>
          <t>16289S</t>
        </is>
      </c>
      <c r="F95" s="84" t="n">
        <v>15000</v>
      </c>
      <c r="G95" s="84" t="n">
        <v>250</v>
      </c>
      <c r="H95" s="84" t="n">
        <v>500</v>
      </c>
      <c r="I95" s="84" t="inlineStr">
        <is>
          <t>黄白</t>
        </is>
      </c>
      <c r="J95" s="84" t="inlineStr">
        <is>
          <t>批次-310</t>
        </is>
      </c>
      <c r="K95" s="84" t="inlineStr">
        <is>
          <t>贴片</t>
        </is>
      </c>
      <c r="L95" s="84" t="n">
        <v>400</v>
      </c>
      <c r="M95" s="84" t="n">
        <v>200</v>
      </c>
      <c r="N95" s="84" t="n">
        <v>200</v>
      </c>
      <c r="O95" s="88">
        <f>IF(J95="","",SUMIFS(灯珠单价!B:B,灯珠单价!A:A,J95))</f>
        <v/>
      </c>
      <c r="P95" s="88">
        <f>IF(J95="","",SUMIFS(灯珠单价!C:C,灯珠单价!A:A,J95))</f>
        <v/>
      </c>
      <c r="Q95" s="88">
        <f>IF(J95="","",SUMIFS(灯珠单价!D:D,灯珠单价!A:A,J95))</f>
        <v/>
      </c>
      <c r="R95" s="88">
        <f>IF(B95="","",L95*O95+M95*P95+N95*Q95)</f>
        <v/>
      </c>
      <c r="S95" s="84" t="n"/>
      <c r="T95" s="88">
        <f>IF(B95="","",SUMIFS(套件单价!G:G,套件单价!A:A,B95,套件单价!B:B,K95))</f>
        <v/>
      </c>
      <c r="U95" s="84" t="n">
        <v>3.5</v>
      </c>
      <c r="V95" s="88">
        <f>IF(B95="","",R95+S95+T95)</f>
        <v/>
      </c>
      <c r="W95" s="88">
        <f>IF(B95="","",V95+U95)</f>
        <v/>
      </c>
      <c r="X95" s="84" t="n"/>
    </row>
    <row r="96">
      <c r="A96" s="84" t="inlineStr">
        <is>
          <t>P20.833</t>
        </is>
      </c>
      <c r="B96" s="84" t="n">
        <v>20.833</v>
      </c>
      <c r="C96" s="84" t="inlineStr">
        <is>
          <t>2R1G</t>
        </is>
      </c>
      <c r="D96" s="84" t="inlineStr">
        <is>
          <t>晶元金线</t>
        </is>
      </c>
      <c r="E96" s="84" t="inlineStr">
        <is>
          <t>16289S</t>
        </is>
      </c>
      <c r="F96" s="84" t="n">
        <v>15000</v>
      </c>
      <c r="G96" s="84" t="n">
        <v>250</v>
      </c>
      <c r="H96" s="84" t="n">
        <v>500</v>
      </c>
      <c r="I96" s="84" t="inlineStr">
        <is>
          <t>黄色</t>
        </is>
      </c>
      <c r="J96" s="84" t="inlineStr">
        <is>
          <t>批次-310</t>
        </is>
      </c>
      <c r="K96" s="84" t="inlineStr">
        <is>
          <t>贴片</t>
        </is>
      </c>
      <c r="L96" s="84" t="n">
        <v>576</v>
      </c>
      <c r="M96" s="84" t="n">
        <v>288</v>
      </c>
      <c r="N96" s="84" t="n"/>
      <c r="O96" s="88">
        <f>IF(J96="","",SUMIFS(灯珠单价!B:B,灯珠单价!A:A,J96))</f>
        <v/>
      </c>
      <c r="P96" s="88">
        <f>IF(J96="","",SUMIFS(灯珠单价!C:C,灯珠单价!A:A,J96))</f>
        <v/>
      </c>
      <c r="Q96" s="88">
        <f>IF(J96="","",SUMIFS(灯珠单价!D:D,灯珠单价!A:A,J96))</f>
        <v/>
      </c>
      <c r="R96" s="88">
        <f>IF(B96="","",L96*O96+M96*P96+N96*Q96)</f>
        <v/>
      </c>
      <c r="S96" s="84" t="n"/>
      <c r="T96" s="88">
        <f>IF(B96="","",SUMIFS(套件单价!G:G,套件单价!A:A,B96,套件单价!B:B,K96))</f>
        <v/>
      </c>
      <c r="U96" s="84" t="n">
        <v>5</v>
      </c>
      <c r="V96" s="88">
        <f>IF(B96="","",R96+S96+T96)</f>
        <v/>
      </c>
      <c r="W96" s="88">
        <f>IF(B96="","",V96+U96)</f>
        <v/>
      </c>
      <c r="X96" s="84" t="n"/>
    </row>
    <row r="97">
      <c r="A97" s="84" t="inlineStr">
        <is>
          <t>P20.833</t>
        </is>
      </c>
      <c r="B97" s="84" t="n">
        <v>20.833</v>
      </c>
      <c r="C97" s="84" t="inlineStr">
        <is>
          <t>2R1G1B</t>
        </is>
      </c>
      <c r="D97" s="84" t="inlineStr">
        <is>
          <t>晶元金线</t>
        </is>
      </c>
      <c r="E97" s="84" t="inlineStr">
        <is>
          <t>16289S</t>
        </is>
      </c>
      <c r="F97" s="84" t="n">
        <v>15000</v>
      </c>
      <c r="G97" s="84" t="n">
        <v>250</v>
      </c>
      <c r="H97" s="84" t="n">
        <v>500</v>
      </c>
      <c r="I97" s="84" t="inlineStr">
        <is>
          <t>黄白</t>
        </is>
      </c>
      <c r="J97" s="84" t="inlineStr">
        <is>
          <t>批次-310</t>
        </is>
      </c>
      <c r="K97" s="84" t="inlineStr">
        <is>
          <t>贴片</t>
        </is>
      </c>
      <c r="L97" s="84" t="n">
        <v>576</v>
      </c>
      <c r="M97" s="84" t="n">
        <v>288</v>
      </c>
      <c r="N97" s="84" t="n">
        <v>288</v>
      </c>
      <c r="O97" s="88">
        <f>IF(J97="","",SUMIFS(灯珠单价!B:B,灯珠单价!A:A,J97))</f>
        <v/>
      </c>
      <c r="P97" s="88">
        <f>IF(J97="","",SUMIFS(灯珠单价!C:C,灯珠单价!A:A,J97))</f>
        <v/>
      </c>
      <c r="Q97" s="88">
        <f>IF(J97="","",SUMIFS(灯珠单价!D:D,灯珠单价!A:A,J97))</f>
        <v/>
      </c>
      <c r="R97" s="88">
        <f>IF(B97="","",L97*O97+M97*P97+N97*Q97)</f>
        <v/>
      </c>
      <c r="S97" s="84" t="n"/>
      <c r="T97" s="88">
        <f>IF(B97="","",SUMIFS(套件单价!G:G,套件单价!A:A,B97,套件单价!B:B,K97))</f>
        <v/>
      </c>
      <c r="U97" s="84" t="n">
        <v>5</v>
      </c>
      <c r="V97" s="88">
        <f>IF(B97="","",R97+S97+T97)</f>
        <v/>
      </c>
      <c r="W97" s="88">
        <f>IF(B97="","",V97+U97)</f>
        <v/>
      </c>
      <c r="X97" s="84" t="n"/>
    </row>
    <row r="98">
      <c r="A98" s="84" t="inlineStr">
        <is>
          <t>P20.833</t>
        </is>
      </c>
      <c r="B98" s="84" t="n">
        <v>20.833</v>
      </c>
      <c r="C98" s="84" t="inlineStr">
        <is>
          <t>1R1G1B</t>
        </is>
      </c>
      <c r="D98" s="84" t="inlineStr">
        <is>
          <t>晶元金线</t>
        </is>
      </c>
      <c r="E98" s="84" t="inlineStr">
        <is>
          <t>16289S</t>
        </is>
      </c>
      <c r="F98" s="84" t="n">
        <v>15000</v>
      </c>
      <c r="G98" s="84" t="n">
        <v>250</v>
      </c>
      <c r="H98" s="84" t="n">
        <v>500</v>
      </c>
      <c r="I98" s="84" t="inlineStr">
        <is>
          <t>黄白</t>
        </is>
      </c>
      <c r="J98" s="84" t="inlineStr">
        <is>
          <t>批次-310</t>
        </is>
      </c>
      <c r="K98" s="84" t="inlineStr">
        <is>
          <t>贴片</t>
        </is>
      </c>
      <c r="L98" s="84" t="n">
        <v>288</v>
      </c>
      <c r="M98" s="84" t="n">
        <v>288</v>
      </c>
      <c r="N98" s="84" t="n">
        <v>288</v>
      </c>
      <c r="O98" s="88">
        <f>IF(J98="","",SUMIFS(灯珠单价!B:B,灯珠单价!A:A,J98))</f>
        <v/>
      </c>
      <c r="P98" s="88">
        <f>IF(J98="","",SUMIFS(灯珠单价!C:C,灯珠单价!A:A,J98))</f>
        <v/>
      </c>
      <c r="Q98" s="88">
        <f>IF(J98="","",SUMIFS(灯珠单价!D:D,灯珠单价!A:A,J98))</f>
        <v/>
      </c>
      <c r="R98" s="88">
        <f>IF(B98="","",L98*O98+M98*P98+N98*Q98)</f>
        <v/>
      </c>
      <c r="S98" s="84" t="n"/>
      <c r="T98" s="88">
        <f>IF(B98="","",SUMIFS(套件单价!G:G,套件单价!A:A,B98,套件单价!B:B,K98))</f>
        <v/>
      </c>
      <c r="U98" s="84" t="n">
        <v>5</v>
      </c>
      <c r="V98" s="88">
        <f>IF(B98="","",R98+S98+T98)</f>
        <v/>
      </c>
      <c r="W98" s="88">
        <f>IF(B98="","",V98+U98)</f>
        <v/>
      </c>
      <c r="X98" s="84" t="n"/>
    </row>
    <row r="99">
      <c r="A99" s="84" t="inlineStr">
        <is>
          <t>P15.625</t>
        </is>
      </c>
      <c r="B99" s="84" t="n">
        <v>15.625</v>
      </c>
      <c r="C99" s="84" t="inlineStr">
        <is>
          <t>2R1G</t>
        </is>
      </c>
      <c r="D99" s="84" t="inlineStr">
        <is>
          <t>晶元金线</t>
        </is>
      </c>
      <c r="E99" s="84" t="inlineStr">
        <is>
          <t>16289S</t>
        </is>
      </c>
      <c r="F99" s="84" t="n">
        <v>15000</v>
      </c>
      <c r="G99" s="84" t="n">
        <v>250</v>
      </c>
      <c r="H99" s="84" t="n">
        <v>500</v>
      </c>
      <c r="I99" s="84" t="inlineStr">
        <is>
          <t>黄色</t>
        </is>
      </c>
      <c r="J99" s="84" t="inlineStr">
        <is>
          <t>批次-310</t>
        </is>
      </c>
      <c r="K99" s="84" t="inlineStr">
        <is>
          <t>贴片</t>
        </is>
      </c>
      <c r="L99" s="84" t="n">
        <v>1024</v>
      </c>
      <c r="M99" s="84" t="n">
        <v>512</v>
      </c>
      <c r="N99" s="84" t="n"/>
      <c r="O99" s="88">
        <f>IF(J99="","",SUMIFS(灯珠单价!B:B,灯珠单价!A:A,J99))</f>
        <v/>
      </c>
      <c r="P99" s="88">
        <f>IF(J99="","",SUMIFS(灯珠单价!C:C,灯珠单价!A:A,J99))</f>
        <v/>
      </c>
      <c r="Q99" s="88">
        <f>IF(J99="","",SUMIFS(灯珠单价!D:D,灯珠单价!A:A,J99))</f>
        <v/>
      </c>
      <c r="R99" s="88">
        <f>IF(B99="","",L99*O99+M99*P99+N99*Q99)</f>
        <v/>
      </c>
      <c r="S99" s="84" t="n"/>
      <c r="T99" s="88">
        <f>IF(B99="","",SUMIFS(套件单价!G:G,套件单价!A:A,B99,套件单价!B:B,K99))</f>
        <v/>
      </c>
      <c r="U99" s="84" t="n">
        <v>5</v>
      </c>
      <c r="V99" s="88">
        <f>IF(B99="","",R99+S99+T99)</f>
        <v/>
      </c>
      <c r="W99" s="88">
        <f>IF(B99="","",V99+U99)</f>
        <v/>
      </c>
      <c r="X99" s="84" t="n"/>
    </row>
    <row r="100">
      <c r="A100" s="84" t="inlineStr">
        <is>
          <t>P15.625</t>
        </is>
      </c>
      <c r="B100" s="84" t="n">
        <v>15.625</v>
      </c>
      <c r="C100" s="84" t="inlineStr">
        <is>
          <t>2R1G1B</t>
        </is>
      </c>
      <c r="D100" s="84" t="inlineStr">
        <is>
          <t>晶元金线</t>
        </is>
      </c>
      <c r="E100" s="84" t="inlineStr">
        <is>
          <t>16289S</t>
        </is>
      </c>
      <c r="F100" s="84" t="n">
        <v>15000</v>
      </c>
      <c r="G100" s="84" t="n">
        <v>250</v>
      </c>
      <c r="H100" s="84" t="n">
        <v>500</v>
      </c>
      <c r="I100" s="84" t="inlineStr">
        <is>
          <t>黄白</t>
        </is>
      </c>
      <c r="J100" s="84" t="inlineStr">
        <is>
          <t>批次-310</t>
        </is>
      </c>
      <c r="K100" s="84" t="inlineStr">
        <is>
          <t>贴片</t>
        </is>
      </c>
      <c r="L100" s="84" t="n">
        <v>1024</v>
      </c>
      <c r="M100" s="84" t="n">
        <v>512</v>
      </c>
      <c r="N100" s="84" t="n">
        <v>512</v>
      </c>
      <c r="O100" s="88">
        <f>IF(J100="","",SUMIFS(灯珠单价!B:B,灯珠单价!A:A,J100))</f>
        <v/>
      </c>
      <c r="P100" s="88">
        <f>IF(J100="","",SUMIFS(灯珠单价!C:C,灯珠单价!A:A,J100))</f>
        <v/>
      </c>
      <c r="Q100" s="88">
        <f>IF(J100="","",SUMIFS(灯珠单价!D:D,灯珠单价!A:A,J100))</f>
        <v/>
      </c>
      <c r="R100" s="88">
        <f>IF(B100="","",L100*O100+M100*P100+N100*Q100)</f>
        <v/>
      </c>
      <c r="S100" s="84" t="n"/>
      <c r="T100" s="88">
        <f>IF(B100="","",SUMIFS(套件单价!G:G,套件单价!A:A,B100,套件单价!B:B,K100))</f>
        <v/>
      </c>
      <c r="U100" s="84" t="n">
        <v>5</v>
      </c>
      <c r="V100" s="88">
        <f>IF(B100="","",R100+S100+T100)</f>
        <v/>
      </c>
      <c r="W100" s="88">
        <f>IF(B100="","",V100+U100)</f>
        <v/>
      </c>
      <c r="X100" s="84" t="n"/>
    </row>
    <row r="101">
      <c r="A101" s="84" t="inlineStr">
        <is>
          <t>P15.625</t>
        </is>
      </c>
      <c r="B101" s="84" t="n">
        <v>15.625</v>
      </c>
      <c r="C101" s="84" t="inlineStr">
        <is>
          <t>1R1G</t>
        </is>
      </c>
      <c r="D101" s="84" t="inlineStr">
        <is>
          <t>晶元金线</t>
        </is>
      </c>
      <c r="E101" s="84" t="inlineStr">
        <is>
          <t>16289S</t>
        </is>
      </c>
      <c r="F101" s="84" t="n">
        <v>15000</v>
      </c>
      <c r="G101" s="84" t="n">
        <v>250</v>
      </c>
      <c r="H101" s="84" t="n">
        <v>500</v>
      </c>
      <c r="I101" s="84" t="inlineStr">
        <is>
          <t>黄白</t>
        </is>
      </c>
      <c r="J101" s="84" t="inlineStr">
        <is>
          <t>批次-310</t>
        </is>
      </c>
      <c r="K101" s="84" t="inlineStr">
        <is>
          <t>贴片</t>
        </is>
      </c>
      <c r="L101" s="84" t="n">
        <v>512</v>
      </c>
      <c r="M101" s="84" t="n">
        <v>512</v>
      </c>
      <c r="N101" s="84" t="n"/>
      <c r="O101" s="88">
        <f>IF(J101="","",SUMIFS(灯珠单价!B:B,灯珠单价!A:A,J101))</f>
        <v/>
      </c>
      <c r="P101" s="88">
        <f>IF(J101="","",SUMIFS(灯珠单价!C:C,灯珠单价!A:A,J101))</f>
        <v/>
      </c>
      <c r="Q101" s="88">
        <f>IF(J101="","",SUMIFS(灯珠单价!D:D,灯珠单价!A:A,J101))</f>
        <v/>
      </c>
      <c r="R101" s="88">
        <f>IF(B101="","",L101*O101+M101*P101+N101*Q101)</f>
        <v/>
      </c>
      <c r="S101" s="84" t="n"/>
      <c r="T101" s="88">
        <f>IF(B101="","",SUMIFS(套件单价!G:G,套件单价!A:A,B101,套件单价!B:B,K101))</f>
        <v/>
      </c>
      <c r="U101" s="84" t="n">
        <v>5</v>
      </c>
      <c r="V101" s="88">
        <f>IF(B101="","",R101+S101+T101)</f>
        <v/>
      </c>
      <c r="W101" s="88">
        <f>IF(B101="","",V101+U101)</f>
        <v/>
      </c>
      <c r="X101" s="84" t="n"/>
    </row>
    <row r="102">
      <c r="A102" s="84" t="inlineStr">
        <is>
          <t>P15.625</t>
        </is>
      </c>
      <c r="B102" s="84" t="n">
        <v>15.625</v>
      </c>
      <c r="C102" s="84" t="inlineStr">
        <is>
          <t>1R1G1B</t>
        </is>
      </c>
      <c r="D102" s="84" t="inlineStr">
        <is>
          <t>晶元金线</t>
        </is>
      </c>
      <c r="E102" s="84" t="inlineStr">
        <is>
          <t>16289S</t>
        </is>
      </c>
      <c r="F102" s="84" t="n">
        <v>15000</v>
      </c>
      <c r="G102" s="84" t="n">
        <v>250</v>
      </c>
      <c r="H102" s="84" t="n">
        <v>500</v>
      </c>
      <c r="I102" s="84" t="inlineStr">
        <is>
          <t>黄白</t>
        </is>
      </c>
      <c r="J102" s="84" t="inlineStr">
        <is>
          <t>批次-310</t>
        </is>
      </c>
      <c r="K102" s="84" t="inlineStr">
        <is>
          <t>贴片</t>
        </is>
      </c>
      <c r="L102" s="84" t="n">
        <v>512</v>
      </c>
      <c r="M102" s="84" t="n">
        <v>512</v>
      </c>
      <c r="N102" s="84" t="n">
        <v>512</v>
      </c>
      <c r="O102" s="88">
        <f>IF(J102="","",SUMIFS(灯珠单价!B:B,灯珠单价!A:A,J102))</f>
        <v/>
      </c>
      <c r="P102" s="88">
        <f>IF(J102="","",SUMIFS(灯珠单价!C:C,灯珠单价!A:A,J102))</f>
        <v/>
      </c>
      <c r="Q102" s="88">
        <f>IF(J102="","",SUMIFS(灯珠单价!D:D,灯珠单价!A:A,J102))</f>
        <v/>
      </c>
      <c r="R102" s="88">
        <f>IF(B102="","",L102*O102+M102*P102+N102*Q102)</f>
        <v/>
      </c>
      <c r="S102" s="84" t="n"/>
      <c r="T102" s="88">
        <f>IF(B102="","",SUMIFS(套件单价!G:G,套件单价!A:A,B102,套件单价!B:B,K102))</f>
        <v/>
      </c>
      <c r="U102" s="84" t="n">
        <v>5</v>
      </c>
      <c r="V102" s="88">
        <f>IF(B102="","",R102+S102+T102)</f>
        <v/>
      </c>
      <c r="W102" s="88">
        <f>IF(B102="","",V102+U102)</f>
        <v/>
      </c>
      <c r="X102" s="84" t="n"/>
    </row>
    <row r="103">
      <c r="A103" s="84" t="inlineStr">
        <is>
          <t>P10.416</t>
        </is>
      </c>
      <c r="B103" s="84" t="n">
        <v>10.416</v>
      </c>
      <c r="C103" s="84" t="inlineStr">
        <is>
          <t>1R1G</t>
        </is>
      </c>
      <c r="D103" s="84" t="inlineStr">
        <is>
          <t>晶元金线</t>
        </is>
      </c>
      <c r="E103" s="84" t="inlineStr">
        <is>
          <t>16289S</t>
        </is>
      </c>
      <c r="F103" s="84" t="n">
        <v>15000</v>
      </c>
      <c r="G103" s="84" t="n">
        <v>250</v>
      </c>
      <c r="H103" s="84" t="n">
        <v>500</v>
      </c>
      <c r="I103" s="84" t="inlineStr">
        <is>
          <t>黄色</t>
        </is>
      </c>
      <c r="J103" s="84" t="inlineStr">
        <is>
          <t>批次-310</t>
        </is>
      </c>
      <c r="K103" s="84" t="inlineStr">
        <is>
          <t>贴片</t>
        </is>
      </c>
      <c r="L103" s="84" t="n">
        <v>1152</v>
      </c>
      <c r="M103" s="84" t="n">
        <v>1152</v>
      </c>
      <c r="N103" s="84" t="n"/>
      <c r="O103" s="88">
        <f>IF(J103="","",SUMIFS(灯珠单价!B:B,灯珠单价!A:A,J103))</f>
        <v/>
      </c>
      <c r="P103" s="88">
        <f>IF(J103="","",SUMIFS(灯珠单价!C:C,灯珠单价!A:A,J103))</f>
        <v/>
      </c>
      <c r="Q103" s="88">
        <f>IF(J103="","",SUMIFS(灯珠单价!D:D,灯珠单价!A:A,J103))</f>
        <v/>
      </c>
      <c r="R103" s="88">
        <f>IF(B103="","",L103*O103+M103*P103+N103*Q103)</f>
        <v/>
      </c>
      <c r="S103" s="84" t="n"/>
      <c r="T103" s="88">
        <f>IF(B103="","",SUMIFS(套件单价!G:G,套件单价!A:A,B103,套件单价!B:B,K103))</f>
        <v/>
      </c>
      <c r="U103" s="84" t="n">
        <v>3.5</v>
      </c>
      <c r="V103" s="88">
        <f>IF(B103="","",R103+S103+T103)</f>
        <v/>
      </c>
      <c r="W103" s="88">
        <f>IF(B103="","",V103+U103)</f>
        <v/>
      </c>
      <c r="X103" s="84" t="n"/>
    </row>
    <row r="104">
      <c r="A104" s="84" t="inlineStr">
        <is>
          <t>P10.416</t>
        </is>
      </c>
      <c r="B104" s="84" t="n">
        <v>10.416</v>
      </c>
      <c r="C104" s="84" t="inlineStr">
        <is>
          <t>1R1G1B</t>
        </is>
      </c>
      <c r="D104" s="84" t="inlineStr">
        <is>
          <t>晶元金线</t>
        </is>
      </c>
      <c r="E104" s="84" t="inlineStr">
        <is>
          <t>16289S</t>
        </is>
      </c>
      <c r="F104" s="84" t="n">
        <v>15000</v>
      </c>
      <c r="G104" s="84" t="n">
        <v>250</v>
      </c>
      <c r="H104" s="84" t="n">
        <v>500</v>
      </c>
      <c r="I104" s="84" t="inlineStr">
        <is>
          <t>黄白</t>
        </is>
      </c>
      <c r="J104" s="84" t="inlineStr">
        <is>
          <t>批次-310</t>
        </is>
      </c>
      <c r="K104" s="84" t="inlineStr">
        <is>
          <t>贴片</t>
        </is>
      </c>
      <c r="L104" s="84" t="n">
        <v>1152</v>
      </c>
      <c r="M104" s="84" t="n">
        <v>1152</v>
      </c>
      <c r="N104" s="84" t="n">
        <v>1152</v>
      </c>
      <c r="O104" s="88">
        <f>IF(J104="","",SUMIFS(灯珠单价!B:B,灯珠单价!A:A,J104))</f>
        <v/>
      </c>
      <c r="P104" s="88">
        <f>IF(J104="","",SUMIFS(灯珠单价!C:C,灯珠单价!A:A,J104))</f>
        <v/>
      </c>
      <c r="Q104" s="88">
        <f>IF(J104="","",SUMIFS(灯珠单价!D:D,灯珠单价!A:A,J104))</f>
        <v/>
      </c>
      <c r="R104" s="88">
        <f>IF(B104="","",L104*O104+M104*P104+N104*Q104)</f>
        <v/>
      </c>
      <c r="S104" s="84" t="n"/>
      <c r="T104" s="88">
        <f>IF(B104="","",SUMIFS(套件单价!G:G,套件单价!A:A,B104,套件单价!B:B,K104))</f>
        <v/>
      </c>
      <c r="U104" s="84" t="n">
        <v>3.5</v>
      </c>
      <c r="V104" s="88">
        <f>IF(B104="","",R104+S104+T104)</f>
        <v/>
      </c>
      <c r="W104" s="88">
        <f>IF(B104="","",V104+U104)</f>
        <v/>
      </c>
      <c r="X104" s="84" t="n"/>
    </row>
    <row r="105">
      <c r="A105" s="84" t="inlineStr">
        <is>
          <t>P10.416</t>
        </is>
      </c>
      <c r="B105" s="84" t="n">
        <v>10.416</v>
      </c>
      <c r="C105" s="84" t="inlineStr">
        <is>
          <t>1R1G1B</t>
        </is>
      </c>
      <c r="D105" s="84" t="inlineStr">
        <is>
          <t>晶元金线</t>
        </is>
      </c>
      <c r="E105" s="84" t="inlineStr">
        <is>
          <t>16289S</t>
        </is>
      </c>
      <c r="F105" s="84" t="n">
        <v>15000</v>
      </c>
      <c r="G105" s="84" t="n">
        <v>250</v>
      </c>
      <c r="H105" s="84" t="n">
        <v>500</v>
      </c>
      <c r="I105" s="84" t="inlineStr">
        <is>
          <t>黄白</t>
        </is>
      </c>
      <c r="J105" s="84" t="inlineStr">
        <is>
          <t>批次-310</t>
        </is>
      </c>
      <c r="K105" s="84" t="inlineStr">
        <is>
          <t>贴片</t>
        </is>
      </c>
      <c r="L105" s="84" t="n">
        <v>1152</v>
      </c>
      <c r="M105" s="84" t="n"/>
      <c r="N105" s="84" t="n"/>
      <c r="O105" s="88">
        <f>IF(J105="","",SUMIFS(灯珠单价!B:B,灯珠单价!A:A,J105))</f>
        <v/>
      </c>
      <c r="P105" s="88">
        <f>IF(J105="","",SUMIFS(灯珠单价!C:C,灯珠单价!A:A,J105))</f>
        <v/>
      </c>
      <c r="Q105" s="88">
        <f>IF(J105="","",SUMIFS(灯珠单价!D:D,灯珠单价!A:A,J105))</f>
        <v/>
      </c>
      <c r="R105" s="88">
        <f>IF(B105="","",L105*O105+M105*P105+N105*Q105)</f>
        <v/>
      </c>
      <c r="S105" s="84" t="n">
        <v>323</v>
      </c>
      <c r="T105" s="88">
        <f>IF(B105="","",SUMIFS(套件单价!G:G,套件单价!A:A,B105,套件单价!B:B,K105))</f>
        <v/>
      </c>
      <c r="U105" s="84" t="n">
        <v>5</v>
      </c>
      <c r="V105" s="88">
        <f>IF(B105="","",R105+S105+T105)</f>
        <v/>
      </c>
      <c r="W105" s="88">
        <f>IF(B105="","",V105+U105)</f>
        <v/>
      </c>
      <c r="X105" s="84" t="n"/>
    </row>
  </sheetData>
  <autoFilter ref="A4:Y40"/>
  <mergeCells count="2">
    <mergeCell ref="A2:X2"/>
    <mergeCell ref="A1:X1"/>
  </mergeCells>
  <dataValidations count="3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K5:K40" showDropDown="0" showInputMessage="0" showErrorMessage="0" allowBlank="1" errorTitle="填写范围" error="请从列表中选择" type="list" operator="between">
      <formula1>"单面,双面"</formula1>
      <formula2>0</formula2>
    </dataValidation>
    <dataValidation sqref="M5:M40" showDropDown="0" showInputMessage="0" showErrorMessage="0" allowBlank="1" errorTitle="填写范围" error="请从列表中选择" type="list" operator="between">
      <formula1>"贴片,直插"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&amp;L模组价格</oddHeader>
    <oddFooter>&amp;L蓝色字填写，绿色字为公式&amp;R第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833C0C"/>
    <outlinePr summaryBelow="1" summaryRight="1"/>
    <pageSetUpPr fitToPage="1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2"/>
    <col width="18" customWidth="1" style="24" min="3" max="3"/>
    <col width="12" customWidth="1" style="24" min="4" max="4"/>
    <col width="14" customWidth="1" style="24" min="5" max="5"/>
    <col width="12" customWidth="1" style="24" min="6" max="8"/>
    <col width="10" customWidth="1" style="24" min="9" max="9"/>
    <col width="14" customWidth="1" style="24" min="10" max="10"/>
    <col width="40" customWidth="1" style="24" min="11" max="11"/>
  </cols>
  <sheetData>
    <row r="1" ht="26" customHeight="1" s="25"/>
    <row r="2" ht="32" customHeight="1" s="25">
      <c r="A2" s="24" t="inlineStr">
        <is>
          <t>箱体名称要和「核算模板」里写的完全一致。本表不维护是否当前/生效日期。</t>
        </is>
      </c>
    </row>
    <row r="4" ht="36" customHeight="1" s="25">
      <c r="A4" s="45" t="inlineStr">
        <is>
          <t>箱体名称</t>
        </is>
      </c>
      <c r="B4" s="45" t="inlineStr">
        <is>
          <t>材料</t>
        </is>
      </c>
      <c r="C4" s="45" t="inlineStr">
        <is>
          <t>安装位置</t>
        </is>
      </c>
      <c r="D4" s="45" t="inlineStr">
        <is>
          <t>宽_mm</t>
        </is>
      </c>
      <c r="E4" s="45" t="inlineStr">
        <is>
          <t>高_mm</t>
        </is>
      </c>
      <c r="F4" s="45" t="inlineStr">
        <is>
          <t>密封</t>
        </is>
      </c>
      <c r="G4" s="45" t="inlineStr">
        <is>
          <t>包边</t>
        </is>
      </c>
      <c r="H4" s="45" t="inlineStr">
        <is>
          <t>含税单价</t>
        </is>
      </c>
      <c r="I4" s="45" t="inlineStr">
        <is>
          <t>备注</t>
        </is>
      </c>
    </row>
    <row r="5" ht="15" customHeight="1" s="25">
      <c r="A5" s="79" t="inlineStr">
        <is>
          <t>压铸铝箱体-全密封-含</t>
        </is>
      </c>
      <c r="B5" s="79" t="inlineStr">
        <is>
          <t>压铸铝</t>
        </is>
      </c>
      <c r="C5" s="79" t="n"/>
      <c r="D5" s="86" t="n">
        <v>1000</v>
      </c>
      <c r="E5" s="86" t="n">
        <v>1000</v>
      </c>
      <c r="F5" s="79" t="inlineStr">
        <is>
          <t>全密封</t>
        </is>
      </c>
      <c r="G5" s="79" t="inlineStr">
        <is>
          <t>含</t>
        </is>
      </c>
      <c r="H5" s="80" t="n"/>
      <c r="I5" s="79" t="n"/>
    </row>
    <row r="6" ht="15" customHeight="1" s="25">
      <c r="A6" s="79" t="inlineStr">
        <is>
          <t>洞内压铸铝箱体-全密封-含</t>
        </is>
      </c>
      <c r="B6" s="79" t="inlineStr">
        <is>
          <t>压铸铝</t>
        </is>
      </c>
      <c r="C6" s="79" t="inlineStr">
        <is>
          <t>洞内</t>
        </is>
      </c>
      <c r="D6" s="86" t="n">
        <v>1000</v>
      </c>
      <c r="E6" s="86" t="n">
        <v>1000</v>
      </c>
      <c r="F6" s="79" t="inlineStr">
        <is>
          <t>全密封</t>
        </is>
      </c>
      <c r="G6" s="79" t="inlineStr">
        <is>
          <t>含</t>
        </is>
      </c>
      <c r="H6" s="80" t="n"/>
      <c r="I6" s="79" t="n"/>
    </row>
    <row r="7" ht="15" customHeight="1" s="25">
      <c r="A7" s="79" t="inlineStr">
        <is>
          <t>压铸铝箱体-后开放-含</t>
        </is>
      </c>
      <c r="B7" s="79" t="inlineStr">
        <is>
          <t>压铸铝</t>
        </is>
      </c>
      <c r="C7" s="79" t="n"/>
      <c r="D7" s="86" t="n">
        <v>1000</v>
      </c>
      <c r="E7" s="86" t="n">
        <v>1000</v>
      </c>
      <c r="F7" s="79" t="inlineStr">
        <is>
          <t>后开放</t>
        </is>
      </c>
      <c r="G7" s="79" t="inlineStr">
        <is>
          <t>含</t>
        </is>
      </c>
      <c r="H7" s="80" t="n"/>
      <c r="I7" s="79" t="n"/>
    </row>
    <row r="8" ht="15" customHeight="1" s="25">
      <c r="A8" s="79" t="inlineStr">
        <is>
          <t>洞内压铸铝箱体-后开放-含</t>
        </is>
      </c>
      <c r="B8" s="79" t="inlineStr">
        <is>
          <t>压铸铝</t>
        </is>
      </c>
      <c r="C8" s="79" t="inlineStr">
        <is>
          <t>洞内</t>
        </is>
      </c>
      <c r="D8" s="86" t="n">
        <v>1000</v>
      </c>
      <c r="E8" s="86" t="n">
        <v>1000</v>
      </c>
      <c r="F8" s="79" t="inlineStr">
        <is>
          <t>后开放</t>
        </is>
      </c>
      <c r="G8" s="79" t="inlineStr">
        <is>
          <t>含</t>
        </is>
      </c>
      <c r="H8" s="80" t="n"/>
      <c r="I8" s="79" t="n"/>
    </row>
    <row r="9" ht="15" customHeight="1" s="25">
      <c r="A9" s="79" t="inlineStr">
        <is>
          <t>压铸铝箱体-后开放-含</t>
        </is>
      </c>
      <c r="B9" s="79" t="inlineStr">
        <is>
          <t>压铸铝</t>
        </is>
      </c>
      <c r="C9" s="79" t="n"/>
      <c r="D9" s="86" t="n">
        <v>1000</v>
      </c>
      <c r="E9" s="86" t="n">
        <v>750</v>
      </c>
      <c r="F9" s="79" t="inlineStr">
        <is>
          <t>后开放</t>
        </is>
      </c>
      <c r="G9" s="79" t="inlineStr">
        <is>
          <t>含</t>
        </is>
      </c>
      <c r="H9" s="80" t="n"/>
      <c r="I9" s="79" t="n"/>
    </row>
    <row r="10" ht="15" customHeight="1" s="25">
      <c r="A10" s="79" t="inlineStr">
        <is>
          <t>门架铁箱体-全密封-含</t>
        </is>
      </c>
      <c r="B10" s="79" t="inlineStr">
        <is>
          <t>铁箱</t>
        </is>
      </c>
      <c r="C10" s="79" t="inlineStr">
        <is>
          <t>门架</t>
        </is>
      </c>
      <c r="D10" s="86" t="n">
        <v>1000</v>
      </c>
      <c r="E10" s="86" t="n">
        <v>1000</v>
      </c>
      <c r="F10" s="79" t="inlineStr">
        <is>
          <t>全密封</t>
        </is>
      </c>
      <c r="G10" s="79" t="inlineStr">
        <is>
          <t>含</t>
        </is>
      </c>
      <c r="H10" s="80" t="n"/>
      <c r="I10" s="79" t="n"/>
    </row>
    <row r="11" ht="15" customHeight="1" s="25">
      <c r="A11" s="79" t="inlineStr">
        <is>
          <t>门架铁箱体-全密封-含</t>
        </is>
      </c>
      <c r="B11" s="79" t="inlineStr">
        <is>
          <t>铁箱</t>
        </is>
      </c>
      <c r="C11" s="79" t="inlineStr">
        <is>
          <t>门架</t>
        </is>
      </c>
      <c r="D11" s="86" t="n">
        <v>1000</v>
      </c>
      <c r="E11" s="86" t="n">
        <v>1000</v>
      </c>
      <c r="F11" s="79" t="inlineStr">
        <is>
          <t>全密封</t>
        </is>
      </c>
      <c r="G11" s="79" t="inlineStr">
        <is>
          <t>含</t>
        </is>
      </c>
      <c r="H11" s="80" t="n"/>
      <c r="I11" s="79" t="n"/>
    </row>
    <row r="12" ht="15" customHeight="1" s="25">
      <c r="A12" s="79" t="inlineStr">
        <is>
          <t>悬臂铁箱体-全密封-含</t>
        </is>
      </c>
      <c r="B12" s="79" t="inlineStr">
        <is>
          <t>铁箱</t>
        </is>
      </c>
      <c r="C12" s="79" t="inlineStr">
        <is>
          <t>悬臂</t>
        </is>
      </c>
      <c r="D12" s="86" t="n">
        <v>1000</v>
      </c>
      <c r="E12" s="86" t="n">
        <v>1000</v>
      </c>
      <c r="F12" s="79" t="inlineStr">
        <is>
          <t>全密封</t>
        </is>
      </c>
      <c r="G12" s="79" t="inlineStr">
        <is>
          <t>含</t>
        </is>
      </c>
      <c r="H12" s="80" t="n"/>
      <c r="I12" s="79" t="n"/>
    </row>
    <row r="13" ht="15" customHeight="1" s="25">
      <c r="A13" s="79" t="inlineStr">
        <is>
          <t>悬臂铁箱体-全密封-含</t>
        </is>
      </c>
      <c r="B13" s="79" t="inlineStr">
        <is>
          <t>铁箱</t>
        </is>
      </c>
      <c r="C13" s="79" t="inlineStr">
        <is>
          <t>悬臂</t>
        </is>
      </c>
      <c r="D13" s="86" t="n">
        <v>1000</v>
      </c>
      <c r="E13" s="86" t="n">
        <v>1000</v>
      </c>
      <c r="F13" s="79" t="inlineStr">
        <is>
          <t>全密封</t>
        </is>
      </c>
      <c r="G13" s="79" t="inlineStr">
        <is>
          <t>含</t>
        </is>
      </c>
      <c r="H13" s="80" t="n"/>
      <c r="I13" s="79" t="n"/>
    </row>
    <row r="14" ht="15" customHeight="1" s="25">
      <c r="A14" s="79" t="inlineStr">
        <is>
          <t>洞内铁箱体-全密封-含</t>
        </is>
      </c>
      <c r="B14" s="79" t="inlineStr">
        <is>
          <t>铁箱</t>
        </is>
      </c>
      <c r="C14" s="79" t="inlineStr">
        <is>
          <t>洞内</t>
        </is>
      </c>
      <c r="D14" s="86" t="n">
        <v>1000</v>
      </c>
      <c r="E14" s="86" t="n">
        <v>1000</v>
      </c>
      <c r="F14" s="79" t="inlineStr">
        <is>
          <t>全密封</t>
        </is>
      </c>
      <c r="G14" s="79" t="inlineStr">
        <is>
          <t>含</t>
        </is>
      </c>
      <c r="H14" s="80" t="n"/>
      <c r="I14" s="79" t="n"/>
    </row>
    <row r="15" ht="15" customHeight="1" s="25">
      <c r="A15" s="79" t="inlineStr">
        <is>
          <t>车道屏背抱式-全密封-含</t>
        </is>
      </c>
      <c r="B15" s="79" t="n"/>
      <c r="C15" s="79" t="inlineStr">
        <is>
          <t>车道</t>
        </is>
      </c>
      <c r="D15" s="86" t="n">
        <v>1000</v>
      </c>
      <c r="E15" s="86" t="n">
        <v>1000</v>
      </c>
      <c r="F15" s="79" t="inlineStr">
        <is>
          <t>全密封</t>
        </is>
      </c>
      <c r="G15" s="79" t="inlineStr">
        <is>
          <t>含</t>
        </is>
      </c>
      <c r="H15" s="80" t="n"/>
      <c r="I15" s="79" t="n"/>
    </row>
    <row r="16" ht="15" customHeight="1" s="25">
      <c r="A16" s="37" t="n"/>
      <c r="B16" s="37" t="n"/>
      <c r="C16" s="37" t="n"/>
      <c r="D16" s="50" t="n"/>
      <c r="E16" s="50" t="n"/>
      <c r="F16" s="37" t="n"/>
      <c r="G16" s="37" t="n"/>
      <c r="H16" s="39" t="n"/>
      <c r="I16" s="37" t="n"/>
    </row>
    <row r="17" ht="15" customHeight="1" s="25">
      <c r="A17" s="37" t="n"/>
      <c r="B17" s="37" t="n"/>
      <c r="C17" s="37" t="n"/>
      <c r="D17" s="50" t="n"/>
      <c r="E17" s="50" t="n"/>
      <c r="F17" s="37" t="n"/>
      <c r="G17" s="37" t="n"/>
      <c r="H17" s="39" t="n"/>
      <c r="I17" s="37" t="n"/>
    </row>
    <row r="18" ht="15" customHeight="1" s="25">
      <c r="A18" s="37" t="n"/>
      <c r="B18" s="37" t="n"/>
      <c r="C18" s="37" t="n"/>
      <c r="D18" s="50" t="n"/>
      <c r="E18" s="50" t="n"/>
      <c r="F18" s="37" t="n"/>
      <c r="G18" s="37" t="n"/>
      <c r="H18" s="39" t="n"/>
      <c r="I18" s="37" t="n"/>
    </row>
    <row r="19" ht="15" customHeight="1" s="25">
      <c r="A19" s="37" t="n"/>
      <c r="B19" s="37" t="n"/>
      <c r="C19" s="37" t="n"/>
      <c r="D19" s="50" t="n"/>
      <c r="E19" s="50" t="n"/>
      <c r="F19" s="37" t="n"/>
      <c r="G19" s="37" t="n"/>
      <c r="H19" s="39" t="n"/>
      <c r="I19" s="37" t="n"/>
    </row>
    <row r="20" ht="15" customHeight="1" s="25">
      <c r="A20" s="37" t="n"/>
      <c r="B20" s="37" t="n"/>
      <c r="C20" s="37" t="n"/>
      <c r="D20" s="50" t="n"/>
      <c r="E20" s="50" t="n"/>
      <c r="F20" s="37" t="n"/>
      <c r="G20" s="37" t="n"/>
      <c r="H20" s="39" t="n"/>
      <c r="I20" s="37" t="n"/>
    </row>
  </sheetData>
  <autoFilter ref="A4:K40"/>
  <mergeCells count="2">
    <mergeCell ref="A1:I1"/>
    <mergeCell ref="A2:I2"/>
  </mergeCells>
  <dataValidations count="4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D5:D40" showDropDown="0" showInputMessage="0" showErrorMessage="0" allowBlank="1" errorTitle="填写范围" error="请从列表中选择" type="list" operator="between">
      <formula1>"压铸铝,铁箱"</formula1>
      <formula2>0</formula2>
    </dataValidation>
    <dataValidation sqref="H5:H40" showDropDown="0" showInputMessage="0" showErrorMessage="0" allowBlank="1" errorTitle="填写范围" error="请从列表中选择" type="list" operator="between">
      <formula1>"全密封,后开放"</formula1>
      <formula2>0</formula2>
    </dataValidation>
    <dataValidation sqref="I5:I40" showDropDown="0" showInputMessage="0" showErrorMessage="0" allowBlank="1" errorTitle="填写范围" error="请从列表中选择" type="list" operator="between">
      <formula1>"含,不含"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&amp;L箱体单价</oddHeader>
    <oddFooter>&amp;L蓝色字填写，绿色字为公式&amp;R第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T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4" customWidth="1" style="24" min="1" max="1"/>
    <col width="16" customWidth="1" style="24" min="2" max="2"/>
    <col width="14" customWidth="1" style="24" min="3" max="6"/>
    <col width="16" customWidth="1" style="24" min="7" max="7"/>
    <col width="14" customWidth="1" style="24" min="8" max="10"/>
    <col width="18" customWidth="1" style="24" min="11" max="12"/>
    <col width="20" customWidth="1" style="24" min="13" max="13"/>
    <col width="16" customWidth="1" style="24" min="14" max="14"/>
    <col width="14" customWidth="1" style="24" min="15" max="18"/>
    <col width="18" customWidth="1" style="24" min="19" max="20"/>
    <col width="46" customWidth="1" style="24" min="21" max="21"/>
  </cols>
  <sheetData>
    <row r="1" ht="26" customHeight="1" s="25"/>
    <row r="2" ht="32" customHeight="1" s="25">
      <c r="A2" s="24" t="inlineStr">
        <is>
          <t>这里写算法，不写模组单价。绿色两列用来核对能否在模组价格表和箱体表里找到对应行。模组含税单价按本行「灌胶」在模组价格的含税单价_单面或_双面中取。辅料按每平方米填写。本表不维护是否当前。</t>
        </is>
      </c>
    </row>
    <row r="4" ht="36" customHeight="1" s="25">
      <c r="A4" s="45" t="inlineStr">
        <is>
          <t>安装形态</t>
        </is>
      </c>
      <c r="B4" s="45" t="inlineStr">
        <is>
          <t>点间距_mm</t>
        </is>
      </c>
      <c r="C4" s="45" t="inlineStr">
        <is>
          <t>模组宽_mm</t>
        </is>
      </c>
      <c r="D4" s="45" t="inlineStr">
        <is>
          <t>模组高_mm</t>
        </is>
      </c>
      <c r="E4" s="45" t="inlineStr">
        <is>
          <t>配比</t>
        </is>
      </c>
      <c r="F4" s="45" t="inlineStr">
        <is>
          <t>驱动芯片</t>
        </is>
      </c>
      <c r="G4" s="45" t="inlineStr">
        <is>
          <t>灌胶</t>
        </is>
      </c>
      <c r="H4" s="45" t="inlineStr">
        <is>
          <t>灯珠批次</t>
        </is>
      </c>
      <c r="I4" s="45" t="inlineStr">
        <is>
          <t>工艺</t>
        </is>
      </c>
      <c r="J4" s="45" t="inlineStr">
        <is>
          <t>箱体名称</t>
        </is>
      </c>
      <c r="K4" s="45" t="inlineStr">
        <is>
          <t>每平方米电源数量</t>
        </is>
      </c>
      <c r="L4" s="45" t="inlineStr">
        <is>
          <t>每平方米接收卡数量</t>
        </is>
      </c>
      <c r="M4" s="45" t="inlineStr">
        <is>
          <t>每平方米辅料</t>
        </is>
      </c>
      <c r="N4" s="45" t="inlineStr">
        <is>
          <t>含立柱</t>
        </is>
      </c>
      <c r="O4" s="45" t="inlineStr">
        <is>
          <t>含抱箍</t>
        </is>
      </c>
      <c r="P4" s="45" t="inlineStr">
        <is>
          <t>含支架</t>
        </is>
      </c>
      <c r="Q4" s="45" t="inlineStr">
        <is>
          <t>含控制箱</t>
        </is>
      </c>
      <c r="R4" s="45" t="inlineStr">
        <is>
          <t>当前模组含税单价</t>
        </is>
      </c>
      <c r="S4" s="45" t="inlineStr">
        <is>
          <t>当前箱体含税单价</t>
        </is>
      </c>
      <c r="T4" s="45" t="inlineStr">
        <is>
          <t>备注</t>
        </is>
      </c>
    </row>
    <row r="5" ht="15" customHeight="1" s="25">
      <c r="A5" s="79" t="n"/>
      <c r="B5" s="81" t="n"/>
      <c r="C5" s="86" t="n"/>
      <c r="D5" s="86" t="n"/>
      <c r="E5" s="79" t="n"/>
      <c r="F5" s="79" t="n"/>
      <c r="G5" s="79" t="n"/>
      <c r="H5" s="79" t="n"/>
      <c r="I5" s="79" t="n"/>
      <c r="J5" s="79" t="n"/>
      <c r="K5" s="86" t="n"/>
      <c r="L5" s="86" t="n"/>
      <c r="M5" s="80" t="n"/>
      <c r="N5" s="79" t="n"/>
      <c r="O5" s="79" t="n"/>
      <c r="P5" s="79" t="n"/>
      <c r="Q5" s="79" t="n"/>
      <c r="R5" s="83">
        <f>IF(B5="","",IF(G5="双面",SUMIFS(模组价格!W:W,模组价格!B:B,B5,模组价格!C:C,E5,模组价格!G:G,C5,模组价格!H:H,D5,模组价格!J:J,H5),SUMIFS(模组价格!V:V,模组价格!B:B,B5,模组价格!C:C,E5,模组价格!G:G,C5,模组价格!H:H,D5,模组价格!J:J,H5)))</f>
        <v/>
      </c>
      <c r="S5" s="83">
        <f>IF(J5="","",SUMIFS(箱体单价!H:H,箱体单价!A:A,J5))</f>
        <v/>
      </c>
      <c r="T5" s="79" t="n"/>
    </row>
    <row r="6" ht="15" customHeight="1" s="25">
      <c r="A6" s="79" t="n"/>
      <c r="B6" s="81" t="n"/>
      <c r="C6" s="86" t="n"/>
      <c r="D6" s="86" t="n"/>
      <c r="E6" s="79" t="n"/>
      <c r="F6" s="79" t="n"/>
      <c r="G6" s="79" t="n"/>
      <c r="H6" s="79" t="n"/>
      <c r="I6" s="79" t="n"/>
      <c r="J6" s="79" t="n"/>
      <c r="K6" s="86" t="n"/>
      <c r="L6" s="86" t="n"/>
      <c r="M6" s="80" t="n"/>
      <c r="N6" s="79" t="n"/>
      <c r="O6" s="79" t="n"/>
      <c r="P6" s="79" t="n"/>
      <c r="Q6" s="79" t="n"/>
      <c r="R6" s="83">
        <f>IF(B6="","",IF(G6="双面",SUMIFS(模组价格!W:W,模组价格!B:B,B6,模组价格!C:C,E6,模组价格!G:G,C6,模组价格!H:H,D6,模组价格!J:J,H6),SUMIFS(模组价格!V:V,模组价格!B:B,B6,模组价格!C:C,E6,模组价格!G:G,C6,模组价格!H:H,D6,模组价格!J:J,H6)))</f>
        <v/>
      </c>
      <c r="S6" s="83">
        <f>IF(J6="","",SUMIFS(箱体单价!H:H,箱体单价!A:A,J6))</f>
        <v/>
      </c>
      <c r="T6" s="79" t="n"/>
    </row>
    <row r="7" ht="15" customHeight="1" s="25">
      <c r="A7" s="37" t="n"/>
      <c r="B7" s="43" t="n"/>
      <c r="C7" s="50" t="n"/>
      <c r="D7" s="50" t="n"/>
      <c r="E7" s="37" t="n"/>
      <c r="F7" s="37" t="n"/>
      <c r="G7" s="37" t="n"/>
      <c r="H7" s="37" t="n"/>
      <c r="I7" s="37" t="n"/>
      <c r="J7" s="37" t="n"/>
      <c r="K7" s="50" t="n"/>
      <c r="L7" s="50" t="n"/>
      <c r="M7" s="39" t="n"/>
      <c r="N7" s="37" t="n"/>
      <c r="O7" s="37" t="n"/>
      <c r="P7" s="37" t="n"/>
      <c r="Q7" s="37" t="n"/>
      <c r="R7" s="42">
        <f>IF(C7="","",SUMIFS(模组价格!X:X,模组价格!A:A,"是",模组价格!C:C,C7,模组价格!D:D,F7,模组价格!H:H,D7,模组价格!I:I,E7,模组价格!K:K,H7,模组价格!L:L,I7))</f>
        <v/>
      </c>
      <c r="S7" s="42">
        <f>IF(K7="","",SUMIFS(箱体单价!J:J,箱体单价!A:A,"是",箱体单价!C:C,K7))</f>
        <v/>
      </c>
      <c r="T7" s="37" t="n"/>
    </row>
    <row r="8" ht="15" customHeight="1" s="25">
      <c r="A8" s="37" t="n"/>
      <c r="B8" s="43" t="n"/>
      <c r="C8" s="50" t="n"/>
      <c r="D8" s="50" t="n"/>
      <c r="E8" s="37" t="n"/>
      <c r="F8" s="37" t="n"/>
      <c r="G8" s="37" t="n"/>
      <c r="H8" s="37" t="n"/>
      <c r="I8" s="37" t="n"/>
      <c r="J8" s="37" t="n"/>
      <c r="K8" s="50" t="n"/>
      <c r="L8" s="50" t="n"/>
      <c r="M8" s="39" t="n"/>
      <c r="N8" s="37" t="n"/>
      <c r="O8" s="37" t="n"/>
      <c r="P8" s="37" t="n"/>
      <c r="Q8" s="37" t="n"/>
      <c r="R8" s="42">
        <f>IF(C8="","",SUMIFS(模组价格!X:X,模组价格!A:A,"是",模组价格!C:C,C8,模组价格!D:D,F8,模组价格!H:H,D8,模组价格!I:I,E8,模组价格!K:K,H8,模组价格!L:L,I8))</f>
        <v/>
      </c>
      <c r="S8" s="42">
        <f>IF(K8="","",SUMIFS(箱体单价!J:J,箱体单价!A:A,"是",箱体单价!C:C,K8))</f>
        <v/>
      </c>
      <c r="T8" s="37" t="n"/>
    </row>
    <row r="9" ht="15" customHeight="1" s="25">
      <c r="A9" s="37" t="n"/>
      <c r="B9" s="43" t="n"/>
      <c r="C9" s="50" t="n"/>
      <c r="D9" s="50" t="n"/>
      <c r="E9" s="37" t="n"/>
      <c r="F9" s="37" t="n"/>
      <c r="G9" s="37" t="n"/>
      <c r="H9" s="37" t="n"/>
      <c r="I9" s="37" t="n"/>
      <c r="J9" s="37" t="n"/>
      <c r="K9" s="50" t="n"/>
      <c r="L9" s="50" t="n"/>
      <c r="M9" s="39" t="n"/>
      <c r="N9" s="37" t="n"/>
      <c r="O9" s="37" t="n"/>
      <c r="P9" s="37" t="n"/>
      <c r="Q9" s="37" t="n"/>
      <c r="R9" s="42">
        <f>IF(C9="","",SUMIFS(模组价格!X:X,模组价格!A:A,"是",模组价格!C:C,C9,模组价格!D:D,F9,模组价格!H:H,D9,模组价格!I:I,E9,模组价格!K:K,H9,模组价格!L:L,I9))</f>
        <v/>
      </c>
      <c r="S9" s="42">
        <f>IF(K9="","",SUMIFS(箱体单价!J:J,箱体单价!A:A,"是",箱体单价!C:C,K9))</f>
        <v/>
      </c>
      <c r="T9" s="37" t="n"/>
    </row>
    <row r="10" ht="15" customHeight="1" s="25">
      <c r="A10" s="37" t="n"/>
      <c r="B10" s="43" t="n"/>
      <c r="C10" s="50" t="n"/>
      <c r="D10" s="50" t="n"/>
      <c r="E10" s="37" t="n"/>
      <c r="F10" s="37" t="n"/>
      <c r="G10" s="37" t="n"/>
      <c r="H10" s="37" t="n"/>
      <c r="I10" s="37" t="n"/>
      <c r="J10" s="37" t="n"/>
      <c r="K10" s="50" t="n"/>
      <c r="L10" s="50" t="n"/>
      <c r="M10" s="39" t="n"/>
      <c r="N10" s="37" t="n"/>
      <c r="O10" s="37" t="n"/>
      <c r="P10" s="37" t="n"/>
      <c r="Q10" s="37" t="n"/>
      <c r="R10" s="42">
        <f>IF(C10="","",SUMIFS(模组价格!X:X,模组价格!A:A,"是",模组价格!C:C,C10,模组价格!D:D,F10,模组价格!H:H,D10,模组价格!I:I,E10,模组价格!K:K,H10,模组价格!L:L,I10))</f>
        <v/>
      </c>
      <c r="S10" s="42">
        <f>IF(K10="","",SUMIFS(箱体单价!J:J,箱体单价!A:A,"是",箱体单价!C:C,K10))</f>
        <v/>
      </c>
      <c r="T10" s="37" t="n"/>
    </row>
    <row r="11" ht="15" customHeight="1" s="25">
      <c r="A11" s="37" t="n"/>
      <c r="B11" s="43" t="n"/>
      <c r="C11" s="50" t="n"/>
      <c r="D11" s="50" t="n"/>
      <c r="E11" s="37" t="n"/>
      <c r="F11" s="37" t="n"/>
      <c r="G11" s="37" t="n"/>
      <c r="H11" s="37" t="n"/>
      <c r="I11" s="37" t="n"/>
      <c r="J11" s="37" t="n"/>
      <c r="K11" s="50" t="n"/>
      <c r="L11" s="50" t="n"/>
      <c r="M11" s="39" t="n"/>
      <c r="N11" s="37" t="n"/>
      <c r="O11" s="37" t="n"/>
      <c r="P11" s="37" t="n"/>
      <c r="Q11" s="37" t="n"/>
      <c r="R11" s="42">
        <f>IF(C11="","",SUMIFS(模组价格!X:X,模组价格!A:A,"是",模组价格!C:C,C11,模组价格!D:D,F11,模组价格!H:H,D11,模组价格!I:I,E11,模组价格!K:K,H11,模组价格!L:L,I11))</f>
        <v/>
      </c>
      <c r="S11" s="42">
        <f>IF(K11="","",SUMIFS(箱体单价!J:J,箱体单价!A:A,"是",箱体单价!C:C,K11))</f>
        <v/>
      </c>
      <c r="T11" s="37" t="n"/>
    </row>
    <row r="12" ht="15" customHeight="1" s="25">
      <c r="A12" s="37" t="n"/>
      <c r="B12" s="43" t="n"/>
      <c r="C12" s="50" t="n"/>
      <c r="D12" s="50" t="n"/>
      <c r="E12" s="37" t="n"/>
      <c r="F12" s="37" t="n"/>
      <c r="G12" s="37" t="n"/>
      <c r="H12" s="37" t="n"/>
      <c r="I12" s="37" t="n"/>
      <c r="J12" s="37" t="n"/>
      <c r="K12" s="50" t="n"/>
      <c r="L12" s="50" t="n"/>
      <c r="M12" s="39" t="n"/>
      <c r="N12" s="37" t="n"/>
      <c r="O12" s="37" t="n"/>
      <c r="P12" s="37" t="n"/>
      <c r="Q12" s="37" t="n"/>
      <c r="R12" s="42">
        <f>IF(C12="","",SUMIFS(模组价格!X:X,模组价格!A:A,"是",模组价格!C:C,C12,模组价格!D:D,F12,模组价格!H:H,D12,模组价格!I:I,E12,模组价格!K:K,H12,模组价格!L:L,I12))</f>
        <v/>
      </c>
      <c r="S12" s="42">
        <f>IF(K12="","",SUMIFS(箱体单价!J:J,箱体单价!A:A,"是",箱体单价!C:C,K12))</f>
        <v/>
      </c>
      <c r="T12" s="37" t="n"/>
    </row>
    <row r="13" ht="15" customHeight="1" s="25">
      <c r="A13" s="37" t="n"/>
      <c r="B13" s="43" t="n"/>
      <c r="C13" s="50" t="n"/>
      <c r="D13" s="50" t="n"/>
      <c r="E13" s="37" t="n"/>
      <c r="F13" s="37" t="n"/>
      <c r="G13" s="37" t="n"/>
      <c r="H13" s="37" t="n"/>
      <c r="I13" s="37" t="n"/>
      <c r="J13" s="37" t="n"/>
      <c r="K13" s="50" t="n"/>
      <c r="L13" s="50" t="n"/>
      <c r="M13" s="39" t="n"/>
      <c r="N13" s="37" t="n"/>
      <c r="O13" s="37" t="n"/>
      <c r="P13" s="37" t="n"/>
      <c r="Q13" s="37" t="n"/>
      <c r="R13" s="42">
        <f>IF(C13="","",SUMIFS(模组价格!X:X,模组价格!A:A,"是",模组价格!C:C,C13,模组价格!D:D,F13,模组价格!H:H,D13,模组价格!I:I,E13,模组价格!K:K,H13,模组价格!L:L,I13))</f>
        <v/>
      </c>
      <c r="S13" s="42">
        <f>IF(K13="","",SUMIFS(箱体单价!J:J,箱体单价!A:A,"是",箱体单价!C:C,K13))</f>
        <v/>
      </c>
      <c r="T13" s="37" t="n"/>
    </row>
    <row r="14" ht="15" customHeight="1" s="25">
      <c r="A14" s="37" t="n"/>
      <c r="B14" s="43" t="n"/>
      <c r="C14" s="50" t="n"/>
      <c r="D14" s="50" t="n"/>
      <c r="E14" s="37" t="n"/>
      <c r="F14" s="37" t="n"/>
      <c r="G14" s="37" t="n"/>
      <c r="H14" s="37" t="n"/>
      <c r="I14" s="37" t="n"/>
      <c r="J14" s="37" t="n"/>
      <c r="K14" s="50" t="n"/>
      <c r="L14" s="50" t="n"/>
      <c r="M14" s="39" t="n"/>
      <c r="N14" s="37" t="n"/>
      <c r="O14" s="37" t="n"/>
      <c r="P14" s="37" t="n"/>
      <c r="Q14" s="37" t="n"/>
      <c r="R14" s="42">
        <f>IF(C14="","",SUMIFS(模组价格!X:X,模组价格!A:A,"是",模组价格!C:C,C14,模组价格!D:D,F14,模组价格!H:H,D14,模组价格!I:I,E14,模组价格!K:K,H14,模组价格!L:L,I14))</f>
        <v/>
      </c>
      <c r="S14" s="42">
        <f>IF(K14="","",SUMIFS(箱体单价!J:J,箱体单价!A:A,"是",箱体单价!C:C,K14))</f>
        <v/>
      </c>
      <c r="T14" s="37" t="n"/>
    </row>
    <row r="15" ht="15" customHeight="1" s="25">
      <c r="A15" s="37" t="n"/>
      <c r="B15" s="43" t="n"/>
      <c r="C15" s="50" t="n"/>
      <c r="D15" s="50" t="n"/>
      <c r="E15" s="37" t="n"/>
      <c r="F15" s="37" t="n"/>
      <c r="G15" s="37" t="n"/>
      <c r="H15" s="37" t="n"/>
      <c r="I15" s="37" t="n"/>
      <c r="J15" s="37" t="n"/>
      <c r="K15" s="50" t="n"/>
      <c r="L15" s="50" t="n"/>
      <c r="M15" s="39" t="n"/>
      <c r="N15" s="37" t="n"/>
      <c r="O15" s="37" t="n"/>
      <c r="P15" s="37" t="n"/>
      <c r="Q15" s="37" t="n"/>
      <c r="R15" s="42">
        <f>IF(C15="","",SUMIFS(模组价格!X:X,模组价格!A:A,"是",模组价格!C:C,C15,模组价格!D:D,F15,模组价格!H:H,D15,模组价格!I:I,E15,模组价格!K:K,H15,模组价格!L:L,I15))</f>
        <v/>
      </c>
      <c r="S15" s="42">
        <f>IF(K15="","",SUMIFS(箱体单价!J:J,箱体单价!A:A,"是",箱体单价!C:C,K15))</f>
        <v/>
      </c>
      <c r="T15" s="37" t="n"/>
    </row>
  </sheetData>
  <autoFilter ref="A4:U40"/>
  <mergeCells count="2">
    <mergeCell ref="A1:T1"/>
    <mergeCell ref="A2:T2"/>
  </mergeCells>
  <dataValidations count="4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H5:H40" showDropDown="0" showInputMessage="0" showErrorMessage="0" allowBlank="1" errorTitle="填写范围" error="请从列表中选择" type="list" operator="between">
      <formula1>"单面,双面"</formula1>
      <formula2>0</formula2>
    </dataValidation>
    <dataValidation sqref="J5:J40" showDropDown="0" showInputMessage="0" showErrorMessage="0" allowBlank="1" errorTitle="填写范围" error="请从列表中选择" type="list" operator="between">
      <formula1>"贴片,直插"</formula1>
      <formula2>0</formula2>
    </dataValidation>
    <dataValidation sqref="O5:R40" showDropDown="0" showInputMessage="0" showErrorMessage="0" allowBlank="1" errorTitle="填写范围" error="请从列表中选择" type="list" operator="between">
      <formula1>"是,否"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&amp;L核算模板</oddHeader>
    <oddFooter>&amp;L蓝色字填写，绿色字为公式&amp;R第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2026-10-29T04:56:23Z</dcterms:created>
  <dcterms:modified xmlns:dcterms="http://purl.org/dc/terms/" xmlns:xsi="http://www.w3.org/2001/XMLSchema-instance" xsi:type="dcterms:W3CDTF">2026-10-31T06:46:53Z</dcterms:modified>
  <cp:revision>0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3.1</vt:lpwstr>
  </property>
</Properties>
</file>