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灯珠单价" sheetId="2" state="visible" r:id="rId2"/>
    <sheet xmlns:r="http://schemas.openxmlformats.org/officeDocument/2006/relationships" name="套件单价" sheetId="3" state="visible" r:id="rId3"/>
    <sheet xmlns:r="http://schemas.openxmlformats.org/officeDocument/2006/relationships" name="模组价格" sheetId="4" state="visible" r:id="rId4"/>
    <sheet xmlns:r="http://schemas.openxmlformats.org/officeDocument/2006/relationships" name="箱体单价" sheetId="5" state="visible" r:id="rId5"/>
    <sheet xmlns:r="http://schemas.openxmlformats.org/officeDocument/2006/relationships" name="核算模板" sheetId="6" state="visible" r:id="rId6"/>
    <sheet xmlns:r="http://schemas.openxmlformats.org/officeDocument/2006/relationships" name="供应商" sheetId="7" state="visible" r:id="rId7"/>
  </sheets>
  <definedNames>
    <definedName name="_xlnm.Print_Titles" localSheetId="0">'说明'!$1:$1</definedName>
    <definedName name="_xlnm._FilterDatabase" localSheetId="1" hidden="1">'灯珠单价'!$A$4:$G$40</definedName>
    <definedName name="_xlnm.Print_Titles" localSheetId="1">'灯珠单价'!$1:$4</definedName>
    <definedName name="_xlnm._FilterDatabase" localSheetId="2" hidden="1">'套件单价'!$A$4:$J$40</definedName>
    <definedName name="_xlnm.Print_Titles" localSheetId="2">'套件单价'!$1:$4</definedName>
    <definedName name="_xlnm._FilterDatabase" localSheetId="3" hidden="1">'模组价格'!$A$4:$Y$40</definedName>
    <definedName name="_xlnm.Print_Titles" localSheetId="3">'模组价格'!$1:$4</definedName>
    <definedName name="_xlnm._FilterDatabase" localSheetId="4" hidden="1">'箱体单价'!$A$4:$K$40</definedName>
    <definedName name="_xlnm.Print_Titles" localSheetId="4">'箱体单价'!$1:$4</definedName>
    <definedName name="_xlnm._FilterDatabase" localSheetId="5" hidden="1">'核算模板'!$A$4:$U$40</definedName>
    <definedName name="_xlnm.Print_Titles" localSheetId="5">'核算模板'!$1:$4</definedName>
    <definedName name="_xlnm._FilterDatabase" localSheetId="6" hidden="1">'供应商'!$A$4:$D$40</definedName>
    <definedName name="_xlnm.Print_Titles" localSheetId="6">'供应商'!$1:$4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#,##0.00;\-#,##0.00;&quot;&quot;"/>
    <numFmt numFmtId="166" formatCode="0.000"/>
    <numFmt numFmtId="167" formatCode="0;\-0;&quot;&quot;"/>
  </numFmts>
  <fonts count="18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微软雅黑"/>
      <charset val="1"/>
      <family val="0"/>
      <b val="1"/>
      <color rgb="FFFFFFFF"/>
      <sz val="14"/>
    </font>
    <font>
      <name val="微软雅黑"/>
      <charset val="1"/>
      <family val="0"/>
      <color rgb="FF333333"/>
      <sz val="10"/>
    </font>
    <font>
      <name val="微软雅黑"/>
      <charset val="1"/>
      <family val="0"/>
      <b val="1"/>
      <color rgb="FFFFFFFF"/>
      <sz val="10"/>
    </font>
    <font>
      <name val="微软雅黑"/>
      <charset val="1"/>
      <family val="0"/>
      <b val="1"/>
      <sz val="10"/>
    </font>
    <font>
      <name val="微软雅黑"/>
      <charset val="1"/>
      <family val="0"/>
      <color rgb="FF0000FF"/>
      <sz val="10"/>
    </font>
    <font>
      <name val="微软雅黑"/>
      <charset val="1"/>
      <family val="0"/>
      <color rgb="FF008000"/>
      <sz val="10"/>
    </font>
    <font>
      <name val="微软雅黑"/>
      <b val="1"/>
      <sz val="11"/>
    </font>
    <font>
      <name val="微软雅黑"/>
      <color rgb="000000FF"/>
      <sz val="11"/>
    </font>
    <font>
      <name val="微软雅黑"/>
      <color rgb="00008000"/>
      <sz val="11"/>
    </font>
    <font>
      <name val="微软雅黑"/>
      <sz val="10"/>
    </font>
    <font>
      <name val="微软雅黑"/>
      <b val="1"/>
      <color rgb="00FFFFFF"/>
      <sz val="10"/>
    </font>
    <font>
      <name val="微软雅黑"/>
      <color rgb="000000FF"/>
      <sz val="10"/>
    </font>
    <font>
      <name val="微软雅黑"/>
      <color rgb="00008000"/>
      <sz val="10"/>
    </font>
    <font>
      <name val="微软雅黑"/>
      <color rgb="00666666"/>
      <sz val="10"/>
    </font>
  </fonts>
  <fills count="11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00D9E2F3"/>
      </patternFill>
    </fill>
    <fill>
      <patternFill patternType="solid">
        <fgColor rgb="00FFFF99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general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general" vertical="center"/>
    </xf>
    <xf numFmtId="164" fontId="8" fillId="5" borderId="1" applyAlignment="1" pivotButton="0" quotePrefix="0" xfId="0">
      <alignment horizontal="general" vertical="center"/>
    </xf>
    <xf numFmtId="165" fontId="8" fillId="5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/>
    </xf>
    <xf numFmtId="164" fontId="8" fillId="0" borderId="1" applyAlignment="1" pivotButton="0" quotePrefix="0" xfId="0">
      <alignment horizontal="general" vertical="center"/>
    </xf>
    <xf numFmtId="165" fontId="8" fillId="0" borderId="1" applyAlignment="1" pivotButton="0" quotePrefix="0" xfId="0">
      <alignment horizontal="general" vertical="center"/>
    </xf>
    <xf numFmtId="166" fontId="8" fillId="5" borderId="1" applyAlignment="1" pivotButton="0" quotePrefix="0" xfId="0">
      <alignment horizontal="general" vertical="center"/>
    </xf>
    <xf numFmtId="167" fontId="8" fillId="5" borderId="1" applyAlignment="1" pivotButton="0" quotePrefix="0" xfId="0">
      <alignment horizontal="general" vertical="center"/>
    </xf>
    <xf numFmtId="165" fontId="9" fillId="6" borderId="1" applyAlignment="1" pivotButton="0" quotePrefix="0" xfId="0">
      <alignment horizontal="general" vertical="center"/>
    </xf>
    <xf numFmtId="166" fontId="8" fillId="0" borderId="1" applyAlignment="1" pivotButton="0" quotePrefix="0" xfId="0">
      <alignment horizontal="general" vertical="center"/>
    </xf>
    <xf numFmtId="167" fontId="8" fillId="0" borderId="1" applyAlignment="1" pivotButton="0" quotePrefix="0" xfId="0">
      <alignment horizontal="general" vertical="center"/>
    </xf>
    <xf numFmtId="3" fontId="8" fillId="5" borderId="1" applyAlignment="1" pivotButton="0" quotePrefix="0" xfId="0">
      <alignment horizontal="general" vertical="center"/>
    </xf>
    <xf numFmtId="2" fontId="8" fillId="5" borderId="1" applyAlignment="1" pivotButton="0" quotePrefix="0" xfId="0">
      <alignment horizontal="general" vertical="center"/>
    </xf>
    <xf numFmtId="3" fontId="8" fillId="0" borderId="1" applyAlignment="1" pivotButton="0" quotePrefix="0" xfId="0">
      <alignment horizontal="general" vertical="center"/>
    </xf>
    <xf numFmtId="2" fontId="8" fillId="0" borderId="1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general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general" vertical="center"/>
    </xf>
    <xf numFmtId="164" fontId="8" fillId="5" borderId="1" applyAlignment="1" pivotButton="0" quotePrefix="0" xfId="0">
      <alignment horizontal="general" vertical="center"/>
    </xf>
    <xf numFmtId="165" fontId="8" fillId="5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/>
    </xf>
    <xf numFmtId="164" fontId="8" fillId="0" borderId="1" applyAlignment="1" pivotButton="0" quotePrefix="0" xfId="0">
      <alignment horizontal="general" vertical="center"/>
    </xf>
    <xf numFmtId="165" fontId="8" fillId="0" borderId="1" applyAlignment="1" pivotButton="0" quotePrefix="0" xfId="0">
      <alignment horizontal="general" vertical="center"/>
    </xf>
    <xf numFmtId="166" fontId="8" fillId="5" borderId="1" applyAlignment="1" pivotButton="0" quotePrefix="0" xfId="0">
      <alignment horizontal="general" vertical="center"/>
    </xf>
    <xf numFmtId="167" fontId="8" fillId="5" borderId="1" applyAlignment="1" pivotButton="0" quotePrefix="0" xfId="0">
      <alignment horizontal="general" vertical="center"/>
    </xf>
    <xf numFmtId="165" fontId="9" fillId="6" borderId="1" applyAlignment="1" pivotButton="0" quotePrefix="0" xfId="0">
      <alignment horizontal="general" vertical="center"/>
    </xf>
    <xf numFmtId="166" fontId="8" fillId="0" borderId="1" applyAlignment="1" pivotButton="0" quotePrefix="0" xfId="0">
      <alignment horizontal="general" vertical="center"/>
    </xf>
    <xf numFmtId="167" fontId="8" fillId="0" borderId="1" applyAlignment="1" pivotButton="0" quotePrefix="0" xfId="0">
      <alignment horizontal="general" vertical="center"/>
    </xf>
    <xf numFmtId="0" fontId="6" fillId="3" borderId="1" applyAlignment="1" pivotButton="0" quotePrefix="0" xfId="0">
      <alignment horizontal="center" vertical="center" wrapText="1"/>
    </xf>
    <xf numFmtId="0" fontId="8" fillId="5" borderId="0" pivotButton="0" quotePrefix="0" xfId="0"/>
    <xf numFmtId="3" fontId="8" fillId="5" borderId="1" applyAlignment="1" pivotButton="0" quotePrefix="0" xfId="0">
      <alignment horizontal="general" vertical="center"/>
    </xf>
    <xf numFmtId="2" fontId="8" fillId="5" borderId="1" applyAlignment="1" pivotButton="0" quotePrefix="0" xfId="0">
      <alignment horizontal="general" vertical="center"/>
    </xf>
    <xf numFmtId="3" fontId="8" fillId="0" borderId="1" applyAlignment="1" pivotButton="0" quotePrefix="0" xfId="0">
      <alignment horizontal="general" vertical="center"/>
    </xf>
    <xf numFmtId="2" fontId="8" fillId="0" borderId="1" applyAlignment="1" pivotButton="0" quotePrefix="0" xfId="0">
      <alignment horizontal="general" vertical="center"/>
    </xf>
    <xf numFmtId="0" fontId="10" fillId="7" borderId="2" applyAlignment="1" pivotButton="0" quotePrefix="0" xfId="0">
      <alignment horizontal="center" vertical="center" wrapText="1"/>
    </xf>
    <xf numFmtId="0" fontId="11" fillId="8" borderId="2" pivotButton="0" quotePrefix="0" xfId="0"/>
    <xf numFmtId="166" fontId="11" fillId="8" borderId="2" applyAlignment="1" pivotButton="0" quotePrefix="0" xfId="0">
      <alignment horizontal="general" vertical="center"/>
    </xf>
    <xf numFmtId="0" fontId="11" fillId="8" borderId="2" applyAlignment="1" pivotButton="0" quotePrefix="0" xfId="0">
      <alignment horizontal="general" vertical="center"/>
    </xf>
    <xf numFmtId="3" fontId="11" fillId="8" borderId="2" applyAlignment="1" pivotButton="0" quotePrefix="0" xfId="0">
      <alignment horizontal="general" vertical="center"/>
    </xf>
    <xf numFmtId="2" fontId="11" fillId="8" borderId="2" applyAlignment="1" pivotButton="0" quotePrefix="0" xfId="0">
      <alignment horizontal="general" vertical="center"/>
    </xf>
    <xf numFmtId="167" fontId="11" fillId="8" borderId="2" applyAlignment="1" pivotButton="0" quotePrefix="0" xfId="0">
      <alignment horizontal="general" vertical="center"/>
    </xf>
    <xf numFmtId="167" fontId="12" fillId="8" borderId="2" applyAlignment="1" pivotButton="0" quotePrefix="0" xfId="0">
      <alignment horizontal="general" vertical="center"/>
    </xf>
    <xf numFmtId="165" fontId="12" fillId="8" borderId="2" applyAlignment="1" pivotButton="0" quotePrefix="0" xfId="0">
      <alignment horizontal="general" vertical="center"/>
    </xf>
    <xf numFmtId="165" fontId="11" fillId="8" borderId="2" applyAlignment="1" pivotButton="0" quotePrefix="0" xfId="0">
      <alignment horizontal="general" vertical="center"/>
    </xf>
    <xf numFmtId="0" fontId="17" fillId="0" borderId="0" applyAlignment="1" pivotButton="0" quotePrefix="0" xfId="0">
      <alignment horizontal="general" vertical="bottom"/>
    </xf>
    <xf numFmtId="0" fontId="14" fillId="9" borderId="2" applyAlignment="1" pivotButton="0" quotePrefix="0" xfId="0">
      <alignment vertical="center" wrapText="1"/>
    </xf>
    <xf numFmtId="0" fontId="15" fillId="10" borderId="2" pivotButton="0" quotePrefix="0" xfId="0"/>
    <xf numFmtId="166" fontId="15" fillId="10" borderId="2" applyAlignment="1" pivotButton="0" quotePrefix="0" xfId="0">
      <alignment horizontal="general" vertical="center"/>
    </xf>
    <xf numFmtId="0" fontId="15" fillId="10" borderId="2" applyAlignment="1" pivotButton="0" quotePrefix="0" xfId="0">
      <alignment horizontal="general" vertical="center"/>
    </xf>
    <xf numFmtId="3" fontId="15" fillId="10" borderId="2" applyAlignment="1" pivotButton="0" quotePrefix="0" xfId="0">
      <alignment horizontal="general" vertical="center"/>
    </xf>
    <xf numFmtId="2" fontId="15" fillId="10" borderId="2" applyAlignment="1" pivotButton="0" quotePrefix="0" xfId="0">
      <alignment horizontal="general" vertical="center"/>
    </xf>
    <xf numFmtId="167" fontId="15" fillId="10" borderId="2" applyAlignment="1" pivotButton="0" quotePrefix="0" xfId="0">
      <alignment horizontal="general" vertical="center"/>
    </xf>
    <xf numFmtId="167" fontId="16" fillId="10" borderId="2" applyAlignment="1" pivotButton="0" quotePrefix="0" xfId="0">
      <alignment horizontal="general" vertical="center"/>
    </xf>
    <xf numFmtId="165" fontId="16" fillId="10" borderId="2" applyAlignment="1" pivotButton="0" quotePrefix="0" xfId="0">
      <alignment horizontal="general" vertical="center"/>
    </xf>
    <xf numFmtId="165" fontId="15" fillId="10" borderId="2" applyAlignment="1" pivotButton="0" quotePrefix="0" xfId="0">
      <alignment horizontal="general" vertical="center"/>
    </xf>
    <xf numFmtId="0" fontId="13" fillId="0" borderId="3" pivotButton="0" quotePrefix="0" xfId="0"/>
    <xf numFmtId="166" fontId="13" fillId="0" borderId="3" applyAlignment="1" pivotButton="0" quotePrefix="0" xfId="0">
      <alignment horizontal="general" vertical="center"/>
    </xf>
    <xf numFmtId="0" fontId="13" fillId="0" borderId="3" applyAlignment="1" pivotButton="0" quotePrefix="0" xfId="0">
      <alignment horizontal="general" vertical="center"/>
    </xf>
    <xf numFmtId="3" fontId="13" fillId="0" borderId="3" applyAlignment="1" pivotButton="0" quotePrefix="0" xfId="0">
      <alignment horizontal="general" vertical="center"/>
    </xf>
    <xf numFmtId="2" fontId="13" fillId="0" borderId="3" applyAlignment="1" pivotButton="0" quotePrefix="0" xfId="0">
      <alignment horizontal="general" vertical="center"/>
    </xf>
    <xf numFmtId="167" fontId="13" fillId="0" borderId="3" applyAlignment="1" pivotButton="0" quotePrefix="0" xfId="0">
      <alignment horizontal="general" vertical="center"/>
    </xf>
    <xf numFmtId="165" fontId="13" fillId="0" borderId="3" applyAlignment="1" pivotButton="0" quotePrefix="0" xfId="0">
      <alignment horizontal="general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65911"/>
      <rgbColor rgb="FF666699"/>
      <rgbColor rgb="FF969696"/>
      <rgbColor rgb="FF003366"/>
      <rgbColor rgb="FF339966"/>
      <rgbColor rgb="FF003300"/>
      <rgbColor rgb="FF333300"/>
      <rgbColor rgb="FF833C0C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tabColor rgb="FF1F4E79"/>
    <outlinePr summaryBelow="1" summaryRight="1"/>
    <pageSetUpPr fitToPage="1"/>
  </sheetPr>
  <dimension ref="A1:B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09375" defaultRowHeight="15" zeroHeight="0" outlineLevelRow="0"/>
  <cols>
    <col width="18" customWidth="1" style="24" min="1" max="1"/>
    <col width="110" customWidth="1" style="24" min="2" max="2"/>
  </cols>
  <sheetData>
    <row r="1" ht="32" customHeight="1" s="25">
      <c r="A1" s="26" t="inlineStr">
        <is>
          <t>创迪情报板报价数据整理模版</t>
        </is>
      </c>
    </row>
    <row r="3" ht="22" customHeight="1" s="25">
      <c r="A3" s="27" t="inlineStr">
        <is>
          <t>这份表给人维护价格用。系统报价时来这里取数，不在核算模板里再抄一遍单价。</t>
        </is>
      </c>
    </row>
    <row r="4" ht="22" customHeight="1" s="25">
      <c r="A4" s="27" t="inlineStr">
        <is>
          <t>蓝色字是要填写的数。绿色字是公式，不要手改。黄色行是示例，填真实数据前请改掉或删除。</t>
        </is>
      </c>
    </row>
    <row r="5" ht="22" customHeight="1" s="25">
      <c r="A5" s="27" t="inlineStr">
        <is>
          <t>调价时直接改正文单价，或另存历史副本。本模版不维护「是否当前」「生效日期」。</t>
        </is>
      </c>
    </row>
    <row r="6" ht="22" customHeight="1" s="25">
      <c r="A6" s="27" t="inlineStr">
        <is>
          <t>供应商名称只填在「供应商」表。报价不读取该表。</t>
        </is>
      </c>
    </row>
    <row r="7" ht="22" customHeight="1" s="25">
      <c r="A7" s="27" t="inlineStr">
        <is>
          <t>详细步骤见同目录《填写说明.md》。</t>
        </is>
      </c>
    </row>
    <row r="9" ht="15" customHeight="1" s="25">
      <c r="A9" s="28" t="inlineStr">
        <is>
          <t>工作表</t>
        </is>
      </c>
      <c r="B9" s="28" t="inlineStr">
        <is>
          <t>谁填、填什么</t>
        </is>
      </c>
    </row>
    <row r="10" ht="32" customHeight="1" s="25">
      <c r="A10" s="29" t="inlineStr">
        <is>
          <t>灯珠单价</t>
        </is>
      </c>
      <c r="B10" s="30" t="inlineStr">
        <is>
          <t>成本维护人填写红、绿、蓝灯珠的含税单价。按灯珠批次分行。</t>
        </is>
      </c>
    </row>
    <row r="11" ht="32" customHeight="1" s="25">
      <c r="A11" s="29" t="inlineStr">
        <is>
          <t>套件单价</t>
        </is>
      </c>
      <c r="B11" s="30" t="inlineStr">
        <is>
          <t>成本维护人填写底壳、面罩、胶圈。套件合计由公式算出。按点间距和工艺分行。</t>
        </is>
      </c>
    </row>
    <row r="12" ht="32" customHeight="1" s="25">
      <c r="A12" s="29" t="inlineStr">
        <is>
          <t>模组价格</t>
        </is>
      </c>
      <c r="B12" s="30" t="inlineStr">
        <is>
          <t>成本维护人填写规格、灯珠颗数和加工费。灯珠单价和套件单价从前面两张表取来，含税单价由公式算出。单面灌胶的灌胶加价填 0，双面填加价。</t>
        </is>
      </c>
    </row>
    <row r="13" ht="32" customHeight="1" s="25">
      <c r="A13" s="29" t="inlineStr">
        <is>
          <t>箱体单价</t>
        </is>
      </c>
      <c r="B13" s="30" t="inlineStr">
        <is>
          <t>成本维护人按箱体名称填写含税单价。名称要和核算模板里写的一致。</t>
        </is>
      </c>
    </row>
    <row r="14" ht="32" customHeight="1" s="25">
      <c r="A14" s="29" t="inlineStr">
        <is>
          <t>核算模板</t>
        </is>
      </c>
      <c r="B14" s="30" t="inlineStr">
        <is>
          <t>填写某种情报板用哪种模组、每平方米用多少电源、接收卡和辅料，以及含不含立柱、抱箍、支架、控制箱。这里不填模组单价。绿色的「当前模组含税单价」用来核对能否在模组价格表里找到这一行。</t>
        </is>
      </c>
    </row>
    <row r="15" ht="32" customHeight="1" s="25">
      <c r="A15" s="29" t="inlineStr">
        <is>
          <t>供应商</t>
        </is>
      </c>
      <c r="B15" s="30" t="inlineStr">
        <is>
          <t>只给内部留底。报价不读这张表。</t>
        </is>
      </c>
    </row>
  </sheetData>
  <mergeCells count="6">
    <mergeCell ref="A4:B4"/>
    <mergeCell ref="A7:B7"/>
    <mergeCell ref="A5:B5"/>
    <mergeCell ref="A1:B1"/>
    <mergeCell ref="A3:B3"/>
    <mergeCell ref="A6:B6"/>
  </mergeCells>
  <printOptions horizontalCentered="0" verticalCentered="0" headings="0" gridLines="0" gridLinesSet="1"/>
  <pageMargins left="0.5" right="0.5" top="0.6" bottom="0.6" header="0.3" footer="0.3"/>
  <pageSetup orientation="landscape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&amp;L创迪情报板报价数据整理模版</oddHeader>
    <oddFooter>&amp;R第 &amp;P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tabColor rgb="FFC65911"/>
    <outlinePr summaryBelow="1" summaryRight="1"/>
    <pageSetUpPr fitToPage="1"/>
  </sheetPr>
  <dimension ref="A1:E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09375" defaultRowHeight="15" zeroHeight="0" outlineLevelRow="0"/>
  <cols>
    <col width="12" customWidth="1" style="24" min="1" max="1"/>
    <col width="14" customWidth="1" style="24" min="2" max="2"/>
    <col width="16" customWidth="1" style="24" min="3" max="3"/>
    <col width="12" customWidth="1" style="24" min="4" max="6"/>
    <col width="42" customWidth="1" style="24" min="7" max="7"/>
  </cols>
  <sheetData>
    <row r="1" ht="26" customHeight="1" s="25"/>
    <row r="2" ht="32" customHeight="1" s="25">
      <c r="A2" s="24" t="inlineStr">
        <is>
          <t>按灯珠批次分行。单价为含税。同一批次只保留一行有效价；本表不维护是否当前/生效日期。</t>
        </is>
      </c>
    </row>
    <row r="4" ht="36" customHeight="1" s="25">
      <c r="A4" s="45" t="inlineStr">
        <is>
          <t>灯珠批次</t>
        </is>
      </c>
      <c r="B4" s="45" t="inlineStr">
        <is>
          <t>R单价</t>
        </is>
      </c>
      <c r="C4" s="45" t="inlineStr">
        <is>
          <t>G单价</t>
        </is>
      </c>
      <c r="D4" s="45" t="inlineStr">
        <is>
          <t>B单价</t>
        </is>
      </c>
      <c r="E4" s="45" t="inlineStr">
        <is>
          <t>备注</t>
        </is>
      </c>
    </row>
    <row r="5" ht="15" customHeight="1" s="25">
      <c r="A5" s="34" t="inlineStr">
        <is>
          <t>批次甲</t>
        </is>
      </c>
      <c r="B5" s="36" t="n">
        <v>0.1</v>
      </c>
      <c r="C5" s="36" t="n">
        <v>0.2</v>
      </c>
      <c r="D5" s="36" t="n">
        <v>0.3</v>
      </c>
      <c r="E5" s="34" t="inlineStr">
        <is>
          <t>示例行。请改成真实单价，或整行删除。</t>
        </is>
      </c>
    </row>
    <row r="6" ht="15" customHeight="1" s="25">
      <c r="A6" s="37" t="n"/>
      <c r="B6" s="39" t="n"/>
      <c r="C6" s="39" t="n"/>
      <c r="D6" s="39" t="n"/>
      <c r="E6" s="37" t="n"/>
    </row>
    <row r="7" ht="15" customHeight="1" s="25">
      <c r="A7" s="37" t="n"/>
      <c r="B7" s="39" t="n"/>
      <c r="C7" s="39" t="n"/>
      <c r="D7" s="39" t="n"/>
      <c r="E7" s="37" t="n"/>
    </row>
    <row r="8" ht="15" customHeight="1" s="25">
      <c r="A8" s="37" t="n"/>
      <c r="B8" s="39" t="n"/>
      <c r="C8" s="39" t="n"/>
      <c r="D8" s="39" t="n"/>
      <c r="E8" s="37" t="n"/>
    </row>
    <row r="9" ht="15" customHeight="1" s="25">
      <c r="A9" s="37" t="n"/>
      <c r="B9" s="39" t="n"/>
      <c r="C9" s="39" t="n"/>
      <c r="D9" s="39" t="n"/>
      <c r="E9" s="37" t="n"/>
    </row>
    <row r="10" ht="15" customHeight="1" s="25">
      <c r="A10" s="37" t="n"/>
      <c r="B10" s="39" t="n"/>
      <c r="C10" s="39" t="n"/>
      <c r="D10" s="39" t="n"/>
      <c r="E10" s="37" t="n"/>
    </row>
    <row r="11" ht="15" customHeight="1" s="25">
      <c r="A11" s="37" t="n"/>
      <c r="B11" s="39" t="n"/>
      <c r="C11" s="39" t="n"/>
      <c r="D11" s="39" t="n"/>
      <c r="E11" s="37" t="n"/>
    </row>
    <row r="12" ht="15" customHeight="1" s="25">
      <c r="A12" s="37" t="n"/>
      <c r="B12" s="39" t="n"/>
      <c r="C12" s="39" t="n"/>
      <c r="D12" s="39" t="n"/>
      <c r="E12" s="37" t="n"/>
    </row>
    <row r="13" ht="15" customHeight="1" s="25">
      <c r="A13" s="37" t="n"/>
      <c r="B13" s="39" t="n"/>
      <c r="C13" s="39" t="n"/>
      <c r="D13" s="39" t="n"/>
      <c r="E13" s="37" t="n"/>
    </row>
    <row r="14" ht="15" customHeight="1" s="25">
      <c r="A14" s="37" t="n"/>
      <c r="B14" s="39" t="n"/>
      <c r="C14" s="39" t="n"/>
      <c r="D14" s="39" t="n"/>
      <c r="E14" s="37" t="n"/>
    </row>
    <row r="15" ht="15" customHeight="1" s="25">
      <c r="A15" s="37" t="n"/>
      <c r="B15" s="39" t="n"/>
      <c r="C15" s="39" t="n"/>
      <c r="D15" s="39" t="n"/>
      <c r="E15" s="37" t="n"/>
    </row>
    <row r="16" ht="15" customHeight="1" s="25">
      <c r="A16" s="37" t="n"/>
      <c r="B16" s="39" t="n"/>
      <c r="C16" s="39" t="n"/>
      <c r="D16" s="39" t="n"/>
      <c r="E16" s="37" t="n"/>
    </row>
    <row r="17" ht="15" customHeight="1" s="25">
      <c r="A17" s="37" t="n"/>
      <c r="B17" s="39" t="n"/>
      <c r="C17" s="39" t="n"/>
      <c r="D17" s="39" t="n"/>
      <c r="E17" s="37" t="n"/>
    </row>
    <row r="18" ht="15" customHeight="1" s="25">
      <c r="A18" s="37" t="n"/>
      <c r="B18" s="39" t="n"/>
      <c r="C18" s="39" t="n"/>
      <c r="D18" s="39" t="n"/>
      <c r="E18" s="37" t="n"/>
    </row>
    <row r="19" ht="15" customHeight="1" s="25">
      <c r="A19" s="37" t="n"/>
      <c r="B19" s="39" t="n"/>
      <c r="C19" s="39" t="n"/>
      <c r="D19" s="39" t="n"/>
      <c r="E19" s="37" t="n"/>
    </row>
    <row r="20" ht="15" customHeight="1" s="25">
      <c r="A20" s="37" t="n"/>
      <c r="B20" s="39" t="n"/>
      <c r="C20" s="39" t="n"/>
      <c r="D20" s="39" t="n"/>
      <c r="E20" s="37" t="n"/>
    </row>
  </sheetData>
  <autoFilter ref="A4:G40"/>
  <mergeCells count="2">
    <mergeCell ref="A2:E2"/>
    <mergeCell ref="A1:E1"/>
  </mergeCells>
  <dataValidations count="1">
    <dataValidation sqref="A5:A40" showDropDown="0" showInputMessage="0" showErrorMessage="0" allowBlank="1" errorTitle="填写范围" error="请从列表中选择" type="list" operator="between">
      <formula1>"是,否"</formula1>
      <formula2>0</formula2>
    </dataValidation>
  </dataValidations>
  <printOptions horizontalCentered="0" verticalCentered="0" headings="0" gridLines="0" gridLinesSet="1"/>
  <pageMargins left="0.5" right="0.5" top="0.6" bottom="0.6" header="0.3" footer="0.3"/>
  <pageSetup orientation="landscape" paperSize="9" scale="100" fitToHeight="0" fitToWidth="1" firstPageNumber="0" useFirstPageNumber="0" pageOrder="downThenOver" blackAndWhite="0" draft="0" horizontalDpi="300" verticalDpi="300" copies="1"/>
  <headerFooter differentOddEven="0" differentFirst="0">
    <oddHeader>&amp;L灯珠单价</oddHeader>
    <oddFooter>&amp;L蓝色字填写，绿色字为公式&amp;R第 &amp;P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tabColor rgb="FF548235"/>
    <outlinePr summaryBelow="1" summaryRight="1"/>
    <pageSetUpPr fitToPage="1"/>
  </sheetPr>
  <dimension ref="A1:H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09375" defaultRowHeight="15" zeroHeight="0" outlineLevelRow="0"/>
  <cols>
    <col width="12" customWidth="1" style="24" min="1" max="1"/>
    <col width="14" customWidth="1" style="24" min="2" max="3"/>
    <col width="12" customWidth="1" style="24" min="4" max="8"/>
    <col width="14" customWidth="1" style="24" min="9" max="9"/>
    <col width="42" customWidth="1" style="24" min="10" max="10"/>
  </cols>
  <sheetData>
    <row r="1" ht="26" customHeight="1" s="25"/>
    <row r="2" ht="32" customHeight="1" s="25">
      <c r="A2" s="24" t="inlineStr">
        <is>
          <t>按点间距和工艺分行。绿色套件合计不要手改。本表不维护是否当前/生效日期。</t>
        </is>
      </c>
    </row>
    <row r="4" ht="36" customHeight="1" s="25">
      <c r="A4" s="45" t="inlineStr">
        <is>
          <t>点间距_mm</t>
        </is>
      </c>
      <c r="B4" s="45" t="inlineStr">
        <is>
          <t>工艺</t>
        </is>
      </c>
      <c r="C4" s="45" t="inlineStr">
        <is>
          <t>底壳单价</t>
        </is>
      </c>
      <c r="D4" s="45" t="inlineStr">
        <is>
          <t>面罩数量</t>
        </is>
      </c>
      <c r="E4" s="45" t="inlineStr">
        <is>
          <t>面罩单价</t>
        </is>
      </c>
      <c r="F4" s="45" t="inlineStr">
        <is>
          <t>胶圈单价</t>
        </is>
      </c>
      <c r="G4" s="45" t="inlineStr">
        <is>
          <t>套件合计</t>
        </is>
      </c>
      <c r="H4" s="45" t="inlineStr">
        <is>
          <t>备注</t>
        </is>
      </c>
    </row>
    <row r="5" ht="15" customHeight="1" s="25">
      <c r="A5" s="40" t="n">
        <v>25</v>
      </c>
      <c r="B5" s="34" t="inlineStr">
        <is>
          <t>贴片</t>
        </is>
      </c>
      <c r="C5" s="36" t="n">
        <v>10</v>
      </c>
      <c r="D5" s="41" t="n">
        <v>1</v>
      </c>
      <c r="E5" s="36" t="n">
        <v>5</v>
      </c>
      <c r="F5" s="36" t="n">
        <v>2</v>
      </c>
      <c r="G5" s="42">
        <f>IF(A5="","",C5+D5*E5+F5)</f>
        <v/>
      </c>
      <c r="H5" s="34" t="inlineStr">
        <is>
          <t>示例行。请改成真实单价，或整行删除。</t>
        </is>
      </c>
    </row>
    <row r="6" ht="15" customHeight="1" s="25">
      <c r="A6" s="43" t="n"/>
      <c r="B6" s="37" t="n"/>
      <c r="C6" s="39" t="n"/>
      <c r="D6" s="44" t="n"/>
      <c r="E6" s="39" t="n"/>
      <c r="F6" s="39" t="n"/>
      <c r="G6" s="42">
        <f>IF(A6="","",C6+D6*E6+F6)</f>
        <v/>
      </c>
      <c r="H6" s="37" t="n"/>
    </row>
    <row r="7" ht="15" customHeight="1" s="25">
      <c r="A7" s="43" t="n"/>
      <c r="B7" s="37" t="n"/>
      <c r="C7" s="39" t="n"/>
      <c r="D7" s="44" t="n"/>
      <c r="E7" s="39" t="n"/>
      <c r="F7" s="39" t="n"/>
      <c r="G7" s="42">
        <f>IF(C7="","",E7+F7*G7+H7)</f>
        <v/>
      </c>
      <c r="H7" s="37" t="n"/>
    </row>
    <row r="8" ht="15" customHeight="1" s="25">
      <c r="A8" s="43" t="n"/>
      <c r="B8" s="37" t="n"/>
      <c r="C8" s="39" t="n"/>
      <c r="D8" s="44" t="n"/>
      <c r="E8" s="39" t="n"/>
      <c r="F8" s="39" t="n"/>
      <c r="G8" s="42">
        <f>IF(C8="","",E8+F8*G8+H8)</f>
        <v/>
      </c>
      <c r="H8" s="37" t="n"/>
    </row>
    <row r="9" ht="15" customHeight="1" s="25">
      <c r="A9" s="43" t="n"/>
      <c r="B9" s="37" t="n"/>
      <c r="C9" s="39" t="n"/>
      <c r="D9" s="44" t="n"/>
      <c r="E9" s="39" t="n"/>
      <c r="F9" s="39" t="n"/>
      <c r="G9" s="42">
        <f>IF(C9="","",E9+F9*G9+H9)</f>
        <v/>
      </c>
      <c r="H9" s="37" t="n"/>
    </row>
    <row r="10" ht="15" customHeight="1" s="25">
      <c r="A10" s="43" t="n"/>
      <c r="B10" s="37" t="n"/>
      <c r="C10" s="39" t="n"/>
      <c r="D10" s="44" t="n"/>
      <c r="E10" s="39" t="n"/>
      <c r="F10" s="39" t="n"/>
      <c r="G10" s="42">
        <f>IF(C10="","",E10+F10*G10+H10)</f>
        <v/>
      </c>
      <c r="H10" s="37" t="n"/>
    </row>
    <row r="11" ht="15" customHeight="1" s="25">
      <c r="A11" s="43" t="n"/>
      <c r="B11" s="37" t="n"/>
      <c r="C11" s="39" t="n"/>
      <c r="D11" s="44" t="n"/>
      <c r="E11" s="39" t="n"/>
      <c r="F11" s="39" t="n"/>
      <c r="G11" s="42">
        <f>IF(C11="","",E11+F11*G11+H11)</f>
        <v/>
      </c>
      <c r="H11" s="37" t="n"/>
    </row>
    <row r="12" ht="15" customHeight="1" s="25">
      <c r="A12" s="43" t="n"/>
      <c r="B12" s="37" t="n"/>
      <c r="C12" s="39" t="n"/>
      <c r="D12" s="44" t="n"/>
      <c r="E12" s="39" t="n"/>
      <c r="F12" s="39" t="n"/>
      <c r="G12" s="42">
        <f>IF(C12="","",E12+F12*G12+H12)</f>
        <v/>
      </c>
      <c r="H12" s="37" t="n"/>
    </row>
    <row r="13" ht="15" customHeight="1" s="25">
      <c r="A13" s="43" t="n"/>
      <c r="B13" s="37" t="n"/>
      <c r="C13" s="39" t="n"/>
      <c r="D13" s="44" t="n"/>
      <c r="E13" s="39" t="n"/>
      <c r="F13" s="39" t="n"/>
      <c r="G13" s="42">
        <f>IF(C13="","",E13+F13*G13+H13)</f>
        <v/>
      </c>
      <c r="H13" s="37" t="n"/>
    </row>
    <row r="14" ht="15" customHeight="1" s="25">
      <c r="A14" s="43" t="n"/>
      <c r="B14" s="37" t="n"/>
      <c r="C14" s="39" t="n"/>
      <c r="D14" s="44" t="n"/>
      <c r="E14" s="39" t="n"/>
      <c r="F14" s="39" t="n"/>
      <c r="G14" s="42">
        <f>IF(C14="","",E14+F14*G14+H14)</f>
        <v/>
      </c>
      <c r="H14" s="37" t="n"/>
    </row>
    <row r="15" ht="15" customHeight="1" s="25">
      <c r="A15" s="43" t="n"/>
      <c r="B15" s="37" t="n"/>
      <c r="C15" s="39" t="n"/>
      <c r="D15" s="44" t="n"/>
      <c r="E15" s="39" t="n"/>
      <c r="F15" s="39" t="n"/>
      <c r="G15" s="42">
        <f>IF(C15="","",E15+F15*G15+H15)</f>
        <v/>
      </c>
      <c r="H15" s="37" t="n"/>
    </row>
    <row r="16" ht="15" customHeight="1" s="25">
      <c r="A16" s="43" t="n"/>
      <c r="B16" s="37" t="n"/>
      <c r="C16" s="39" t="n"/>
      <c r="D16" s="44" t="n"/>
      <c r="E16" s="39" t="n"/>
      <c r="F16" s="39" t="n"/>
      <c r="G16" s="42">
        <f>IF(C16="","",E16+F16*G16+H16)</f>
        <v/>
      </c>
      <c r="H16" s="37" t="n"/>
    </row>
    <row r="17" ht="15" customHeight="1" s="25">
      <c r="A17" s="43" t="n"/>
      <c r="B17" s="37" t="n"/>
      <c r="C17" s="39" t="n"/>
      <c r="D17" s="44" t="n"/>
      <c r="E17" s="39" t="n"/>
      <c r="F17" s="39" t="n"/>
      <c r="G17" s="42">
        <f>IF(C17="","",E17+F17*G17+H17)</f>
        <v/>
      </c>
      <c r="H17" s="37" t="n"/>
    </row>
    <row r="18" ht="15" customHeight="1" s="25">
      <c r="A18" s="43" t="n"/>
      <c r="B18" s="37" t="n"/>
      <c r="C18" s="39" t="n"/>
      <c r="D18" s="44" t="n"/>
      <c r="E18" s="39" t="n"/>
      <c r="F18" s="39" t="n"/>
      <c r="G18" s="42">
        <f>IF(C18="","",E18+F18*G18+H18)</f>
        <v/>
      </c>
      <c r="H18" s="37" t="n"/>
    </row>
    <row r="19" ht="15" customHeight="1" s="25">
      <c r="A19" s="43" t="n"/>
      <c r="B19" s="37" t="n"/>
      <c r="C19" s="39" t="n"/>
      <c r="D19" s="44" t="n"/>
      <c r="E19" s="39" t="n"/>
      <c r="F19" s="39" t="n"/>
      <c r="G19" s="42">
        <f>IF(C19="","",E19+F19*G19+H19)</f>
        <v/>
      </c>
      <c r="H19" s="37" t="n"/>
    </row>
    <row r="20" ht="15" customHeight="1" s="25">
      <c r="A20" s="43" t="n"/>
      <c r="B20" s="37" t="n"/>
      <c r="C20" s="39" t="n"/>
      <c r="D20" s="44" t="n"/>
      <c r="E20" s="39" t="n"/>
      <c r="F20" s="39" t="n"/>
      <c r="G20" s="42">
        <f>IF(C20="","",E20+F20*G20+H20)</f>
        <v/>
      </c>
      <c r="H20" s="37" t="n"/>
    </row>
  </sheetData>
  <autoFilter ref="A4:J40"/>
  <mergeCells count="2">
    <mergeCell ref="A2:H2"/>
    <mergeCell ref="A1:H1"/>
  </mergeCells>
  <dataValidations count="2">
    <dataValidation sqref="A5:A40" showDropDown="0" showInputMessage="0" showErrorMessage="0" allowBlank="1" errorTitle="填写范围" error="请从列表中选择" type="list" operator="between">
      <formula1>"是,否"</formula1>
      <formula2>0</formula2>
    </dataValidation>
    <dataValidation sqref="D5:D40" showDropDown="0" showInputMessage="0" showErrorMessage="0" allowBlank="1" errorTitle="填写范围" error="请从列表中选择" type="list" operator="between">
      <formula1>"贴片,直插"</formula1>
      <formula2>0</formula2>
    </dataValidation>
  </dataValidations>
  <printOptions horizontalCentered="0" verticalCentered="0" headings="0" gridLines="0" gridLinesSet="1"/>
  <pageMargins left="0.5" right="0.5" top="0.6" bottom="0.6" header="0.3" footer="0.3"/>
  <pageSetup orientation="landscape" paperSize="9" scale="100" fitToHeight="0" fitToWidth="1" firstPageNumber="0" useFirstPageNumber="0" pageOrder="downThenOver" blackAndWhite="0" draft="0" horizontalDpi="300" verticalDpi="300" copies="1"/>
  <headerFooter differentOddEven="0" differentFirst="0">
    <oddHeader>&amp;L套件单价</oddHeader>
    <oddFooter>&amp;L蓝色字填写，绿色字为公式&amp;R第 &amp;P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tabColor rgb="FF1F4E79"/>
    <outlinePr summaryBelow="1" summaryRight="1"/>
    <pageSetUpPr fitToPage="1"/>
  </sheetPr>
  <dimension ref="A1:AC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09375" defaultRowHeight="15" zeroHeight="0" outlineLevelRow="0"/>
  <cols>
    <col width="12" customWidth="1" style="24" min="1" max="1"/>
    <col width="14" customWidth="1" style="24" min="2" max="3"/>
    <col width="12" customWidth="1" style="24" min="4" max="4"/>
    <col width="16" customWidth="1" style="24" min="5" max="7"/>
    <col width="14" customWidth="1" style="24" min="8" max="9"/>
    <col width="16" customWidth="1" style="24" min="10" max="10"/>
    <col width="10" customWidth="1" style="24" min="11" max="11"/>
    <col width="14" customWidth="1" style="24" min="12" max="12"/>
    <col width="10" customWidth="1" style="24" min="13" max="16"/>
    <col width="12" customWidth="1" style="24" min="17" max="23"/>
    <col width="14" customWidth="1" style="24" min="24" max="24"/>
    <col width="46" customWidth="1" style="24" min="25" max="25"/>
  </cols>
  <sheetData>
    <row r="1" ht="26" customHeight="1" s="25"/>
    <row r="2" ht="32" customHeight="1" s="25">
      <c r="A2" s="61" t="inlineStr">
        <is>
          <t>一行一个规格。单面与双面灌胶同属一行：填加工费和灌胶加价后，含税单价_单面＝灯珠合计＋加工费＋套件单价；含税单价_双面＝单面＋灌胶加价。R/G/B单价从「灯珠单价」按批次取，套件单价从「套件单价」按点间距和工艺取。本表不维护是否当前/生效日期。</t>
        </is>
      </c>
    </row>
    <row r="4" ht="36" customHeight="1" s="25">
      <c r="A4" s="62" t="inlineStr">
        <is>
          <t>名称</t>
        </is>
      </c>
      <c r="B4" s="62" t="inlineStr">
        <is>
          <t>点间距_mm</t>
        </is>
      </c>
      <c r="C4" s="62" t="inlineStr">
        <is>
          <t>配比</t>
        </is>
      </c>
      <c r="D4" s="62" t="inlineStr">
        <is>
          <t>灯珠芯片</t>
        </is>
      </c>
      <c r="E4" s="62" t="inlineStr">
        <is>
          <t>驱动芯片</t>
        </is>
      </c>
      <c r="F4" s="62" t="inlineStr">
        <is>
          <t>亮度_cd每平方米</t>
        </is>
      </c>
      <c r="G4" s="62" t="inlineStr">
        <is>
          <t>模组宽_mm</t>
        </is>
      </c>
      <c r="H4" s="62" t="inlineStr">
        <is>
          <t>模组高_mm</t>
        </is>
      </c>
      <c r="I4" s="62" t="inlineStr">
        <is>
          <t>色品</t>
        </is>
      </c>
      <c r="J4" s="62" t="inlineStr">
        <is>
          <t>灯珠批次</t>
        </is>
      </c>
      <c r="K4" s="62" t="inlineStr">
        <is>
          <t>工艺</t>
        </is>
      </c>
      <c r="L4" s="62" t="inlineStr">
        <is>
          <t>R数量</t>
        </is>
      </c>
      <c r="M4" s="62" t="inlineStr">
        <is>
          <t>G数量</t>
        </is>
      </c>
      <c r="N4" s="62" t="inlineStr">
        <is>
          <t>B数量</t>
        </is>
      </c>
      <c r="O4" s="62" t="inlineStr">
        <is>
          <t>R单价</t>
        </is>
      </c>
      <c r="P4" s="62" t="inlineStr">
        <is>
          <t>G单价</t>
        </is>
      </c>
      <c r="Q4" s="62" t="inlineStr">
        <is>
          <t>B单价</t>
        </is>
      </c>
      <c r="R4" s="62" t="inlineStr">
        <is>
          <t>灯珠合计</t>
        </is>
      </c>
      <c r="S4" s="62" t="inlineStr">
        <is>
          <t>加工费</t>
        </is>
      </c>
      <c r="T4" s="62" t="inlineStr">
        <is>
          <t>套件单价</t>
        </is>
      </c>
      <c r="U4" s="62" t="inlineStr">
        <is>
          <t>灌胶加价</t>
        </is>
      </c>
      <c r="V4" s="62" t="inlineStr">
        <is>
          <t>含税单价_单面</t>
        </is>
      </c>
      <c r="W4" s="62" t="inlineStr">
        <is>
          <t>含税单价_双面</t>
        </is>
      </c>
      <c r="X4" s="62" t="inlineStr">
        <is>
          <t>备注</t>
        </is>
      </c>
    </row>
    <row r="5" ht="15" customHeight="1" s="25">
      <c r="A5" s="63" t="inlineStr">
        <is>
          <t>P25</t>
        </is>
      </c>
      <c r="B5" s="64" t="n">
        <v>25</v>
      </c>
      <c r="C5" s="65" t="inlineStr">
        <is>
          <t>2R1G</t>
        </is>
      </c>
      <c r="D5" s="65" t="inlineStr">
        <is>
          <t>填写灯珠芯片</t>
        </is>
      </c>
      <c r="E5" s="65" t="inlineStr">
        <is>
          <t>填写驱动芯片</t>
        </is>
      </c>
      <c r="F5" s="66" t="n">
        <v>8000</v>
      </c>
      <c r="G5" s="67" t="n">
        <v>200</v>
      </c>
      <c r="H5" s="67" t="n">
        <v>200</v>
      </c>
      <c r="I5" s="65" t="inlineStr">
        <is>
          <t>黄色</t>
        </is>
      </c>
      <c r="J5" s="65" t="inlineStr">
        <is>
          <t>批次甲</t>
        </is>
      </c>
      <c r="K5" s="65" t="inlineStr">
        <is>
          <t>贴片</t>
        </is>
      </c>
      <c r="L5" s="65" t="n">
        <v>128</v>
      </c>
      <c r="M5" s="68" t="n">
        <v>64</v>
      </c>
      <c r="N5" s="68" t="n">
        <v>0</v>
      </c>
      <c r="O5" s="69">
        <f>IF(J5="","",SUMIFS(灯珠单价!B:B,灯珠单价!A:A,J5))</f>
        <v/>
      </c>
      <c r="P5" s="70">
        <f>IF(J5="","",SUMIFS(灯珠单价!C:C,灯珠单价!A:A,J5))</f>
        <v/>
      </c>
      <c r="Q5" s="70">
        <f>IF(J5="","",SUMIFS(灯珠单价!D:D,灯珠单价!A:A,J5))</f>
        <v/>
      </c>
      <c r="R5" s="70">
        <f>IF(B5="","",L5*O5+M5*P5+N5*Q5)</f>
        <v/>
      </c>
      <c r="S5" s="71" t="n">
        <v>50</v>
      </c>
      <c r="T5" s="70">
        <f>IF(B5="","",SUMIFS(套件单价!G:G,套件单价!A:A,B5,套件单价!B:B,K5))</f>
        <v/>
      </c>
      <c r="U5" s="71" t="n">
        <v>3</v>
      </c>
      <c r="V5" s="70">
        <f>IF(B5="","",R5+S5+T5)</f>
        <v/>
      </c>
      <c r="W5" s="70">
        <f>IF(B5="","",V5+U5)</f>
        <v/>
      </c>
      <c r="X5" s="65" t="inlineStr">
        <is>
          <t>示例行。灯珠批次、点间距、工艺须与前两张表示例一致，才能取出单价。单面/双面同属此行。</t>
        </is>
      </c>
    </row>
    <row r="6" ht="15" customHeight="1" s="25">
      <c r="A6" s="72" t="n"/>
      <c r="B6" s="73" t="n"/>
      <c r="C6" s="74" t="n"/>
      <c r="D6" s="74" t="n"/>
      <c r="E6" s="74" t="n"/>
      <c r="F6" s="75" t="n"/>
      <c r="G6" s="76" t="n"/>
      <c r="H6" s="76" t="n"/>
      <c r="I6" s="74" t="n"/>
      <c r="J6" s="74" t="n"/>
      <c r="K6" s="74" t="n"/>
      <c r="L6" s="74" t="n"/>
      <c r="M6" s="77" t="n"/>
      <c r="N6" s="77" t="n"/>
      <c r="O6" s="77" t="n"/>
      <c r="P6" s="78" t="n"/>
      <c r="Q6" s="78" t="n"/>
      <c r="R6" s="78" t="n"/>
      <c r="S6" s="78" t="n"/>
      <c r="T6" s="78" t="n"/>
      <c r="U6" s="78" t="n"/>
      <c r="V6" s="78" t="n"/>
      <c r="W6" s="78" t="n"/>
      <c r="X6" s="74" t="n"/>
      <c r="Y6" s="72" t="n"/>
      <c r="Z6" s="72" t="n"/>
      <c r="AA6" s="72" t="n"/>
      <c r="AB6" s="72" t="n"/>
      <c r="AC6" s="72" t="n"/>
    </row>
    <row r="7" ht="15" customHeight="1" s="25">
      <c r="A7" s="72" t="n"/>
      <c r="B7" s="73" t="n"/>
      <c r="C7" s="74" t="n"/>
      <c r="D7" s="74" t="n"/>
      <c r="E7" s="74" t="n"/>
      <c r="F7" s="75" t="n"/>
      <c r="G7" s="76" t="n"/>
      <c r="H7" s="76" t="n"/>
      <c r="I7" s="74" t="n"/>
      <c r="J7" s="74" t="n"/>
      <c r="K7" s="74" t="n"/>
      <c r="L7" s="74" t="n"/>
      <c r="M7" s="77" t="n"/>
      <c r="N7" s="77" t="n"/>
      <c r="O7" s="77" t="n"/>
      <c r="P7" s="78" t="n"/>
      <c r="Q7" s="78" t="n"/>
      <c r="R7" s="78" t="n"/>
      <c r="S7" s="78" t="n"/>
      <c r="T7" s="78" t="n"/>
      <c r="U7" s="78" t="n"/>
      <c r="V7" s="78" t="n"/>
      <c r="W7" s="78" t="n"/>
      <c r="X7" s="74" t="n"/>
      <c r="Y7" s="72" t="n"/>
      <c r="Z7" s="72" t="n"/>
      <c r="AA7" s="72" t="n"/>
      <c r="AB7" s="72" t="n"/>
      <c r="AC7" s="72" t="n"/>
    </row>
    <row r="8" ht="15" customHeight="1" s="25">
      <c r="A8" s="72" t="n"/>
      <c r="B8" s="73" t="n"/>
      <c r="C8" s="74" t="n"/>
      <c r="D8" s="74" t="n"/>
      <c r="E8" s="74" t="n"/>
      <c r="F8" s="75" t="n"/>
      <c r="G8" s="76" t="n"/>
      <c r="H8" s="76" t="n"/>
      <c r="I8" s="74" t="n"/>
      <c r="J8" s="74" t="n"/>
      <c r="K8" s="74" t="n"/>
      <c r="L8" s="74" t="n"/>
      <c r="M8" s="77" t="n"/>
      <c r="N8" s="77" t="n"/>
      <c r="O8" s="77" t="n"/>
      <c r="P8" s="78" t="n"/>
      <c r="Q8" s="78" t="n"/>
      <c r="R8" s="78" t="n"/>
      <c r="S8" s="78" t="n"/>
      <c r="T8" s="78" t="n"/>
      <c r="U8" s="78" t="n"/>
      <c r="V8" s="78" t="n"/>
      <c r="W8" s="78" t="n"/>
      <c r="X8" s="74" t="n"/>
      <c r="Y8" s="72" t="n"/>
      <c r="Z8" s="72" t="n"/>
      <c r="AA8" s="72" t="n"/>
      <c r="AB8" s="72" t="n"/>
      <c r="AC8" s="72" t="n"/>
    </row>
    <row r="9" ht="15" customHeight="1" s="25">
      <c r="A9" s="72" t="n"/>
      <c r="B9" s="73" t="n"/>
      <c r="C9" s="74" t="n"/>
      <c r="D9" s="74" t="n"/>
      <c r="E9" s="74" t="n"/>
      <c r="F9" s="75" t="n"/>
      <c r="G9" s="76" t="n"/>
      <c r="H9" s="76" t="n"/>
      <c r="I9" s="74" t="n"/>
      <c r="J9" s="74" t="n"/>
      <c r="K9" s="74" t="n"/>
      <c r="L9" s="74" t="n"/>
      <c r="M9" s="77" t="n"/>
      <c r="N9" s="77" t="n"/>
      <c r="O9" s="77" t="n"/>
      <c r="P9" s="78" t="n"/>
      <c r="Q9" s="78" t="n"/>
      <c r="R9" s="78" t="n"/>
      <c r="S9" s="78" t="n"/>
      <c r="T9" s="78" t="n"/>
      <c r="U9" s="78" t="n"/>
      <c r="V9" s="78" t="n"/>
      <c r="W9" s="78" t="n"/>
      <c r="X9" s="74" t="n"/>
      <c r="Y9" s="72" t="n"/>
      <c r="Z9" s="72" t="n"/>
      <c r="AA9" s="72" t="n"/>
      <c r="AB9" s="72" t="n"/>
      <c r="AC9" s="72" t="n"/>
    </row>
    <row r="10" ht="15" customHeight="1" s="25">
      <c r="A10" s="72" t="n"/>
      <c r="B10" s="73" t="n"/>
      <c r="C10" s="74" t="n"/>
      <c r="D10" s="74" t="n"/>
      <c r="E10" s="74" t="n"/>
      <c r="F10" s="75" t="n"/>
      <c r="G10" s="76" t="n"/>
      <c r="H10" s="76" t="n"/>
      <c r="I10" s="74" t="n"/>
      <c r="J10" s="74" t="n"/>
      <c r="K10" s="74" t="n"/>
      <c r="L10" s="74" t="n"/>
      <c r="M10" s="77" t="n"/>
      <c r="N10" s="77" t="n"/>
      <c r="O10" s="77" t="n"/>
      <c r="P10" s="78" t="n"/>
      <c r="Q10" s="78" t="n"/>
      <c r="R10" s="78" t="n"/>
      <c r="S10" s="78" t="n"/>
      <c r="T10" s="78" t="n"/>
      <c r="U10" s="78" t="n"/>
      <c r="V10" s="78" t="n"/>
      <c r="W10" s="78" t="n"/>
      <c r="X10" s="74" t="n"/>
      <c r="Y10" s="72" t="n"/>
      <c r="Z10" s="72" t="n"/>
      <c r="AA10" s="72" t="n"/>
      <c r="AB10" s="72" t="n"/>
      <c r="AC10" s="72" t="n"/>
    </row>
    <row r="11" ht="15" customHeight="1" s="25">
      <c r="A11" s="72" t="n"/>
      <c r="B11" s="73" t="n"/>
      <c r="C11" s="74" t="n"/>
      <c r="D11" s="74" t="n"/>
      <c r="E11" s="74" t="n"/>
      <c r="F11" s="75" t="n"/>
      <c r="G11" s="76" t="n"/>
      <c r="H11" s="76" t="n"/>
      <c r="I11" s="74" t="n"/>
      <c r="J11" s="74" t="n"/>
      <c r="K11" s="74" t="n"/>
      <c r="L11" s="74" t="n"/>
      <c r="M11" s="77" t="n"/>
      <c r="N11" s="77" t="n"/>
      <c r="O11" s="77" t="n"/>
      <c r="P11" s="78" t="n"/>
      <c r="Q11" s="78" t="n"/>
      <c r="R11" s="78" t="n"/>
      <c r="S11" s="78" t="n"/>
      <c r="T11" s="78" t="n"/>
      <c r="U11" s="78" t="n"/>
      <c r="V11" s="78" t="n"/>
      <c r="W11" s="78" t="n"/>
      <c r="X11" s="74" t="n"/>
      <c r="Y11" s="72" t="n"/>
      <c r="Z11" s="72" t="n"/>
      <c r="AA11" s="72" t="n"/>
      <c r="AB11" s="72" t="n"/>
      <c r="AC11" s="72" t="n"/>
    </row>
    <row r="12" ht="15" customHeight="1" s="25">
      <c r="A12" s="72" t="n"/>
      <c r="B12" s="73" t="n"/>
      <c r="C12" s="74" t="n"/>
      <c r="D12" s="74" t="n"/>
      <c r="E12" s="74" t="n"/>
      <c r="F12" s="75" t="n"/>
      <c r="G12" s="76" t="n"/>
      <c r="H12" s="76" t="n"/>
      <c r="I12" s="74" t="n"/>
      <c r="J12" s="74" t="n"/>
      <c r="K12" s="74" t="n"/>
      <c r="L12" s="74" t="n"/>
      <c r="M12" s="77" t="n"/>
      <c r="N12" s="77" t="n"/>
      <c r="O12" s="77" t="n"/>
      <c r="P12" s="78" t="n"/>
      <c r="Q12" s="78" t="n"/>
      <c r="R12" s="78" t="n"/>
      <c r="S12" s="78" t="n"/>
      <c r="T12" s="78" t="n"/>
      <c r="U12" s="78" t="n"/>
      <c r="V12" s="78" t="n"/>
      <c r="W12" s="78" t="n"/>
      <c r="X12" s="74" t="n"/>
      <c r="Y12" s="72" t="n"/>
      <c r="Z12" s="72" t="n"/>
      <c r="AA12" s="72" t="n"/>
      <c r="AB12" s="72" t="n"/>
      <c r="AC12" s="72" t="n"/>
    </row>
    <row r="13" ht="15" customHeight="1" s="25">
      <c r="A13" s="72" t="n"/>
      <c r="B13" s="73" t="n"/>
      <c r="C13" s="74" t="n"/>
      <c r="D13" s="74" t="n"/>
      <c r="E13" s="74" t="n"/>
      <c r="F13" s="75" t="n"/>
      <c r="G13" s="76" t="n"/>
      <c r="H13" s="76" t="n"/>
      <c r="I13" s="74" t="n"/>
      <c r="J13" s="74" t="n"/>
      <c r="K13" s="74" t="n"/>
      <c r="L13" s="74" t="n"/>
      <c r="M13" s="77" t="n"/>
      <c r="N13" s="77" t="n"/>
      <c r="O13" s="77" t="n"/>
      <c r="P13" s="78" t="n"/>
      <c r="Q13" s="78" t="n"/>
      <c r="R13" s="78" t="n"/>
      <c r="S13" s="78" t="n"/>
      <c r="T13" s="78" t="n"/>
      <c r="U13" s="78" t="n"/>
      <c r="V13" s="78" t="n"/>
      <c r="W13" s="78" t="n"/>
      <c r="X13" s="74" t="n"/>
      <c r="Y13" s="72" t="n"/>
      <c r="Z13" s="72" t="n"/>
      <c r="AA13" s="72" t="n"/>
      <c r="AB13" s="72" t="n"/>
      <c r="AC13" s="72" t="n"/>
    </row>
    <row r="14" ht="15" customHeight="1" s="25">
      <c r="A14" s="72" t="n"/>
      <c r="B14" s="73" t="n"/>
      <c r="C14" s="74" t="n"/>
      <c r="D14" s="74" t="n"/>
      <c r="E14" s="74" t="n"/>
      <c r="F14" s="75" t="n"/>
      <c r="G14" s="76" t="n"/>
      <c r="H14" s="76" t="n"/>
      <c r="I14" s="74" t="n"/>
      <c r="J14" s="74" t="n"/>
      <c r="K14" s="74" t="n"/>
      <c r="L14" s="74" t="n"/>
      <c r="M14" s="77" t="n"/>
      <c r="N14" s="77" t="n"/>
      <c r="O14" s="77" t="n"/>
      <c r="P14" s="78" t="n"/>
      <c r="Q14" s="78" t="n"/>
      <c r="R14" s="78" t="n"/>
      <c r="S14" s="78" t="n"/>
      <c r="T14" s="78" t="n"/>
      <c r="U14" s="78" t="n"/>
      <c r="V14" s="78" t="n"/>
      <c r="W14" s="78" t="n"/>
      <c r="X14" s="74" t="n"/>
      <c r="Y14" s="72" t="n"/>
      <c r="Z14" s="72" t="n"/>
      <c r="AA14" s="72" t="n"/>
      <c r="AB14" s="72" t="n"/>
      <c r="AC14" s="72" t="n"/>
    </row>
    <row r="15" ht="15" customHeight="1" s="25">
      <c r="A15" s="72" t="n"/>
      <c r="B15" s="73" t="n"/>
      <c r="C15" s="74" t="n"/>
      <c r="D15" s="74" t="n"/>
      <c r="E15" s="74" t="n"/>
      <c r="F15" s="75" t="n"/>
      <c r="G15" s="76" t="n"/>
      <c r="H15" s="76" t="n"/>
      <c r="I15" s="74" t="n"/>
      <c r="J15" s="74" t="n"/>
      <c r="K15" s="74" t="n"/>
      <c r="L15" s="74" t="n"/>
      <c r="M15" s="77" t="n"/>
      <c r="N15" s="77" t="n"/>
      <c r="O15" s="77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4" t="n"/>
      <c r="Y15" s="72" t="n"/>
      <c r="Z15" s="72" t="n"/>
      <c r="AA15" s="72" t="n"/>
      <c r="AB15" s="72" t="n"/>
      <c r="AC15" s="72" t="n"/>
    </row>
    <row r="16" ht="15" customHeight="1" s="25">
      <c r="A16" s="72" t="n"/>
      <c r="B16" s="73" t="n"/>
      <c r="C16" s="74" t="n"/>
      <c r="D16" s="74" t="n"/>
      <c r="E16" s="74" t="n"/>
      <c r="F16" s="75" t="n"/>
      <c r="G16" s="76" t="n"/>
      <c r="H16" s="76" t="n"/>
      <c r="I16" s="74" t="n"/>
      <c r="J16" s="74" t="n"/>
      <c r="K16" s="74" t="n"/>
      <c r="L16" s="74" t="n"/>
      <c r="M16" s="77" t="n"/>
      <c r="N16" s="77" t="n"/>
      <c r="O16" s="77" t="n"/>
      <c r="P16" s="78" t="n"/>
      <c r="Q16" s="78" t="n"/>
      <c r="R16" s="78" t="n"/>
      <c r="S16" s="78" t="n"/>
      <c r="T16" s="78" t="n"/>
      <c r="U16" s="78" t="n"/>
      <c r="V16" s="78" t="n"/>
      <c r="W16" s="78" t="n"/>
      <c r="X16" s="74" t="n"/>
      <c r="Y16" s="72" t="n"/>
      <c r="Z16" s="72" t="n"/>
      <c r="AA16" s="72" t="n"/>
      <c r="AB16" s="72" t="n"/>
      <c r="AC16" s="72" t="n"/>
    </row>
    <row r="17" ht="15" customHeight="1" s="25">
      <c r="A17" s="72" t="n"/>
      <c r="B17" s="73" t="n"/>
      <c r="C17" s="74" t="n"/>
      <c r="D17" s="74" t="n"/>
      <c r="E17" s="74" t="n"/>
      <c r="F17" s="75" t="n"/>
      <c r="G17" s="76" t="n"/>
      <c r="H17" s="76" t="n"/>
      <c r="I17" s="74" t="n"/>
      <c r="J17" s="74" t="n"/>
      <c r="K17" s="74" t="n"/>
      <c r="L17" s="74" t="n"/>
      <c r="M17" s="77" t="n"/>
      <c r="N17" s="77" t="n"/>
      <c r="O17" s="77" t="n"/>
      <c r="P17" s="78" t="n"/>
      <c r="Q17" s="78" t="n"/>
      <c r="R17" s="78" t="n"/>
      <c r="S17" s="78" t="n"/>
      <c r="T17" s="78" t="n"/>
      <c r="U17" s="78" t="n"/>
      <c r="V17" s="78" t="n"/>
      <c r="W17" s="78" t="n"/>
      <c r="X17" s="74" t="n"/>
      <c r="Y17" s="72" t="n"/>
      <c r="Z17" s="72" t="n"/>
      <c r="AA17" s="72" t="n"/>
      <c r="AB17" s="72" t="n"/>
      <c r="AC17" s="72" t="n"/>
    </row>
    <row r="18" ht="15" customHeight="1" s="25">
      <c r="A18" s="72" t="n"/>
      <c r="B18" s="73" t="n"/>
      <c r="C18" s="74" t="n"/>
      <c r="D18" s="74" t="n"/>
      <c r="E18" s="74" t="n"/>
      <c r="F18" s="75" t="n"/>
      <c r="G18" s="76" t="n"/>
      <c r="H18" s="76" t="n"/>
      <c r="I18" s="74" t="n"/>
      <c r="J18" s="74" t="n"/>
      <c r="K18" s="74" t="n"/>
      <c r="L18" s="74" t="n"/>
      <c r="M18" s="77" t="n"/>
      <c r="N18" s="77" t="n"/>
      <c r="O18" s="77" t="n"/>
      <c r="P18" s="78" t="n"/>
      <c r="Q18" s="78" t="n"/>
      <c r="R18" s="78" t="n"/>
      <c r="S18" s="78" t="n"/>
      <c r="T18" s="78" t="n"/>
      <c r="U18" s="78" t="n"/>
      <c r="V18" s="78" t="n"/>
      <c r="W18" s="78" t="n"/>
      <c r="X18" s="74" t="n"/>
      <c r="Y18" s="72" t="n"/>
      <c r="Z18" s="72" t="n"/>
      <c r="AA18" s="72" t="n"/>
      <c r="AB18" s="72" t="n"/>
      <c r="AC18" s="72" t="n"/>
    </row>
    <row r="19" ht="15" customHeight="1" s="25">
      <c r="A19" s="72" t="n"/>
      <c r="B19" s="73" t="n"/>
      <c r="C19" s="74" t="n"/>
      <c r="D19" s="74" t="n"/>
      <c r="E19" s="74" t="n"/>
      <c r="F19" s="75" t="n"/>
      <c r="G19" s="76" t="n"/>
      <c r="H19" s="76" t="n"/>
      <c r="I19" s="74" t="n"/>
      <c r="J19" s="74" t="n"/>
      <c r="K19" s="74" t="n"/>
      <c r="L19" s="74" t="n"/>
      <c r="M19" s="77" t="n"/>
      <c r="N19" s="77" t="n"/>
      <c r="O19" s="77" t="n"/>
      <c r="P19" s="78" t="n"/>
      <c r="Q19" s="78" t="n"/>
      <c r="R19" s="78" t="n"/>
      <c r="S19" s="78" t="n"/>
      <c r="T19" s="78" t="n"/>
      <c r="U19" s="78" t="n"/>
      <c r="V19" s="78" t="n"/>
      <c r="W19" s="78" t="n"/>
      <c r="X19" s="74" t="n"/>
      <c r="Y19" s="72" t="n"/>
      <c r="Z19" s="72" t="n"/>
      <c r="AA19" s="72" t="n"/>
      <c r="AB19" s="72" t="n"/>
      <c r="AC19" s="72" t="n"/>
    </row>
    <row r="20" ht="15" customHeight="1" s="25">
      <c r="A20" s="72" t="n"/>
      <c r="B20" s="73" t="n"/>
      <c r="C20" s="74" t="n"/>
      <c r="D20" s="74" t="n"/>
      <c r="E20" s="74" t="n"/>
      <c r="F20" s="75" t="n"/>
      <c r="G20" s="76" t="n"/>
      <c r="H20" s="76" t="n"/>
      <c r="I20" s="74" t="n"/>
      <c r="J20" s="74" t="n"/>
      <c r="K20" s="74" t="n"/>
      <c r="L20" s="74" t="n"/>
      <c r="M20" s="77" t="n"/>
      <c r="N20" s="77" t="n"/>
      <c r="O20" s="77" t="n"/>
      <c r="P20" s="78" t="n"/>
      <c r="Q20" s="78" t="n"/>
      <c r="R20" s="78" t="n"/>
      <c r="S20" s="78" t="n"/>
      <c r="T20" s="78" t="n"/>
      <c r="U20" s="78" t="n"/>
      <c r="V20" s="78" t="n"/>
      <c r="W20" s="78" t="n"/>
      <c r="X20" s="74" t="n"/>
      <c r="Y20" s="72" t="n"/>
      <c r="Z20" s="72" t="n"/>
      <c r="AA20" s="72" t="n"/>
      <c r="AB20" s="72" t="n"/>
      <c r="AC20" s="72" t="n"/>
    </row>
    <row r="21">
      <c r="A21" s="72" t="n"/>
      <c r="B21" s="72" t="n"/>
      <c r="C21" s="72" t="n"/>
      <c r="D21" s="72" t="n"/>
      <c r="E21" s="72" t="n"/>
      <c r="F21" s="72" t="n"/>
      <c r="G21" s="72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72" t="n"/>
      <c r="S21" s="72" t="n"/>
      <c r="T21" s="72" t="n"/>
      <c r="U21" s="72" t="n"/>
      <c r="V21" s="72" t="n"/>
      <c r="W21" s="72" t="n"/>
      <c r="X21" s="72" t="n"/>
      <c r="Y21" s="72" t="n"/>
      <c r="Z21" s="72" t="n"/>
      <c r="AA21" s="72" t="n"/>
      <c r="AB21" s="72" t="n"/>
      <c r="AC21" s="72" t="n"/>
    </row>
    <row r="22">
      <c r="A22" s="72" t="n"/>
      <c r="B22" s="72" t="n"/>
      <c r="C22" s="72" t="n"/>
      <c r="D22" s="72" t="n"/>
      <c r="E22" s="72" t="n"/>
      <c r="F22" s="72" t="n"/>
      <c r="G22" s="72" t="n"/>
      <c r="H22" s="72" t="n"/>
      <c r="I22" s="72" t="n"/>
      <c r="J22" s="72" t="n"/>
      <c r="K22" s="72" t="n"/>
      <c r="L22" s="72" t="n"/>
      <c r="M22" s="72" t="n"/>
      <c r="N22" s="72" t="n"/>
      <c r="O22" s="72" t="n"/>
      <c r="P22" s="72" t="n"/>
      <c r="Q22" s="72" t="n"/>
      <c r="R22" s="72" t="n"/>
      <c r="S22" s="72" t="n"/>
      <c r="T22" s="72" t="n"/>
      <c r="U22" s="72" t="n"/>
      <c r="V22" s="72" t="n"/>
      <c r="W22" s="72" t="n"/>
      <c r="X22" s="72" t="n"/>
      <c r="Y22" s="72" t="n"/>
      <c r="Z22" s="72" t="n"/>
      <c r="AA22" s="72" t="n"/>
      <c r="AB22" s="72" t="n"/>
      <c r="AC22" s="72" t="n"/>
    </row>
    <row r="23">
      <c r="A23" s="72" t="n"/>
      <c r="B23" s="72" t="n"/>
      <c r="C23" s="72" t="n"/>
      <c r="D23" s="72" t="n"/>
      <c r="E23" s="72" t="n"/>
      <c r="F23" s="72" t="n"/>
      <c r="G23" s="72" t="n"/>
      <c r="H23" s="72" t="n"/>
      <c r="I23" s="72" t="n"/>
      <c r="J23" s="72" t="n"/>
      <c r="K23" s="72" t="n"/>
      <c r="L23" s="72" t="n"/>
      <c r="M23" s="72" t="n"/>
      <c r="N23" s="72" t="n"/>
      <c r="O23" s="72" t="n"/>
      <c r="P23" s="72" t="n"/>
      <c r="Q23" s="72" t="n"/>
      <c r="R23" s="72" t="n"/>
      <c r="S23" s="72" t="n"/>
      <c r="T23" s="72" t="n"/>
      <c r="U23" s="72" t="n"/>
      <c r="V23" s="72" t="n"/>
      <c r="W23" s="72" t="n"/>
      <c r="X23" s="72" t="n"/>
      <c r="Y23" s="72" t="n"/>
      <c r="Z23" s="72" t="n"/>
      <c r="AA23" s="72" t="n"/>
      <c r="AB23" s="72" t="n"/>
      <c r="AC23" s="72" t="n"/>
    </row>
    <row r="24">
      <c r="A24" s="72" t="n"/>
      <c r="B24" s="72" t="n"/>
      <c r="C24" s="72" t="n"/>
      <c r="D24" s="72" t="n"/>
      <c r="E24" s="72" t="n"/>
      <c r="F24" s="72" t="n"/>
      <c r="G24" s="72" t="n"/>
      <c r="H24" s="72" t="n"/>
      <c r="I24" s="72" t="n"/>
      <c r="J24" s="72" t="n"/>
      <c r="K24" s="72" t="n"/>
      <c r="L24" s="72" t="n"/>
      <c r="M24" s="72" t="n"/>
      <c r="N24" s="72" t="n"/>
      <c r="O24" s="72" t="n"/>
      <c r="P24" s="72" t="n"/>
      <c r="Q24" s="72" t="n"/>
      <c r="R24" s="72" t="n"/>
      <c r="S24" s="72" t="n"/>
      <c r="T24" s="72" t="n"/>
      <c r="U24" s="72" t="n"/>
      <c r="V24" s="72" t="n"/>
      <c r="W24" s="72" t="n"/>
      <c r="X24" s="72" t="n"/>
      <c r="Y24" s="72" t="n"/>
      <c r="Z24" s="72" t="n"/>
      <c r="AA24" s="72" t="n"/>
      <c r="AB24" s="72" t="n"/>
      <c r="AC24" s="72" t="n"/>
    </row>
    <row r="25">
      <c r="A25" s="72" t="n"/>
      <c r="B25" s="72" t="n"/>
      <c r="C25" s="72" t="n"/>
      <c r="D25" s="72" t="n"/>
      <c r="E25" s="72" t="n"/>
      <c r="F25" s="72" t="n"/>
      <c r="G25" s="72" t="n"/>
      <c r="H25" s="72" t="n"/>
      <c r="I25" s="72" t="n"/>
      <c r="J25" s="72" t="n"/>
      <c r="K25" s="72" t="n"/>
      <c r="L25" s="72" t="n"/>
      <c r="M25" s="72" t="n"/>
      <c r="N25" s="72" t="n"/>
      <c r="O25" s="72" t="n"/>
      <c r="P25" s="72" t="n"/>
      <c r="Q25" s="72" t="n"/>
      <c r="R25" s="72" t="n"/>
      <c r="S25" s="72" t="n"/>
      <c r="T25" s="72" t="n"/>
      <c r="U25" s="72" t="n"/>
      <c r="V25" s="72" t="n"/>
      <c r="W25" s="72" t="n"/>
      <c r="X25" s="72" t="n"/>
      <c r="Y25" s="72" t="n"/>
      <c r="Z25" s="72" t="n"/>
      <c r="AA25" s="72" t="n"/>
      <c r="AB25" s="72" t="n"/>
      <c r="AC25" s="72" t="n"/>
    </row>
    <row r="26">
      <c r="A26" s="72" t="n"/>
      <c r="B26" s="72" t="n"/>
      <c r="C26" s="72" t="n"/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  <c r="N26" s="72" t="n"/>
      <c r="O26" s="72" t="n"/>
      <c r="P26" s="72" t="n"/>
      <c r="Q26" s="72" t="n"/>
      <c r="R26" s="72" t="n"/>
      <c r="S26" s="72" t="n"/>
      <c r="T26" s="72" t="n"/>
      <c r="U26" s="72" t="n"/>
      <c r="V26" s="72" t="n"/>
      <c r="W26" s="72" t="n"/>
      <c r="X26" s="72" t="n"/>
      <c r="Y26" s="72" t="n"/>
      <c r="Z26" s="72" t="n"/>
      <c r="AA26" s="72" t="n"/>
      <c r="AB26" s="72" t="n"/>
      <c r="AC26" s="72" t="n"/>
    </row>
    <row r="27">
      <c r="A27" s="72" t="n"/>
      <c r="B27" s="72" t="n"/>
      <c r="C27" s="72" t="n"/>
      <c r="D27" s="72" t="n"/>
      <c r="E27" s="72" t="n"/>
      <c r="F27" s="72" t="n"/>
      <c r="G27" s="72" t="n"/>
      <c r="H27" s="72" t="n"/>
      <c r="I27" s="72" t="n"/>
      <c r="J27" s="72" t="n"/>
      <c r="K27" s="72" t="n"/>
      <c r="L27" s="72" t="n"/>
      <c r="M27" s="72" t="n"/>
      <c r="N27" s="72" t="n"/>
      <c r="O27" s="72" t="n"/>
      <c r="P27" s="72" t="n"/>
      <c r="Q27" s="72" t="n"/>
      <c r="R27" s="72" t="n"/>
      <c r="S27" s="72" t="n"/>
      <c r="T27" s="72" t="n"/>
      <c r="U27" s="72" t="n"/>
      <c r="V27" s="72" t="n"/>
      <c r="W27" s="72" t="n"/>
      <c r="X27" s="72" t="n"/>
      <c r="Y27" s="72" t="n"/>
      <c r="Z27" s="72" t="n"/>
      <c r="AA27" s="72" t="n"/>
      <c r="AB27" s="72" t="n"/>
      <c r="AC27" s="72" t="n"/>
    </row>
    <row r="28">
      <c r="A28" s="72" t="n"/>
      <c r="B28" s="72" t="n"/>
      <c r="C28" s="72" t="n"/>
      <c r="D28" s="72" t="n"/>
      <c r="E28" s="72" t="n"/>
      <c r="F28" s="72" t="n"/>
      <c r="G28" s="72" t="n"/>
      <c r="H28" s="72" t="n"/>
      <c r="I28" s="72" t="n"/>
      <c r="J28" s="72" t="n"/>
      <c r="K28" s="72" t="n"/>
      <c r="L28" s="72" t="n"/>
      <c r="M28" s="72" t="n"/>
      <c r="N28" s="72" t="n"/>
      <c r="O28" s="72" t="n"/>
      <c r="P28" s="72" t="n"/>
      <c r="Q28" s="72" t="n"/>
      <c r="R28" s="72" t="n"/>
      <c r="S28" s="72" t="n"/>
      <c r="T28" s="72" t="n"/>
      <c r="U28" s="72" t="n"/>
      <c r="V28" s="72" t="n"/>
      <c r="W28" s="72" t="n"/>
      <c r="X28" s="72" t="n"/>
      <c r="Y28" s="72" t="n"/>
      <c r="Z28" s="72" t="n"/>
      <c r="AA28" s="72" t="n"/>
      <c r="AB28" s="72" t="n"/>
      <c r="AC28" s="72" t="n"/>
    </row>
    <row r="29">
      <c r="A29" s="72" t="n"/>
      <c r="B29" s="72" t="n"/>
      <c r="C29" s="72" t="n"/>
      <c r="D29" s="72" t="n"/>
      <c r="E29" s="72" t="n"/>
      <c r="F29" s="72" t="n"/>
      <c r="G29" s="72" t="n"/>
      <c r="H29" s="72" t="n"/>
      <c r="I29" s="72" t="n"/>
      <c r="J29" s="72" t="n"/>
      <c r="K29" s="72" t="n"/>
      <c r="L29" s="72" t="n"/>
      <c r="M29" s="72" t="n"/>
      <c r="N29" s="72" t="n"/>
      <c r="O29" s="72" t="n"/>
      <c r="P29" s="72" t="n"/>
      <c r="Q29" s="72" t="n"/>
      <c r="R29" s="72" t="n"/>
      <c r="S29" s="72" t="n"/>
      <c r="T29" s="72" t="n"/>
      <c r="U29" s="72" t="n"/>
      <c r="V29" s="72" t="n"/>
      <c r="W29" s="72" t="n"/>
      <c r="X29" s="72" t="n"/>
      <c r="Y29" s="72" t="n"/>
      <c r="Z29" s="72" t="n"/>
      <c r="AA29" s="72" t="n"/>
      <c r="AB29" s="72" t="n"/>
      <c r="AC29" s="72" t="n"/>
    </row>
    <row r="30">
      <c r="A30" s="72" t="n"/>
      <c r="B30" s="72" t="n"/>
      <c r="C30" s="72" t="n"/>
      <c r="D30" s="72" t="n"/>
      <c r="E30" s="72" t="n"/>
      <c r="F30" s="72" t="n"/>
      <c r="G30" s="72" t="n"/>
      <c r="H30" s="72" t="n"/>
      <c r="I30" s="72" t="n"/>
      <c r="J30" s="72" t="n"/>
      <c r="K30" s="72" t="n"/>
      <c r="L30" s="72" t="n"/>
      <c r="M30" s="72" t="n"/>
      <c r="N30" s="72" t="n"/>
      <c r="O30" s="72" t="n"/>
      <c r="P30" s="72" t="n"/>
      <c r="Q30" s="72" t="n"/>
      <c r="R30" s="72" t="n"/>
      <c r="S30" s="72" t="n"/>
      <c r="T30" s="72" t="n"/>
      <c r="U30" s="72" t="n"/>
      <c r="V30" s="72" t="n"/>
      <c r="W30" s="72" t="n"/>
      <c r="X30" s="72" t="n"/>
      <c r="Y30" s="72" t="n"/>
      <c r="Z30" s="72" t="n"/>
      <c r="AA30" s="72" t="n"/>
      <c r="AB30" s="72" t="n"/>
      <c r="AC30" s="72" t="n"/>
    </row>
    <row r="31">
      <c r="A31" s="72" t="n"/>
      <c r="B31" s="72" t="n"/>
      <c r="C31" s="72" t="n"/>
      <c r="D31" s="72" t="n"/>
      <c r="E31" s="72" t="n"/>
      <c r="F31" s="72" t="n"/>
      <c r="G31" s="72" t="n"/>
      <c r="H31" s="72" t="n"/>
      <c r="I31" s="72" t="n"/>
      <c r="J31" s="72" t="n"/>
      <c r="K31" s="72" t="n"/>
      <c r="L31" s="72" t="n"/>
      <c r="M31" s="72" t="n"/>
      <c r="N31" s="72" t="n"/>
      <c r="O31" s="72" t="n"/>
      <c r="P31" s="72" t="n"/>
      <c r="Q31" s="72" t="n"/>
      <c r="R31" s="72" t="n"/>
      <c r="S31" s="72" t="n"/>
      <c r="T31" s="72" t="n"/>
      <c r="U31" s="72" t="n"/>
      <c r="V31" s="72" t="n"/>
      <c r="W31" s="72" t="n"/>
      <c r="X31" s="72" t="n"/>
      <c r="Y31" s="72" t="n"/>
      <c r="Z31" s="72" t="n"/>
      <c r="AA31" s="72" t="n"/>
      <c r="AB31" s="72" t="n"/>
      <c r="AC31" s="72" t="n"/>
    </row>
    <row r="32">
      <c r="A32" s="72" t="n"/>
      <c r="B32" s="72" t="n"/>
      <c r="C32" s="72" t="n"/>
      <c r="D32" s="72" t="n"/>
      <c r="E32" s="72" t="n"/>
      <c r="F32" s="72" t="n"/>
      <c r="G32" s="72" t="n"/>
      <c r="H32" s="72" t="n"/>
      <c r="I32" s="72" t="n"/>
      <c r="J32" s="72" t="n"/>
      <c r="K32" s="72" t="n"/>
      <c r="L32" s="72" t="n"/>
      <c r="M32" s="72" t="n"/>
      <c r="N32" s="72" t="n"/>
      <c r="O32" s="72" t="n"/>
      <c r="P32" s="72" t="n"/>
      <c r="Q32" s="72" t="n"/>
      <c r="R32" s="72" t="n"/>
      <c r="S32" s="72" t="n"/>
      <c r="T32" s="72" t="n"/>
      <c r="U32" s="72" t="n"/>
      <c r="V32" s="72" t="n"/>
      <c r="W32" s="72" t="n"/>
      <c r="X32" s="72" t="n"/>
      <c r="Y32" s="72" t="n"/>
      <c r="Z32" s="72" t="n"/>
      <c r="AA32" s="72" t="n"/>
      <c r="AB32" s="72" t="n"/>
      <c r="AC32" s="72" t="n"/>
    </row>
    <row r="33">
      <c r="A33" s="72" t="n"/>
      <c r="B33" s="72" t="n"/>
      <c r="C33" s="72" t="n"/>
      <c r="D33" s="72" t="n"/>
      <c r="E33" s="72" t="n"/>
      <c r="F33" s="72" t="n"/>
      <c r="G33" s="72" t="n"/>
      <c r="H33" s="72" t="n"/>
      <c r="I33" s="72" t="n"/>
      <c r="J33" s="72" t="n"/>
      <c r="K33" s="72" t="n"/>
      <c r="L33" s="72" t="n"/>
      <c r="M33" s="72" t="n"/>
      <c r="N33" s="72" t="n"/>
      <c r="O33" s="72" t="n"/>
      <c r="P33" s="72" t="n"/>
      <c r="Q33" s="72" t="n"/>
      <c r="R33" s="72" t="n"/>
      <c r="S33" s="72" t="n"/>
      <c r="T33" s="72" t="n"/>
      <c r="U33" s="72" t="n"/>
      <c r="V33" s="72" t="n"/>
      <c r="W33" s="72" t="n"/>
      <c r="X33" s="72" t="n"/>
      <c r="Y33" s="72" t="n"/>
      <c r="Z33" s="72" t="n"/>
      <c r="AA33" s="72" t="n"/>
      <c r="AB33" s="72" t="n"/>
      <c r="AC33" s="72" t="n"/>
    </row>
    <row r="34">
      <c r="A34" s="72" t="n"/>
      <c r="B34" s="72" t="n"/>
      <c r="C34" s="72" t="n"/>
      <c r="D34" s="72" t="n"/>
      <c r="E34" s="72" t="n"/>
      <c r="F34" s="72" t="n"/>
      <c r="G34" s="72" t="n"/>
      <c r="H34" s="72" t="n"/>
      <c r="I34" s="72" t="n"/>
      <c r="J34" s="72" t="n"/>
      <c r="K34" s="72" t="n"/>
      <c r="L34" s="72" t="n"/>
      <c r="M34" s="72" t="n"/>
      <c r="N34" s="72" t="n"/>
      <c r="O34" s="72" t="n"/>
      <c r="P34" s="72" t="n"/>
      <c r="Q34" s="72" t="n"/>
      <c r="R34" s="72" t="n"/>
      <c r="S34" s="72" t="n"/>
      <c r="T34" s="72" t="n"/>
      <c r="U34" s="72" t="n"/>
      <c r="V34" s="72" t="n"/>
      <c r="W34" s="72" t="n"/>
      <c r="X34" s="72" t="n"/>
      <c r="Y34" s="72" t="n"/>
      <c r="Z34" s="72" t="n"/>
      <c r="AA34" s="72" t="n"/>
      <c r="AB34" s="72" t="n"/>
      <c r="AC34" s="72" t="n"/>
    </row>
    <row r="35">
      <c r="A35" s="72" t="n"/>
      <c r="B35" s="72" t="n"/>
      <c r="C35" s="72" t="n"/>
      <c r="D35" s="72" t="n"/>
      <c r="E35" s="72" t="n"/>
      <c r="F35" s="72" t="n"/>
      <c r="G35" s="72" t="n"/>
      <c r="H35" s="72" t="n"/>
      <c r="I35" s="72" t="n"/>
      <c r="J35" s="72" t="n"/>
      <c r="K35" s="72" t="n"/>
      <c r="L35" s="72" t="n"/>
      <c r="M35" s="72" t="n"/>
      <c r="N35" s="72" t="n"/>
      <c r="O35" s="72" t="n"/>
      <c r="P35" s="72" t="n"/>
      <c r="Q35" s="72" t="n"/>
      <c r="R35" s="72" t="n"/>
      <c r="S35" s="72" t="n"/>
      <c r="T35" s="72" t="n"/>
      <c r="U35" s="72" t="n"/>
      <c r="V35" s="72" t="n"/>
      <c r="W35" s="72" t="n"/>
      <c r="X35" s="72" t="n"/>
      <c r="Y35" s="72" t="n"/>
      <c r="Z35" s="72" t="n"/>
      <c r="AA35" s="72" t="n"/>
      <c r="AB35" s="72" t="n"/>
      <c r="AC35" s="72" t="n"/>
    </row>
    <row r="36">
      <c r="A36" s="72" t="n"/>
      <c r="B36" s="72" t="n"/>
      <c r="C36" s="72" t="n"/>
      <c r="D36" s="72" t="n"/>
      <c r="E36" s="72" t="n"/>
      <c r="F36" s="72" t="n"/>
      <c r="G36" s="72" t="n"/>
      <c r="H36" s="72" t="n"/>
      <c r="I36" s="72" t="n"/>
      <c r="J36" s="72" t="n"/>
      <c r="K36" s="72" t="n"/>
      <c r="L36" s="72" t="n"/>
      <c r="M36" s="72" t="n"/>
      <c r="N36" s="72" t="n"/>
      <c r="O36" s="72" t="n"/>
      <c r="P36" s="72" t="n"/>
      <c r="Q36" s="72" t="n"/>
      <c r="R36" s="72" t="n"/>
      <c r="S36" s="72" t="n"/>
      <c r="T36" s="72" t="n"/>
      <c r="U36" s="72" t="n"/>
      <c r="V36" s="72" t="n"/>
      <c r="W36" s="72" t="n"/>
      <c r="X36" s="72" t="n"/>
      <c r="Y36" s="72" t="n"/>
      <c r="Z36" s="72" t="n"/>
      <c r="AA36" s="72" t="n"/>
      <c r="AB36" s="72" t="n"/>
      <c r="AC36" s="72" t="n"/>
    </row>
    <row r="37">
      <c r="A37" s="72" t="n"/>
      <c r="B37" s="72" t="n"/>
      <c r="C37" s="72" t="n"/>
      <c r="D37" s="72" t="n"/>
      <c r="E37" s="72" t="n"/>
      <c r="F37" s="72" t="n"/>
      <c r="G37" s="72" t="n"/>
      <c r="H37" s="72" t="n"/>
      <c r="I37" s="72" t="n"/>
      <c r="J37" s="72" t="n"/>
      <c r="K37" s="72" t="n"/>
      <c r="L37" s="72" t="n"/>
      <c r="M37" s="72" t="n"/>
      <c r="N37" s="72" t="n"/>
      <c r="O37" s="72" t="n"/>
      <c r="P37" s="72" t="n"/>
      <c r="Q37" s="72" t="n"/>
      <c r="R37" s="72" t="n"/>
      <c r="S37" s="72" t="n"/>
      <c r="T37" s="72" t="n"/>
      <c r="U37" s="72" t="n"/>
      <c r="V37" s="72" t="n"/>
      <c r="W37" s="72" t="n"/>
      <c r="X37" s="72" t="n"/>
      <c r="Y37" s="72" t="n"/>
      <c r="Z37" s="72" t="n"/>
      <c r="AA37" s="72" t="n"/>
      <c r="AB37" s="72" t="n"/>
      <c r="AC37" s="72" t="n"/>
    </row>
    <row r="38">
      <c r="A38" s="72" t="n"/>
      <c r="B38" s="72" t="n"/>
      <c r="C38" s="72" t="n"/>
      <c r="D38" s="72" t="n"/>
      <c r="E38" s="72" t="n"/>
      <c r="F38" s="72" t="n"/>
      <c r="G38" s="72" t="n"/>
      <c r="H38" s="72" t="n"/>
      <c r="I38" s="72" t="n"/>
      <c r="J38" s="72" t="n"/>
      <c r="K38" s="72" t="n"/>
      <c r="L38" s="72" t="n"/>
      <c r="M38" s="72" t="n"/>
      <c r="N38" s="72" t="n"/>
      <c r="O38" s="72" t="n"/>
      <c r="P38" s="72" t="n"/>
      <c r="Q38" s="72" t="n"/>
      <c r="R38" s="72" t="n"/>
      <c r="S38" s="72" t="n"/>
      <c r="T38" s="72" t="n"/>
      <c r="U38" s="72" t="n"/>
      <c r="V38" s="72" t="n"/>
      <c r="W38" s="72" t="n"/>
      <c r="X38" s="72" t="n"/>
      <c r="Y38" s="72" t="n"/>
      <c r="Z38" s="72" t="n"/>
      <c r="AA38" s="72" t="n"/>
      <c r="AB38" s="72" t="n"/>
      <c r="AC38" s="72" t="n"/>
    </row>
    <row r="39">
      <c r="A39" s="72" t="n"/>
      <c r="B39" s="72" t="n"/>
      <c r="C39" s="72" t="n"/>
      <c r="D39" s="72" t="n"/>
      <c r="E39" s="72" t="n"/>
      <c r="F39" s="72" t="n"/>
      <c r="G39" s="72" t="n"/>
      <c r="H39" s="72" t="n"/>
      <c r="I39" s="72" t="n"/>
      <c r="J39" s="72" t="n"/>
      <c r="K39" s="72" t="n"/>
      <c r="L39" s="72" t="n"/>
      <c r="M39" s="72" t="n"/>
      <c r="N39" s="72" t="n"/>
      <c r="O39" s="72" t="n"/>
      <c r="P39" s="72" t="n"/>
      <c r="Q39" s="72" t="n"/>
      <c r="R39" s="72" t="n"/>
      <c r="S39" s="72" t="n"/>
      <c r="T39" s="72" t="n"/>
      <c r="U39" s="72" t="n"/>
      <c r="V39" s="72" t="n"/>
      <c r="W39" s="72" t="n"/>
      <c r="X39" s="72" t="n"/>
      <c r="Y39" s="72" t="n"/>
      <c r="Z39" s="72" t="n"/>
      <c r="AA39" s="72" t="n"/>
      <c r="AB39" s="72" t="n"/>
      <c r="AC39" s="72" t="n"/>
    </row>
    <row r="40">
      <c r="A40" s="72" t="n"/>
      <c r="B40" s="72" t="n"/>
      <c r="C40" s="72" t="n"/>
      <c r="D40" s="72" t="n"/>
      <c r="E40" s="72" t="n"/>
      <c r="F40" s="72" t="n"/>
      <c r="G40" s="72" t="n"/>
      <c r="H40" s="72" t="n"/>
      <c r="I40" s="72" t="n"/>
      <c r="J40" s="72" t="n"/>
      <c r="K40" s="72" t="n"/>
      <c r="L40" s="72" t="n"/>
      <c r="M40" s="72" t="n"/>
      <c r="N40" s="72" t="n"/>
      <c r="O40" s="72" t="n"/>
      <c r="P40" s="72" t="n"/>
      <c r="Q40" s="72" t="n"/>
      <c r="R40" s="72" t="n"/>
      <c r="S40" s="72" t="n"/>
      <c r="T40" s="72" t="n"/>
      <c r="U40" s="72" t="n"/>
      <c r="V40" s="72" t="n"/>
      <c r="W40" s="72" t="n"/>
      <c r="X40" s="72" t="n"/>
      <c r="Y40" s="72" t="n"/>
      <c r="Z40" s="72" t="n"/>
      <c r="AA40" s="72" t="n"/>
      <c r="AB40" s="72" t="n"/>
      <c r="AC40" s="72" t="n"/>
    </row>
  </sheetData>
  <autoFilter ref="A4:Y40"/>
  <mergeCells count="2">
    <mergeCell ref="A2:X2"/>
    <mergeCell ref="A1:X1"/>
  </mergeCells>
  <dataValidations count="3">
    <dataValidation sqref="A5:A40" showDropDown="0" showInputMessage="0" showErrorMessage="0" allowBlank="1" errorTitle="填写范围" error="请从列表中选择" type="list" operator="between">
      <formula1>"是,否"</formula1>
      <formula2>0</formula2>
    </dataValidation>
    <dataValidation sqref="K5:K40" showDropDown="0" showInputMessage="0" showErrorMessage="0" allowBlank="1" errorTitle="填写范围" error="请从列表中选择" type="list" operator="between">
      <formula1>"单面,双面"</formula1>
      <formula2>0</formula2>
    </dataValidation>
    <dataValidation sqref="M5:M40" showDropDown="0" showInputMessage="0" showErrorMessage="0" allowBlank="1" errorTitle="填写范围" error="请从列表中选择" type="list" operator="between">
      <formula1>"贴片,直插"</formula1>
      <formula2>0</formula2>
    </dataValidation>
  </dataValidations>
  <printOptions horizontalCentered="0" verticalCentered="0" headings="0" gridLines="0" gridLinesSet="1"/>
  <pageMargins left="0.5" right="0.5" top="0.6" bottom="0.6" header="0.3" footer="0.3"/>
  <pageSetup orientation="landscape" paperSize="9" scale="100" fitToHeight="0" fitToWidth="1" firstPageNumber="0" useFirstPageNumber="0" pageOrder="downThenOver" blackAndWhite="0" draft="0" horizontalDpi="300" verticalDpi="300" copies="1"/>
  <headerFooter differentOddEven="0" differentFirst="0">
    <oddHeader>&amp;L模组价格</oddHeader>
    <oddFooter>&amp;L蓝色字填写，绿色字为公式&amp;R第 &amp;P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tabColor rgb="FF833C0C"/>
    <outlinePr summaryBelow="1" summaryRight="1"/>
    <pageSetUpPr fitToPage="1"/>
  </sheetPr>
  <dimension ref="A1:I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09375" defaultRowHeight="15" zeroHeight="0" outlineLevelRow="0"/>
  <cols>
    <col width="12" customWidth="1" style="24" min="1" max="1"/>
    <col width="14" customWidth="1" style="24" min="2" max="2"/>
    <col width="18" customWidth="1" style="24" min="3" max="3"/>
    <col width="12" customWidth="1" style="24" min="4" max="4"/>
    <col width="14" customWidth="1" style="24" min="5" max="5"/>
    <col width="12" customWidth="1" style="24" min="6" max="8"/>
    <col width="10" customWidth="1" style="24" min="9" max="9"/>
    <col width="14" customWidth="1" style="24" min="10" max="10"/>
    <col width="40" customWidth="1" style="24" min="11" max="11"/>
  </cols>
  <sheetData>
    <row r="1" ht="26" customHeight="1" s="25"/>
    <row r="2" ht="32" customHeight="1" s="25">
      <c r="A2" s="24" t="inlineStr">
        <is>
          <t>箱体名称要和「核算模板」里写的完全一致。本表不维护是否当前/生效日期。</t>
        </is>
      </c>
    </row>
    <row r="4" ht="36" customHeight="1" s="25">
      <c r="A4" s="45" t="inlineStr">
        <is>
          <t>箱体名称</t>
        </is>
      </c>
      <c r="B4" s="45" t="inlineStr">
        <is>
          <t>材料</t>
        </is>
      </c>
      <c r="C4" s="45" t="inlineStr">
        <is>
          <t>安装位置</t>
        </is>
      </c>
      <c r="D4" s="45" t="inlineStr">
        <is>
          <t>宽_mm</t>
        </is>
      </c>
      <c r="E4" s="45" t="inlineStr">
        <is>
          <t>高_mm</t>
        </is>
      </c>
      <c r="F4" s="45" t="inlineStr">
        <is>
          <t>密封</t>
        </is>
      </c>
      <c r="G4" s="45" t="inlineStr">
        <is>
          <t>包边</t>
        </is>
      </c>
      <c r="H4" s="45" t="inlineStr">
        <is>
          <t>含税单价</t>
        </is>
      </c>
      <c r="I4" s="45" t="inlineStr">
        <is>
          <t>备注</t>
        </is>
      </c>
    </row>
    <row r="5" ht="15" customHeight="1" s="25">
      <c r="A5" s="34" t="inlineStr">
        <is>
          <t>门架铁箱示例</t>
        </is>
      </c>
      <c r="B5" s="34" t="inlineStr">
        <is>
          <t>铁箱</t>
        </is>
      </c>
      <c r="C5" s="34" t="inlineStr">
        <is>
          <t>门架</t>
        </is>
      </c>
      <c r="D5" s="48" t="n">
        <v>1000</v>
      </c>
      <c r="E5" s="48" t="n">
        <v>1000</v>
      </c>
      <c r="F5" s="34" t="inlineStr">
        <is>
          <t>全密封</t>
        </is>
      </c>
      <c r="G5" s="34" t="inlineStr">
        <is>
          <t>含</t>
        </is>
      </c>
      <c r="H5" s="36" t="n">
        <v>800</v>
      </c>
      <c r="I5" s="34" t="inlineStr">
        <is>
          <t>示例行。请改成真实箱体和单价。</t>
        </is>
      </c>
    </row>
    <row r="6" ht="15" customHeight="1" s="25">
      <c r="A6" s="37" t="n"/>
      <c r="B6" s="37" t="n"/>
      <c r="C6" s="37" t="n"/>
      <c r="D6" s="50" t="n"/>
      <c r="E6" s="50" t="n"/>
      <c r="F6" s="37" t="n"/>
      <c r="G6" s="37" t="n"/>
      <c r="H6" s="39" t="n"/>
      <c r="I6" s="37" t="n"/>
    </row>
    <row r="7" ht="15" customHeight="1" s="25">
      <c r="A7" s="37" t="n"/>
      <c r="B7" s="37" t="n"/>
      <c r="C7" s="37" t="n"/>
      <c r="D7" s="50" t="n"/>
      <c r="E7" s="50" t="n"/>
      <c r="F7" s="37" t="n"/>
      <c r="G7" s="37" t="n"/>
      <c r="H7" s="39" t="n"/>
      <c r="I7" s="37" t="n"/>
    </row>
    <row r="8" ht="15" customHeight="1" s="25">
      <c r="A8" s="37" t="n"/>
      <c r="B8" s="37" t="n"/>
      <c r="C8" s="37" t="n"/>
      <c r="D8" s="50" t="n"/>
      <c r="E8" s="50" t="n"/>
      <c r="F8" s="37" t="n"/>
      <c r="G8" s="37" t="n"/>
      <c r="H8" s="39" t="n"/>
      <c r="I8" s="37" t="n"/>
    </row>
    <row r="9" ht="15" customHeight="1" s="25">
      <c r="A9" s="37" t="n"/>
      <c r="B9" s="37" t="n"/>
      <c r="C9" s="37" t="n"/>
      <c r="D9" s="50" t="n"/>
      <c r="E9" s="50" t="n"/>
      <c r="F9" s="37" t="n"/>
      <c r="G9" s="37" t="n"/>
      <c r="H9" s="39" t="n"/>
      <c r="I9" s="37" t="n"/>
    </row>
    <row r="10" ht="15" customHeight="1" s="25">
      <c r="A10" s="37" t="n"/>
      <c r="B10" s="37" t="n"/>
      <c r="C10" s="37" t="n"/>
      <c r="D10" s="50" t="n"/>
      <c r="E10" s="50" t="n"/>
      <c r="F10" s="37" t="n"/>
      <c r="G10" s="37" t="n"/>
      <c r="H10" s="39" t="n"/>
      <c r="I10" s="37" t="n"/>
    </row>
    <row r="11" ht="15" customHeight="1" s="25">
      <c r="A11" s="37" t="n"/>
      <c r="B11" s="37" t="n"/>
      <c r="C11" s="37" t="n"/>
      <c r="D11" s="50" t="n"/>
      <c r="E11" s="50" t="n"/>
      <c r="F11" s="37" t="n"/>
      <c r="G11" s="37" t="n"/>
      <c r="H11" s="39" t="n"/>
      <c r="I11" s="37" t="n"/>
    </row>
    <row r="12" ht="15" customHeight="1" s="25">
      <c r="A12" s="37" t="n"/>
      <c r="B12" s="37" t="n"/>
      <c r="C12" s="37" t="n"/>
      <c r="D12" s="50" t="n"/>
      <c r="E12" s="50" t="n"/>
      <c r="F12" s="37" t="n"/>
      <c r="G12" s="37" t="n"/>
      <c r="H12" s="39" t="n"/>
      <c r="I12" s="37" t="n"/>
    </row>
    <row r="13" ht="15" customHeight="1" s="25">
      <c r="A13" s="37" t="n"/>
      <c r="B13" s="37" t="n"/>
      <c r="C13" s="37" t="n"/>
      <c r="D13" s="50" t="n"/>
      <c r="E13" s="50" t="n"/>
      <c r="F13" s="37" t="n"/>
      <c r="G13" s="37" t="n"/>
      <c r="H13" s="39" t="n"/>
      <c r="I13" s="37" t="n"/>
    </row>
    <row r="14" ht="15" customHeight="1" s="25">
      <c r="A14" s="37" t="n"/>
      <c r="B14" s="37" t="n"/>
      <c r="C14" s="37" t="n"/>
      <c r="D14" s="50" t="n"/>
      <c r="E14" s="50" t="n"/>
      <c r="F14" s="37" t="n"/>
      <c r="G14" s="37" t="n"/>
      <c r="H14" s="39" t="n"/>
      <c r="I14" s="37" t="n"/>
    </row>
    <row r="15" ht="15" customHeight="1" s="25">
      <c r="A15" s="37" t="n"/>
      <c r="B15" s="37" t="n"/>
      <c r="C15" s="37" t="n"/>
      <c r="D15" s="50" t="n"/>
      <c r="E15" s="50" t="n"/>
      <c r="F15" s="37" t="n"/>
      <c r="G15" s="37" t="n"/>
      <c r="H15" s="39" t="n"/>
      <c r="I15" s="37" t="n"/>
    </row>
    <row r="16" ht="15" customHeight="1" s="25">
      <c r="A16" s="37" t="n"/>
      <c r="B16" s="37" t="n"/>
      <c r="C16" s="37" t="n"/>
      <c r="D16" s="50" t="n"/>
      <c r="E16" s="50" t="n"/>
      <c r="F16" s="37" t="n"/>
      <c r="G16" s="37" t="n"/>
      <c r="H16" s="39" t="n"/>
      <c r="I16" s="37" t="n"/>
    </row>
    <row r="17" ht="15" customHeight="1" s="25">
      <c r="A17" s="37" t="n"/>
      <c r="B17" s="37" t="n"/>
      <c r="C17" s="37" t="n"/>
      <c r="D17" s="50" t="n"/>
      <c r="E17" s="50" t="n"/>
      <c r="F17" s="37" t="n"/>
      <c r="G17" s="37" t="n"/>
      <c r="H17" s="39" t="n"/>
      <c r="I17" s="37" t="n"/>
    </row>
    <row r="18" ht="15" customHeight="1" s="25">
      <c r="A18" s="37" t="n"/>
      <c r="B18" s="37" t="n"/>
      <c r="C18" s="37" t="n"/>
      <c r="D18" s="50" t="n"/>
      <c r="E18" s="50" t="n"/>
      <c r="F18" s="37" t="n"/>
      <c r="G18" s="37" t="n"/>
      <c r="H18" s="39" t="n"/>
      <c r="I18" s="37" t="n"/>
    </row>
    <row r="19" ht="15" customHeight="1" s="25">
      <c r="A19" s="37" t="n"/>
      <c r="B19" s="37" t="n"/>
      <c r="C19" s="37" t="n"/>
      <c r="D19" s="50" t="n"/>
      <c r="E19" s="50" t="n"/>
      <c r="F19" s="37" t="n"/>
      <c r="G19" s="37" t="n"/>
      <c r="H19" s="39" t="n"/>
      <c r="I19" s="37" t="n"/>
    </row>
    <row r="20" ht="15" customHeight="1" s="25">
      <c r="A20" s="37" t="n"/>
      <c r="B20" s="37" t="n"/>
      <c r="C20" s="37" t="n"/>
      <c r="D20" s="50" t="n"/>
      <c r="E20" s="50" t="n"/>
      <c r="F20" s="37" t="n"/>
      <c r="G20" s="37" t="n"/>
      <c r="H20" s="39" t="n"/>
      <c r="I20" s="37" t="n"/>
    </row>
  </sheetData>
  <autoFilter ref="A4:K40"/>
  <mergeCells count="2">
    <mergeCell ref="A1:I1"/>
    <mergeCell ref="A2:I2"/>
  </mergeCells>
  <dataValidations count="4">
    <dataValidation sqref="A5:A40" showDropDown="0" showInputMessage="0" showErrorMessage="0" allowBlank="1" errorTitle="填写范围" error="请从列表中选择" type="list" operator="between">
      <formula1>"是,否"</formula1>
      <formula2>0</formula2>
    </dataValidation>
    <dataValidation sqref="D5:D40" showDropDown="0" showInputMessage="0" showErrorMessage="0" allowBlank="1" errorTitle="填写范围" error="请从列表中选择" type="list" operator="between">
      <formula1>"压铸铝,铁箱"</formula1>
      <formula2>0</formula2>
    </dataValidation>
    <dataValidation sqref="H5:H40" showDropDown="0" showInputMessage="0" showErrorMessage="0" allowBlank="1" errorTitle="填写范围" error="请从列表中选择" type="list" operator="between">
      <formula1>"全密封,后开放"</formula1>
      <formula2>0</formula2>
    </dataValidation>
    <dataValidation sqref="I5:I40" showDropDown="0" showInputMessage="0" showErrorMessage="0" allowBlank="1" errorTitle="填写范围" error="请从列表中选择" type="list" operator="between">
      <formula1>"含,不含"</formula1>
      <formula2>0</formula2>
    </dataValidation>
  </dataValidations>
  <printOptions horizontalCentered="0" verticalCentered="0" headings="0" gridLines="0" gridLinesSet="1"/>
  <pageMargins left="0.5" right="0.5" top="0.6" bottom="0.6" header="0.3" footer="0.3"/>
  <pageSetup orientation="landscape" paperSize="9" scale="100" fitToHeight="0" fitToWidth="1" firstPageNumber="0" useFirstPageNumber="0" pageOrder="downThenOver" blackAndWhite="0" draft="0" horizontalDpi="300" verticalDpi="300" copies="1"/>
  <headerFooter differentOddEven="0" differentFirst="0">
    <oddHeader>&amp;L箱体单价</oddHeader>
    <oddFooter>&amp;L蓝色字填写，绿色字为公式&amp;R第 &amp;P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tabColor rgb="FF7030A0"/>
    <outlinePr summaryBelow="1" summaryRight="1"/>
    <pageSetUpPr fitToPage="1"/>
  </sheetPr>
  <dimension ref="A1:T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09375" defaultRowHeight="15" zeroHeight="0" outlineLevelRow="0"/>
  <cols>
    <col width="14" customWidth="1" style="24" min="1" max="1"/>
    <col width="16" customWidth="1" style="24" min="2" max="2"/>
    <col width="14" customWidth="1" style="24" min="3" max="6"/>
    <col width="16" customWidth="1" style="24" min="7" max="7"/>
    <col width="14" customWidth="1" style="24" min="8" max="10"/>
    <col width="18" customWidth="1" style="24" min="11" max="12"/>
    <col width="20" customWidth="1" style="24" min="13" max="13"/>
    <col width="16" customWidth="1" style="24" min="14" max="14"/>
    <col width="14" customWidth="1" style="24" min="15" max="18"/>
    <col width="18" customWidth="1" style="24" min="19" max="20"/>
    <col width="46" customWidth="1" style="24" min="21" max="21"/>
  </cols>
  <sheetData>
    <row r="1" ht="26" customHeight="1" s="25"/>
    <row r="2" ht="32" customHeight="1" s="25">
      <c r="A2" s="24" t="inlineStr">
        <is>
          <t>这里写算法，不写模组单价。绿色两列用来核对能否在模组价格表和箱体表里找到对应行。模组含税单价按本行「灌胶」在模组价格的含税单价_单面或_双面中取。辅料按每平方米填写。本表不维护是否当前。</t>
        </is>
      </c>
    </row>
    <row r="4" ht="36" customHeight="1" s="25">
      <c r="A4" s="45" t="inlineStr">
        <is>
          <t>安装形态</t>
        </is>
      </c>
      <c r="B4" s="45" t="inlineStr">
        <is>
          <t>点间距_mm</t>
        </is>
      </c>
      <c r="C4" s="45" t="inlineStr">
        <is>
          <t>模组宽_mm</t>
        </is>
      </c>
      <c r="D4" s="45" t="inlineStr">
        <is>
          <t>模组高_mm</t>
        </is>
      </c>
      <c r="E4" s="45" t="inlineStr">
        <is>
          <t>配比</t>
        </is>
      </c>
      <c r="F4" s="45" t="inlineStr">
        <is>
          <t>驱动芯片</t>
        </is>
      </c>
      <c r="G4" s="45" t="inlineStr">
        <is>
          <t>灌胶</t>
        </is>
      </c>
      <c r="H4" s="45" t="inlineStr">
        <is>
          <t>灯珠批次</t>
        </is>
      </c>
      <c r="I4" s="45" t="inlineStr">
        <is>
          <t>工艺</t>
        </is>
      </c>
      <c r="J4" s="45" t="inlineStr">
        <is>
          <t>箱体名称</t>
        </is>
      </c>
      <c r="K4" s="45" t="inlineStr">
        <is>
          <t>每平方米电源数量</t>
        </is>
      </c>
      <c r="L4" s="45" t="inlineStr">
        <is>
          <t>每平方米接收卡数量</t>
        </is>
      </c>
      <c r="M4" s="45" t="inlineStr">
        <is>
          <t>每平方米辅料</t>
        </is>
      </c>
      <c r="N4" s="45" t="inlineStr">
        <is>
          <t>含立柱</t>
        </is>
      </c>
      <c r="O4" s="45" t="inlineStr">
        <is>
          <t>含抱箍</t>
        </is>
      </c>
      <c r="P4" s="45" t="inlineStr">
        <is>
          <t>含支架</t>
        </is>
      </c>
      <c r="Q4" s="45" t="inlineStr">
        <is>
          <t>含控制箱</t>
        </is>
      </c>
      <c r="R4" s="45" t="inlineStr">
        <is>
          <t>当前模组含税单价</t>
        </is>
      </c>
      <c r="S4" s="45" t="inlineStr">
        <is>
          <t>当前箱体含税单价</t>
        </is>
      </c>
      <c r="T4" s="45" t="inlineStr">
        <is>
          <t>备注</t>
        </is>
      </c>
    </row>
    <row r="5" ht="15" customHeight="1" s="25">
      <c r="A5" s="34" t="inlineStr">
        <is>
          <t>悬臂式</t>
        </is>
      </c>
      <c r="B5" s="40" t="n">
        <v>25</v>
      </c>
      <c r="C5" s="48" t="n">
        <v>200</v>
      </c>
      <c r="D5" s="48" t="n">
        <v>200</v>
      </c>
      <c r="E5" s="34" t="inlineStr">
        <is>
          <t>2R1G</t>
        </is>
      </c>
      <c r="F5" s="34" t="inlineStr">
        <is>
          <t>填写驱动芯片</t>
        </is>
      </c>
      <c r="G5" s="34" t="inlineStr">
        <is>
          <t>双面</t>
        </is>
      </c>
      <c r="H5" s="34" t="inlineStr">
        <is>
          <t>批次甲</t>
        </is>
      </c>
      <c r="I5" s="34" t="inlineStr">
        <is>
          <t>贴片</t>
        </is>
      </c>
      <c r="J5" s="34" t="inlineStr">
        <is>
          <t>门架铁箱示例</t>
        </is>
      </c>
      <c r="K5" s="48" t="n">
        <v>1</v>
      </c>
      <c r="L5" s="48" t="n">
        <v>1</v>
      </c>
      <c r="M5" s="36" t="n">
        <v>20</v>
      </c>
      <c r="N5" s="34" t="inlineStr">
        <is>
          <t>是</t>
        </is>
      </c>
      <c r="O5" s="34" t="inlineStr">
        <is>
          <t>否</t>
        </is>
      </c>
      <c r="P5" s="34" t="inlineStr">
        <is>
          <t>否</t>
        </is>
      </c>
      <c r="Q5" s="34" t="inlineStr">
        <is>
          <t>否</t>
        </is>
      </c>
      <c r="R5" s="42">
        <f>IF(B5="","",IF(G5="双面",SUMIFS(模组价格!W:W,模组价格!B:B,B5,模组价格!C:C,E5,模组价格!G:G,C5,模组价格!H:H,D5,模组价格!J:J,H5),SUMIFS(模组价格!V:V,模组价格!B:B,B5,模组价格!C:C,E5,模组价格!G:G,C5,模组价格!H:H,D5,模组价格!J:J,H5)))</f>
        <v/>
      </c>
      <c r="S5" s="42">
        <f>IF(J5="","",SUMIFS(箱体单价!H:H,箱体单价!A:A,J5))</f>
        <v/>
      </c>
      <c r="T5" s="34" t="inlineStr">
        <is>
          <t>示例行。条件须与模组价格、箱体单价的示例一致，绿色单价才会出现数字。</t>
        </is>
      </c>
    </row>
    <row r="6" ht="15" customHeight="1" s="25">
      <c r="A6" s="37" t="n"/>
      <c r="B6" s="43" t="n"/>
      <c r="C6" s="50" t="n"/>
      <c r="D6" s="50" t="n"/>
      <c r="E6" s="37" t="n"/>
      <c r="F6" s="37" t="n"/>
      <c r="G6" s="37" t="n"/>
      <c r="H6" s="37" t="n"/>
      <c r="I6" s="37" t="n"/>
      <c r="J6" s="37" t="n"/>
      <c r="K6" s="50" t="n"/>
      <c r="L6" s="50" t="n"/>
      <c r="M6" s="39" t="n"/>
      <c r="N6" s="37" t="n"/>
      <c r="O6" s="37" t="n"/>
      <c r="P6" s="37" t="n"/>
      <c r="Q6" s="37" t="n"/>
      <c r="R6" s="42">
        <f>IF(B6="","",IF(G6="双面",SUMIFS(模组价格!W:W,模组价格!B:B,B6,模组价格!C:C,E6,模组价格!G:G,C6,模组价格!H:H,D6,模组价格!J:J,H6),SUMIFS(模组价格!V:V,模组价格!B:B,B6,模组价格!C:C,E6,模组价格!G:G,C6,模组价格!H:H,D6,模组价格!J:J,H6)))</f>
        <v/>
      </c>
      <c r="S6" s="42">
        <f>IF(J6="","",SUMIFS(箱体单价!H:H,箱体单价!A:A,J6))</f>
        <v/>
      </c>
      <c r="T6" s="37" t="n"/>
    </row>
    <row r="7" ht="15" customHeight="1" s="25">
      <c r="A7" s="37" t="n"/>
      <c r="B7" s="43" t="n"/>
      <c r="C7" s="50" t="n"/>
      <c r="D7" s="50" t="n"/>
      <c r="E7" s="37" t="n"/>
      <c r="F7" s="37" t="n"/>
      <c r="G7" s="37" t="n"/>
      <c r="H7" s="37" t="n"/>
      <c r="I7" s="37" t="n"/>
      <c r="J7" s="37" t="n"/>
      <c r="K7" s="50" t="n"/>
      <c r="L7" s="50" t="n"/>
      <c r="M7" s="39" t="n"/>
      <c r="N7" s="37" t="n"/>
      <c r="O7" s="37" t="n"/>
      <c r="P7" s="37" t="n"/>
      <c r="Q7" s="37" t="n"/>
      <c r="R7" s="42">
        <f>IF(C7="","",SUMIFS(模组价格!X:X,模组价格!A:A,"是",模组价格!C:C,C7,模组价格!D:D,F7,模组价格!H:H,D7,模组价格!I:I,E7,模组价格!K:K,H7,模组价格!L:L,I7))</f>
        <v/>
      </c>
      <c r="S7" s="42">
        <f>IF(K7="","",SUMIFS(箱体单价!J:J,箱体单价!A:A,"是",箱体单价!C:C,K7))</f>
        <v/>
      </c>
      <c r="T7" s="37" t="n"/>
    </row>
    <row r="8" ht="15" customHeight="1" s="25">
      <c r="A8" s="37" t="n"/>
      <c r="B8" s="43" t="n"/>
      <c r="C8" s="50" t="n"/>
      <c r="D8" s="50" t="n"/>
      <c r="E8" s="37" t="n"/>
      <c r="F8" s="37" t="n"/>
      <c r="G8" s="37" t="n"/>
      <c r="H8" s="37" t="n"/>
      <c r="I8" s="37" t="n"/>
      <c r="J8" s="37" t="n"/>
      <c r="K8" s="50" t="n"/>
      <c r="L8" s="50" t="n"/>
      <c r="M8" s="39" t="n"/>
      <c r="N8" s="37" t="n"/>
      <c r="O8" s="37" t="n"/>
      <c r="P8" s="37" t="n"/>
      <c r="Q8" s="37" t="n"/>
      <c r="R8" s="42">
        <f>IF(C8="","",SUMIFS(模组价格!X:X,模组价格!A:A,"是",模组价格!C:C,C8,模组价格!D:D,F8,模组价格!H:H,D8,模组价格!I:I,E8,模组价格!K:K,H8,模组价格!L:L,I8))</f>
        <v/>
      </c>
      <c r="S8" s="42">
        <f>IF(K8="","",SUMIFS(箱体单价!J:J,箱体单价!A:A,"是",箱体单价!C:C,K8))</f>
        <v/>
      </c>
      <c r="T8" s="37" t="n"/>
    </row>
    <row r="9" ht="15" customHeight="1" s="25">
      <c r="A9" s="37" t="n"/>
      <c r="B9" s="43" t="n"/>
      <c r="C9" s="50" t="n"/>
      <c r="D9" s="50" t="n"/>
      <c r="E9" s="37" t="n"/>
      <c r="F9" s="37" t="n"/>
      <c r="G9" s="37" t="n"/>
      <c r="H9" s="37" t="n"/>
      <c r="I9" s="37" t="n"/>
      <c r="J9" s="37" t="n"/>
      <c r="K9" s="50" t="n"/>
      <c r="L9" s="50" t="n"/>
      <c r="M9" s="39" t="n"/>
      <c r="N9" s="37" t="n"/>
      <c r="O9" s="37" t="n"/>
      <c r="P9" s="37" t="n"/>
      <c r="Q9" s="37" t="n"/>
      <c r="R9" s="42">
        <f>IF(C9="","",SUMIFS(模组价格!X:X,模组价格!A:A,"是",模组价格!C:C,C9,模组价格!D:D,F9,模组价格!H:H,D9,模组价格!I:I,E9,模组价格!K:K,H9,模组价格!L:L,I9))</f>
        <v/>
      </c>
      <c r="S9" s="42">
        <f>IF(K9="","",SUMIFS(箱体单价!J:J,箱体单价!A:A,"是",箱体单价!C:C,K9))</f>
        <v/>
      </c>
      <c r="T9" s="37" t="n"/>
    </row>
    <row r="10" ht="15" customHeight="1" s="25">
      <c r="A10" s="37" t="n"/>
      <c r="B10" s="43" t="n"/>
      <c r="C10" s="50" t="n"/>
      <c r="D10" s="50" t="n"/>
      <c r="E10" s="37" t="n"/>
      <c r="F10" s="37" t="n"/>
      <c r="G10" s="37" t="n"/>
      <c r="H10" s="37" t="n"/>
      <c r="I10" s="37" t="n"/>
      <c r="J10" s="37" t="n"/>
      <c r="K10" s="50" t="n"/>
      <c r="L10" s="50" t="n"/>
      <c r="M10" s="39" t="n"/>
      <c r="N10" s="37" t="n"/>
      <c r="O10" s="37" t="n"/>
      <c r="P10" s="37" t="n"/>
      <c r="Q10" s="37" t="n"/>
      <c r="R10" s="42">
        <f>IF(C10="","",SUMIFS(模组价格!X:X,模组价格!A:A,"是",模组价格!C:C,C10,模组价格!D:D,F10,模组价格!H:H,D10,模组价格!I:I,E10,模组价格!K:K,H10,模组价格!L:L,I10))</f>
        <v/>
      </c>
      <c r="S10" s="42">
        <f>IF(K10="","",SUMIFS(箱体单价!J:J,箱体单价!A:A,"是",箱体单价!C:C,K10))</f>
        <v/>
      </c>
      <c r="T10" s="37" t="n"/>
    </row>
    <row r="11" ht="15" customHeight="1" s="25">
      <c r="A11" s="37" t="n"/>
      <c r="B11" s="43" t="n"/>
      <c r="C11" s="50" t="n"/>
      <c r="D11" s="50" t="n"/>
      <c r="E11" s="37" t="n"/>
      <c r="F11" s="37" t="n"/>
      <c r="G11" s="37" t="n"/>
      <c r="H11" s="37" t="n"/>
      <c r="I11" s="37" t="n"/>
      <c r="J11" s="37" t="n"/>
      <c r="K11" s="50" t="n"/>
      <c r="L11" s="50" t="n"/>
      <c r="M11" s="39" t="n"/>
      <c r="N11" s="37" t="n"/>
      <c r="O11" s="37" t="n"/>
      <c r="P11" s="37" t="n"/>
      <c r="Q11" s="37" t="n"/>
      <c r="R11" s="42">
        <f>IF(C11="","",SUMIFS(模组价格!X:X,模组价格!A:A,"是",模组价格!C:C,C11,模组价格!D:D,F11,模组价格!H:H,D11,模组价格!I:I,E11,模组价格!K:K,H11,模组价格!L:L,I11))</f>
        <v/>
      </c>
      <c r="S11" s="42">
        <f>IF(K11="","",SUMIFS(箱体单价!J:J,箱体单价!A:A,"是",箱体单价!C:C,K11))</f>
        <v/>
      </c>
      <c r="T11" s="37" t="n"/>
    </row>
    <row r="12" ht="15" customHeight="1" s="25">
      <c r="A12" s="37" t="n"/>
      <c r="B12" s="43" t="n"/>
      <c r="C12" s="50" t="n"/>
      <c r="D12" s="50" t="n"/>
      <c r="E12" s="37" t="n"/>
      <c r="F12" s="37" t="n"/>
      <c r="G12" s="37" t="n"/>
      <c r="H12" s="37" t="n"/>
      <c r="I12" s="37" t="n"/>
      <c r="J12" s="37" t="n"/>
      <c r="K12" s="50" t="n"/>
      <c r="L12" s="50" t="n"/>
      <c r="M12" s="39" t="n"/>
      <c r="N12" s="37" t="n"/>
      <c r="O12" s="37" t="n"/>
      <c r="P12" s="37" t="n"/>
      <c r="Q12" s="37" t="n"/>
      <c r="R12" s="42">
        <f>IF(C12="","",SUMIFS(模组价格!X:X,模组价格!A:A,"是",模组价格!C:C,C12,模组价格!D:D,F12,模组价格!H:H,D12,模组价格!I:I,E12,模组价格!K:K,H12,模组价格!L:L,I12))</f>
        <v/>
      </c>
      <c r="S12" s="42">
        <f>IF(K12="","",SUMIFS(箱体单价!J:J,箱体单价!A:A,"是",箱体单价!C:C,K12))</f>
        <v/>
      </c>
      <c r="T12" s="37" t="n"/>
    </row>
    <row r="13" ht="15" customHeight="1" s="25">
      <c r="A13" s="37" t="n"/>
      <c r="B13" s="43" t="n"/>
      <c r="C13" s="50" t="n"/>
      <c r="D13" s="50" t="n"/>
      <c r="E13" s="37" t="n"/>
      <c r="F13" s="37" t="n"/>
      <c r="G13" s="37" t="n"/>
      <c r="H13" s="37" t="n"/>
      <c r="I13" s="37" t="n"/>
      <c r="J13" s="37" t="n"/>
      <c r="K13" s="50" t="n"/>
      <c r="L13" s="50" t="n"/>
      <c r="M13" s="39" t="n"/>
      <c r="N13" s="37" t="n"/>
      <c r="O13" s="37" t="n"/>
      <c r="P13" s="37" t="n"/>
      <c r="Q13" s="37" t="n"/>
      <c r="R13" s="42">
        <f>IF(C13="","",SUMIFS(模组价格!X:X,模组价格!A:A,"是",模组价格!C:C,C13,模组价格!D:D,F13,模组价格!H:H,D13,模组价格!I:I,E13,模组价格!K:K,H13,模组价格!L:L,I13))</f>
        <v/>
      </c>
      <c r="S13" s="42">
        <f>IF(K13="","",SUMIFS(箱体单价!J:J,箱体单价!A:A,"是",箱体单价!C:C,K13))</f>
        <v/>
      </c>
      <c r="T13" s="37" t="n"/>
    </row>
    <row r="14" ht="15" customHeight="1" s="25">
      <c r="A14" s="37" t="n"/>
      <c r="B14" s="43" t="n"/>
      <c r="C14" s="50" t="n"/>
      <c r="D14" s="50" t="n"/>
      <c r="E14" s="37" t="n"/>
      <c r="F14" s="37" t="n"/>
      <c r="G14" s="37" t="n"/>
      <c r="H14" s="37" t="n"/>
      <c r="I14" s="37" t="n"/>
      <c r="J14" s="37" t="n"/>
      <c r="K14" s="50" t="n"/>
      <c r="L14" s="50" t="n"/>
      <c r="M14" s="39" t="n"/>
      <c r="N14" s="37" t="n"/>
      <c r="O14" s="37" t="n"/>
      <c r="P14" s="37" t="n"/>
      <c r="Q14" s="37" t="n"/>
      <c r="R14" s="42">
        <f>IF(C14="","",SUMIFS(模组价格!X:X,模组价格!A:A,"是",模组价格!C:C,C14,模组价格!D:D,F14,模组价格!H:H,D14,模组价格!I:I,E14,模组价格!K:K,H14,模组价格!L:L,I14))</f>
        <v/>
      </c>
      <c r="S14" s="42">
        <f>IF(K14="","",SUMIFS(箱体单价!J:J,箱体单价!A:A,"是",箱体单价!C:C,K14))</f>
        <v/>
      </c>
      <c r="T14" s="37" t="n"/>
    </row>
    <row r="15" ht="15" customHeight="1" s="25">
      <c r="A15" s="37" t="n"/>
      <c r="B15" s="43" t="n"/>
      <c r="C15" s="50" t="n"/>
      <c r="D15" s="50" t="n"/>
      <c r="E15" s="37" t="n"/>
      <c r="F15" s="37" t="n"/>
      <c r="G15" s="37" t="n"/>
      <c r="H15" s="37" t="n"/>
      <c r="I15" s="37" t="n"/>
      <c r="J15" s="37" t="n"/>
      <c r="K15" s="50" t="n"/>
      <c r="L15" s="50" t="n"/>
      <c r="M15" s="39" t="n"/>
      <c r="N15" s="37" t="n"/>
      <c r="O15" s="37" t="n"/>
      <c r="P15" s="37" t="n"/>
      <c r="Q15" s="37" t="n"/>
      <c r="R15" s="42">
        <f>IF(C15="","",SUMIFS(模组价格!X:X,模组价格!A:A,"是",模组价格!C:C,C15,模组价格!D:D,F15,模组价格!H:H,D15,模组价格!I:I,E15,模组价格!K:K,H15,模组价格!L:L,I15))</f>
        <v/>
      </c>
      <c r="S15" s="42">
        <f>IF(K15="","",SUMIFS(箱体单价!J:J,箱体单价!A:A,"是",箱体单价!C:C,K15))</f>
        <v/>
      </c>
      <c r="T15" s="37" t="n"/>
    </row>
  </sheetData>
  <autoFilter ref="A4:U40"/>
  <mergeCells count="2">
    <mergeCell ref="A1:T1"/>
    <mergeCell ref="A2:T2"/>
  </mergeCells>
  <dataValidations count="4">
    <dataValidation sqref="A5:A40" showDropDown="0" showInputMessage="0" showErrorMessage="0" allowBlank="1" errorTitle="填写范围" error="请从列表中选择" type="list" operator="between">
      <formula1>"是,否"</formula1>
      <formula2>0</formula2>
    </dataValidation>
    <dataValidation sqref="H5:H40" showDropDown="0" showInputMessage="0" showErrorMessage="0" allowBlank="1" errorTitle="填写范围" error="请从列表中选择" type="list" operator="between">
      <formula1>"单面,双面"</formula1>
      <formula2>0</formula2>
    </dataValidation>
    <dataValidation sqref="J5:J40" showDropDown="0" showInputMessage="0" showErrorMessage="0" allowBlank="1" errorTitle="填写范围" error="请从列表中选择" type="list" operator="between">
      <formula1>"贴片,直插"</formula1>
      <formula2>0</formula2>
    </dataValidation>
    <dataValidation sqref="O5:R40" showDropDown="0" showInputMessage="0" showErrorMessage="0" allowBlank="1" errorTitle="填写范围" error="请从列表中选择" type="list" operator="between">
      <formula1>"是,否"</formula1>
      <formula2>0</formula2>
    </dataValidation>
  </dataValidations>
  <printOptions horizontalCentered="0" verticalCentered="0" headings="0" gridLines="0" gridLinesSet="1"/>
  <pageMargins left="0.5" right="0.5" top="0.6" bottom="0.6" header="0.3" footer="0.3"/>
  <pageSetup orientation="landscape" paperSize="9" scale="100" fitToHeight="0" fitToWidth="1" firstPageNumber="0" useFirstPageNumber="0" pageOrder="downThenOver" blackAndWhite="0" draft="0" horizontalDpi="300" verticalDpi="300" copies="1"/>
  <headerFooter differentOddEven="0" differentFirst="0">
    <oddHeader>&amp;L核算模板</oddHeader>
    <oddFooter>&amp;L蓝色字填写，绿色字为公式&amp;R第 &amp;P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tabColor rgb="FFC00000"/>
    <outlinePr summaryBelow="1" summaryRight="1"/>
    <pageSetUpPr fitToPage="1"/>
  </sheetPr>
  <dimension ref="A1:D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09375" defaultRowHeight="15" zeroHeight="0" outlineLevelRow="0"/>
  <cols>
    <col width="16" customWidth="1" style="24" min="1" max="1"/>
    <col width="28" customWidth="1" style="24" min="2" max="2"/>
    <col width="24" customWidth="1" style="24" min="3" max="3"/>
    <col width="36" customWidth="1" style="24" min="4" max="4"/>
  </cols>
  <sheetData>
    <row r="1" ht="26" customHeight="1" s="25">
      <c r="A1" s="31" t="inlineStr">
        <is>
          <t>供应商（报价不读取）</t>
        </is>
      </c>
    </row>
    <row r="2" ht="32" customHeight="1" s="25">
      <c r="A2" s="32" t="inlineStr">
        <is>
          <t>这张表只给成本维护人留底。报价、检索和模型都不读这里。可以不填。</t>
        </is>
      </c>
    </row>
    <row r="4" ht="36" customHeight="1" s="25">
      <c r="A4" s="45" t="inlineStr">
        <is>
          <t>物料类别</t>
        </is>
      </c>
      <c r="B4" s="45" t="inlineStr">
        <is>
          <t>对应哪一行</t>
        </is>
      </c>
      <c r="C4" s="45" t="inlineStr">
        <is>
          <t>供应商名称</t>
        </is>
      </c>
      <c r="D4" s="45" t="inlineStr">
        <is>
          <t>备注</t>
        </is>
      </c>
    </row>
    <row r="5" ht="15" customHeight="1" s="25">
      <c r="A5" s="34" t="inlineStr">
        <is>
          <t>灯珠</t>
        </is>
      </c>
      <c r="B5" s="34" t="inlineStr">
        <is>
          <t>灯珠批次：批次甲</t>
        </is>
      </c>
      <c r="C5" s="34" t="n"/>
      <c r="D5" s="34" t="inlineStr">
        <is>
          <t>示例。供应商请自行填写。</t>
        </is>
      </c>
    </row>
    <row r="6" ht="15" customHeight="1" s="25">
      <c r="A6" s="37" t="n"/>
      <c r="B6" s="37" t="n"/>
      <c r="C6" s="37" t="n"/>
      <c r="D6" s="37" t="n"/>
    </row>
    <row r="7" ht="15" customHeight="1" s="25">
      <c r="A7" s="37" t="n"/>
      <c r="B7" s="37" t="n"/>
      <c r="C7" s="37" t="n"/>
      <c r="D7" s="37" t="n"/>
    </row>
    <row r="8" ht="15" customHeight="1" s="25">
      <c r="A8" s="37" t="n"/>
      <c r="B8" s="37" t="n"/>
      <c r="C8" s="37" t="n"/>
      <c r="D8" s="37" t="n"/>
    </row>
    <row r="9" ht="15" customHeight="1" s="25">
      <c r="A9" s="37" t="n"/>
      <c r="B9" s="37" t="n"/>
      <c r="C9" s="37" t="n"/>
      <c r="D9" s="37" t="n"/>
    </row>
    <row r="10" ht="15" customHeight="1" s="25">
      <c r="A10" s="37" t="n"/>
      <c r="B10" s="37" t="n"/>
      <c r="C10" s="37" t="n"/>
      <c r="D10" s="37" t="n"/>
    </row>
    <row r="11" ht="15" customHeight="1" s="25">
      <c r="A11" s="37" t="n"/>
      <c r="B11" s="37" t="n"/>
      <c r="C11" s="37" t="n"/>
      <c r="D11" s="37" t="n"/>
    </row>
    <row r="12" ht="15" customHeight="1" s="25">
      <c r="A12" s="37" t="n"/>
      <c r="B12" s="37" t="n"/>
      <c r="C12" s="37" t="n"/>
      <c r="D12" s="37" t="n"/>
    </row>
    <row r="13" ht="15" customHeight="1" s="25">
      <c r="A13" s="37" t="n"/>
      <c r="B13" s="37" t="n"/>
      <c r="C13" s="37" t="n"/>
      <c r="D13" s="37" t="n"/>
    </row>
    <row r="14" ht="15" customHeight="1" s="25">
      <c r="A14" s="37" t="n"/>
      <c r="B14" s="37" t="n"/>
      <c r="C14" s="37" t="n"/>
      <c r="D14" s="37" t="n"/>
    </row>
    <row r="15" ht="15" customHeight="1" s="25">
      <c r="A15" s="37" t="n"/>
      <c r="B15" s="37" t="n"/>
      <c r="C15" s="37" t="n"/>
      <c r="D15" s="37" t="n"/>
    </row>
    <row r="16" ht="15" customHeight="1" s="25">
      <c r="A16" s="37" t="n"/>
      <c r="B16" s="37" t="n"/>
      <c r="C16" s="37" t="n"/>
      <c r="D16" s="37" t="n"/>
    </row>
    <row r="17" ht="15" customHeight="1" s="25">
      <c r="A17" s="37" t="n"/>
      <c r="B17" s="37" t="n"/>
      <c r="C17" s="37" t="n"/>
      <c r="D17" s="37" t="n"/>
    </row>
    <row r="18" ht="15" customHeight="1" s="25">
      <c r="A18" s="37" t="n"/>
      <c r="B18" s="37" t="n"/>
      <c r="C18" s="37" t="n"/>
      <c r="D18" s="37" t="n"/>
    </row>
    <row r="19" ht="15" customHeight="1" s="25">
      <c r="A19" s="37" t="n"/>
      <c r="B19" s="37" t="n"/>
      <c r="C19" s="37" t="n"/>
      <c r="D19" s="37" t="n"/>
    </row>
    <row r="20" ht="15" customHeight="1" s="25">
      <c r="A20" s="37" t="n"/>
      <c r="B20" s="37" t="n"/>
      <c r="C20" s="37" t="n"/>
      <c r="D20" s="37" t="n"/>
    </row>
  </sheetData>
  <autoFilter ref="A4:D40"/>
  <mergeCells count="2">
    <mergeCell ref="A1:D1"/>
    <mergeCell ref="A2:D2"/>
  </mergeCells>
  <printOptions horizontalCentered="0" verticalCentered="0" headings="0" gridLines="0" gridLinesSet="1"/>
  <pageMargins left="0.5" right="0.5" top="0.6" bottom="0.6" header="0.3" footer="0.3"/>
  <pageSetup orientation="landscape" paperSize="9" scale="100" fitToHeight="0" fitToWidth="1" firstPageNumber="0" useFirstPageNumber="0" pageOrder="downThenOver" blackAndWhite="0" draft="0" horizontalDpi="300" verticalDpi="300" copies="1"/>
  <headerFooter differentOddEven="0" differentFirst="0">
    <oddHeader>&amp;L供应商（报价不读取）</oddHeader>
    <oddFooter>&amp;L蓝色字填写，绿色字为公式&amp;R第 &amp;P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2026-10-29T04:56:23Z</dcterms:created>
  <dcterms:modified xmlns:dcterms="http://purl.org/dc/terms/" xmlns:xsi="http://www.w3.org/2001/XMLSchema-instance" xsi:type="dcterms:W3CDTF">2026-10-30T05:06:26Z</dcterms:modified>
  <cp:revision>0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3.1</vt:lpwstr>
  </property>
</Properties>
</file>