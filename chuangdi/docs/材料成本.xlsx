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F5\"/>
    </mc:Choice>
  </mc:AlternateContent>
  <bookViews>
    <workbookView windowWidth="20150" windowHeight="9880" tabRatio="932" activeTab="4"/>
  </bookViews>
  <sheets>
    <sheet name="普通模组价格5034B" sheetId="12" r:id="rId1"/>
    <sheet name="普通模组价格16289" sheetId="13" r:id="rId2"/>
    <sheet name="250-500模组价格5034" sheetId="17" r:id="rId3"/>
    <sheet name="250-500模组价格16289" sheetId="18" r:id="rId4"/>
    <sheet name="灯价格" sheetId="19" r:id="rId5"/>
    <sheet name="折叠屏模组" sheetId="21" r:id="rId6"/>
    <sheet name="强力" sheetId="22" r:id="rId7"/>
    <sheet name="箱体单价" sheetId="23" r:id="rId8"/>
    <sheet name="套件" sheetId="2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fengfengfeng</author>
  </authors>
  <commentList>
    <comment ref="Q19" authorId="0">
      <text>
        <r>
          <rPr>
            <sz val="9"/>
            <rFont val="宋体"/>
            <charset val="134"/>
          </rPr>
          <t xml:space="preserve">供应商未提供P20.833-1R1G单元板加工费（该价格为原来价格）
</t>
        </r>
      </text>
    </comment>
  </commentList>
</comments>
</file>

<file path=xl/comments2.xml><?xml version="1.0" encoding="utf-8"?>
<comments xmlns="http://schemas.openxmlformats.org/spreadsheetml/2006/main">
  <authors>
    <author>fengfengfeng</author>
  </authors>
  <commentList>
    <comment ref="Q16" authorId="0">
      <text>
        <r>
          <rPr>
            <sz val="9"/>
            <rFont val="宋体"/>
            <charset val="134"/>
          </rPr>
          <t>2026.05.24
供应商未提供加工费价格，故价格未更改。</t>
        </r>
      </text>
    </comment>
  </commentList>
</comments>
</file>

<file path=xl/sharedStrings.xml><?xml version="1.0" encoding="utf-8"?>
<sst xmlns="http://schemas.openxmlformats.org/spreadsheetml/2006/main" count="974" uniqueCount="95">
  <si>
    <t>普通模组价格5034B-510</t>
  </si>
  <si>
    <t>普通模组价格5034B-310-F5</t>
  </si>
  <si>
    <t>序号</t>
  </si>
  <si>
    <t>名称</t>
  </si>
  <si>
    <t>配比</t>
  </si>
  <si>
    <t>芯片</t>
  </si>
  <si>
    <t>亮度</t>
  </si>
  <si>
    <t>尺寸</t>
  </si>
  <si>
    <t>聚积芯片</t>
  </si>
  <si>
    <t>色品坐标</t>
  </si>
  <si>
    <t>R数量</t>
  </si>
  <si>
    <t>G数量</t>
  </si>
  <si>
    <t>B数量</t>
  </si>
  <si>
    <t>R单价</t>
  </si>
  <si>
    <t>G单价</t>
  </si>
  <si>
    <t>B单价</t>
  </si>
  <si>
    <t>灯珠合计</t>
  </si>
  <si>
    <t>5034B加工费</t>
  </si>
  <si>
    <t>含税单价（单面灌胶）</t>
  </si>
  <si>
    <t>含税单价（双面灌胶）</t>
  </si>
  <si>
    <t>P33.33</t>
  </si>
  <si>
    <t>4R2G</t>
  </si>
  <si>
    <t>晶元金线</t>
  </si>
  <si>
    <t>15000CD/㎡</t>
  </si>
  <si>
    <t>266.64*133.32</t>
  </si>
  <si>
    <t>5034B</t>
  </si>
  <si>
    <t>黄色满足交通国标</t>
  </si>
  <si>
    <t>P31.25</t>
  </si>
  <si>
    <t>250*250</t>
  </si>
  <si>
    <t>4R2G1B</t>
  </si>
  <si>
    <t>黄\白色满足交通国标</t>
  </si>
  <si>
    <t>3R2G</t>
  </si>
  <si>
    <t>2R1G</t>
  </si>
  <si>
    <t>3R2G1B</t>
  </si>
  <si>
    <t>2R1G1B</t>
  </si>
  <si>
    <t>P25</t>
  </si>
  <si>
    <t>200*200</t>
  </si>
  <si>
    <t>P20</t>
  </si>
  <si>
    <t>320*160</t>
  </si>
  <si>
    <t>1R1G1B</t>
  </si>
  <si>
    <t>P16</t>
  </si>
  <si>
    <t>256*256</t>
  </si>
  <si>
    <t>普通模组价格5124-310-F5</t>
  </si>
  <si>
    <t>5124加工费</t>
  </si>
  <si>
    <t>P10</t>
  </si>
  <si>
    <t>160*320</t>
  </si>
  <si>
    <t>1R1G</t>
  </si>
  <si>
    <t>普通模组价格16289S-510</t>
  </si>
  <si>
    <t>普通模组价格16289S-310-F5</t>
  </si>
  <si>
    <t>16289S加工费</t>
  </si>
  <si>
    <t>16289S</t>
  </si>
  <si>
    <t>250*500模组价格5034B-310-F5</t>
  </si>
  <si>
    <t>套件单价</t>
  </si>
  <si>
    <t>备注</t>
  </si>
  <si>
    <t>310灯珠</t>
  </si>
  <si>
    <t>250*500</t>
  </si>
  <si>
    <t>P20.833</t>
  </si>
  <si>
    <t>鑫恩拓报价</t>
  </si>
  <si>
    <t>P15.625</t>
  </si>
  <si>
    <t>250*500模组价格5124-310-F5</t>
  </si>
  <si>
    <t>P10.416</t>
  </si>
  <si>
    <t>250*500模组价格16289S-310-F5</t>
  </si>
  <si>
    <r>
      <rPr>
        <b/>
        <sz val="22"/>
        <color theme="1"/>
        <rFont val="黑体"/>
        <charset val="134"/>
      </rPr>
      <t>250*500模组价格</t>
    </r>
    <r>
      <rPr>
        <b/>
        <sz val="22"/>
        <color rgb="FFFF0000"/>
        <rFont val="黑体"/>
        <charset val="134"/>
      </rPr>
      <t>---贴片---迈锐报价</t>
    </r>
  </si>
  <si>
    <t>全彩灯单价</t>
  </si>
  <si>
    <t>3535灯珠</t>
  </si>
  <si>
    <t>510灯/弘正</t>
  </si>
  <si>
    <t>合计</t>
  </si>
  <si>
    <t>310灯F5/弘正</t>
  </si>
  <si>
    <t>型号</t>
  </si>
  <si>
    <t>单价</t>
  </si>
  <si>
    <t>鑫恩拓报价，含税和管理费</t>
  </si>
  <si>
    <t>创迪含税报价</t>
  </si>
  <si>
    <t>16289QFN</t>
  </si>
  <si>
    <t>5034 0.96   5251  0.89  5124   0.3    16289   0.22    16289QFN  0.28</t>
  </si>
  <si>
    <t>2026年4月7日鑫恩拓报价</t>
  </si>
  <si>
    <t>压铸铝箱体</t>
  </si>
  <si>
    <t>1*1</t>
  </si>
  <si>
    <t>全密封，不含包边</t>
  </si>
  <si>
    <t>洞内压铸铝箱体</t>
  </si>
  <si>
    <t>加固定架，全密封，不含包边</t>
  </si>
  <si>
    <t>后开放式，不含包边</t>
  </si>
  <si>
    <t>加固定架，后开放式，不含包边</t>
  </si>
  <si>
    <t>1*0.75</t>
  </si>
  <si>
    <t>门架铁箱体</t>
  </si>
  <si>
    <t>全密封，含包边</t>
  </si>
  <si>
    <t>悬臂铁箱体</t>
  </si>
  <si>
    <t>洞内铁箱体</t>
  </si>
  <si>
    <t>车道屏背抱式</t>
  </si>
  <si>
    <t>底壳单价</t>
  </si>
  <si>
    <t>面罩</t>
  </si>
  <si>
    <t>胶圈单价</t>
  </si>
  <si>
    <t>数量</t>
  </si>
  <si>
    <t>小计单价</t>
  </si>
  <si>
    <t>贴片10.416</t>
  </si>
  <si>
    <t>直插10.416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</si>
</sst>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4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rgb="FFFF0000"/>
      <name val="黑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sz val="14"/>
      <name val="宋体"/>
      <charset val="134"/>
    </font>
    <font>
      <b/>
      <sz val="9"/>
      <name val="黑体"/>
      <charset val="134"/>
    </font>
    <font>
      <b/>
      <sz val="12"/>
      <name val="宋体"/>
      <charset val="134"/>
    </font>
    <font>
      <sz val="9"/>
      <color rgb="FFFF0000"/>
      <name val="宋体"/>
      <charset val="134"/>
    </font>
    <font>
      <b/>
      <sz val="22"/>
      <name val="黑体"/>
      <charset val="134"/>
    </font>
    <font>
      <b/>
      <sz val="22"/>
      <color rgb="FFFF0000"/>
      <name val="黑体"/>
      <charset val="134"/>
    </font>
    <font>
      <b/>
      <sz val="14"/>
      <name val="黑体"/>
      <charset val="134"/>
    </font>
    <font>
      <b/>
      <sz val="14"/>
      <color rgb="FFFF0000"/>
      <name val="黑体"/>
      <charset val="134"/>
    </font>
    <font>
      <b/>
      <sz val="18"/>
      <name val="黑体"/>
      <charset val="134"/>
    </font>
    <font>
      <b/>
      <sz val="12"/>
      <name val="黑体"/>
      <charset val="134"/>
    </font>
    <font>
      <b/>
      <sz val="12"/>
      <color theme="1"/>
      <name val="黑体"/>
      <charset val="134"/>
    </font>
    <font>
      <b/>
      <sz val="12"/>
      <color rgb="FFFF0000"/>
      <name val="宋体"/>
      <charset val="134"/>
    </font>
    <font>
      <b/>
      <sz val="22"/>
      <color theme="1"/>
      <name val="黑体"/>
      <charset val="134"/>
    </font>
    <font>
      <b/>
      <sz val="11"/>
      <name val="黑体"/>
      <charset val="134"/>
    </font>
    <font>
      <sz val="12"/>
      <name val="宋体"/>
      <charset val="134"/>
    </font>
    <font>
      <b/>
      <sz val="11"/>
      <color rgb="FFFF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4BFBE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7" applyNumberFormat="0" applyAlignment="0" applyProtection="0">
      <alignment vertical="center"/>
    </xf>
    <xf numFmtId="0" fontId="31" fillId="11" borderId="8" applyNumberFormat="0" applyAlignment="0" applyProtection="0">
      <alignment vertical="center"/>
    </xf>
    <xf numFmtId="0" fontId="32" fillId="11" borderId="7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1" fillId="0" borderId="0"/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>
      <alignment vertical="center"/>
    </xf>
    <xf numFmtId="0" fontId="1" fillId="0" borderId="0" xfId="0" applyFont="1">
      <alignment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NumberFormat="1" applyFont="1" applyFill="1" applyAlignment="1">
      <alignment horizontal="center" vertical="center" wrapText="1"/>
    </xf>
    <xf numFmtId="177" fontId="11" fillId="0" borderId="0" xfId="0" applyNumberFormat="1" applyFont="1" applyFill="1" applyAlignment="1">
      <alignment horizontal="center" vertical="center" wrapText="1"/>
    </xf>
    <xf numFmtId="176" fontId="10" fillId="0" borderId="0" xfId="0" applyNumberFormat="1" applyFont="1" applyFill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176" fontId="12" fillId="0" borderId="2" xfId="0" applyNumberFormat="1" applyFont="1" applyFill="1" applyBorder="1" applyAlignment="1">
      <alignment horizontal="center" vertical="center" wrapText="1"/>
    </xf>
    <xf numFmtId="176" fontId="13" fillId="0" borderId="2" xfId="0" applyNumberFormat="1" applyFont="1" applyFill="1" applyBorder="1" applyAlignment="1">
      <alignment horizontal="center" vertical="center" wrapText="1"/>
    </xf>
    <xf numFmtId="177" fontId="12" fillId="0" borderId="2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/>
    </xf>
    <xf numFmtId="0" fontId="15" fillId="7" borderId="2" xfId="0" applyNumberFormat="1" applyFont="1" applyFill="1" applyBorder="1" applyAlignment="1">
      <alignment horizontal="center" vertical="center"/>
    </xf>
    <xf numFmtId="176" fontId="15" fillId="7" borderId="2" xfId="0" applyNumberFormat="1" applyFont="1" applyFill="1" applyBorder="1" applyAlignment="1">
      <alignment horizontal="center" vertical="center"/>
    </xf>
    <xf numFmtId="177" fontId="15" fillId="8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horizontal="center" vertical="center"/>
    </xf>
    <xf numFmtId="177" fontId="15" fillId="0" borderId="2" xfId="0" applyNumberFormat="1" applyFont="1" applyFill="1" applyBorder="1" applyAlignment="1">
      <alignment horizontal="center" vertical="center"/>
    </xf>
    <xf numFmtId="177" fontId="16" fillId="8" borderId="2" xfId="0" applyNumberFormat="1" applyFont="1" applyFill="1" applyBorder="1" applyAlignment="1">
      <alignment horizontal="center" vertical="center"/>
    </xf>
    <xf numFmtId="177" fontId="16" fillId="0" borderId="2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/>
    </xf>
    <xf numFmtId="0" fontId="18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176" fontId="16" fillId="7" borderId="2" xfId="0" applyNumberFormat="1" applyFont="1" applyFill="1" applyBorder="1" applyAlignment="1">
      <alignment horizontal="center" vertical="center" wrapText="1"/>
    </xf>
    <xf numFmtId="176" fontId="15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4" fillId="2" borderId="2" xfId="0" applyNumberFormat="1" applyFont="1" applyFill="1" applyBorder="1" applyAlignment="1">
      <alignment horizontal="center" vertical="center" wrapText="1"/>
    </xf>
    <xf numFmtId="176" fontId="16" fillId="7" borderId="2" xfId="0" applyNumberFormat="1" applyFont="1" applyFill="1" applyBorder="1" applyAlignment="1">
      <alignment horizontal="center" vertical="center"/>
    </xf>
    <xf numFmtId="176" fontId="16" fillId="0" borderId="2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5" fillId="0" borderId="0" xfId="0" applyNumberFormat="1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/>
    </xf>
    <xf numFmtId="177" fontId="16" fillId="0" borderId="0" xfId="0" applyNumberFormat="1" applyFont="1" applyFill="1" applyAlignment="1">
      <alignment horizontal="center" vertical="center"/>
    </xf>
    <xf numFmtId="176" fontId="16" fillId="0" borderId="0" xfId="0" applyNumberFormat="1" applyFont="1" applyFill="1" applyAlignment="1">
      <alignment horizontal="center" vertical="center" wrapText="1"/>
    </xf>
    <xf numFmtId="176" fontId="1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2" xfId="0" applyNumberFormat="1" applyFont="1" applyFill="1" applyBorder="1" applyAlignment="1">
      <alignment horizontal="center" vertical="center" wrapText="1"/>
    </xf>
    <xf numFmtId="176" fontId="21" fillId="0" borderId="2" xfId="0" applyNumberFormat="1" applyFont="1" applyFill="1" applyBorder="1" applyAlignment="1">
      <alignment horizontal="center" vertical="center" wrapText="1"/>
    </xf>
    <xf numFmtId="177" fontId="21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77" fontId="15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177" fontId="13" fillId="0" borderId="2" xfId="0" applyNumberFormat="1" applyFont="1" applyFill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177" fontId="9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177" fontId="10" fillId="0" borderId="0" xfId="0" applyNumberFormat="1" applyFont="1" applyFill="1" applyBorder="1" applyAlignment="1">
      <alignment vertical="center" wrapText="1"/>
    </xf>
    <xf numFmtId="176" fontId="10" fillId="0" borderId="0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NumberFormat="1" applyFont="1" applyFill="1" applyBorder="1" applyAlignment="1">
      <alignment vertical="center" wrapText="1"/>
    </xf>
    <xf numFmtId="176" fontId="13" fillId="0" borderId="0" xfId="0" applyNumberFormat="1" applyFont="1" applyFill="1" applyBorder="1" applyAlignment="1">
      <alignment vertical="center" wrapText="1"/>
    </xf>
    <xf numFmtId="177" fontId="13" fillId="0" borderId="0" xfId="0" applyNumberFormat="1" applyFont="1" applyFill="1" applyBorder="1" applyAlignment="1">
      <alignment vertical="center" wrapText="1"/>
    </xf>
    <xf numFmtId="176" fontId="2" fillId="0" borderId="0" xfId="0" applyNumberFormat="1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 wrapText="1"/>
    </xf>
    <xf numFmtId="176" fontId="7" fillId="0" borderId="0" xfId="0" applyNumberFormat="1" applyFont="1" applyFill="1" applyBorder="1" applyAlignment="1">
      <alignment vertical="center" wrapText="1"/>
    </xf>
    <xf numFmtId="177" fontId="7" fillId="0" borderId="0" xfId="0" applyNumberFormat="1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176" fontId="15" fillId="0" borderId="0" xfId="0" applyNumberFormat="1" applyFont="1" applyFill="1" applyBorder="1" applyAlignment="1">
      <alignment vertical="center"/>
    </xf>
    <xf numFmtId="177" fontId="16" fillId="0" borderId="0" xfId="0" applyNumberFormat="1" applyFont="1" applyFill="1" applyBorder="1" applyAlignment="1">
      <alignment vertical="center"/>
    </xf>
    <xf numFmtId="176" fontId="15" fillId="0" borderId="0" xfId="0" applyNumberFormat="1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177" fontId="9" fillId="0" borderId="0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3 2 10 2 3" xfId="50"/>
  </cellStyles>
  <tableStyles count="0" defaultTableStyle="TableStyleMedium2" defaultPivotStyle="PivotStyleLight16"/>
  <colors>
    <mruColors>
      <color rgb="00FABB56"/>
      <color rgb="00F3B9FD"/>
      <color rgb="00B2FDFA"/>
      <color rgb="0005F5DB"/>
      <color rgb="00FF9191"/>
      <color rgb="009BF6DB"/>
      <color rgb="00F9B49C"/>
      <color rgb="004BFBE9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145415</xdr:colOff>
      <xdr:row>0</xdr:row>
      <xdr:rowOff>635</xdr:rowOff>
    </xdr:from>
    <xdr:to>
      <xdr:col>22</xdr:col>
      <xdr:colOff>156845</xdr:colOff>
      <xdr:row>26</xdr:row>
      <xdr:rowOff>107315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46795" y="635"/>
          <a:ext cx="6926580" cy="6177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39"/>
  <sheetViews>
    <sheetView zoomScale="130" zoomScaleNormal="130" workbookViewId="0">
      <pane ySplit="3" topLeftCell="A4" activePane="bottomLeft" state="frozen"/>
      <selection/>
      <selection pane="bottomLeft" activeCell="P4" sqref="P4:P28"/>
    </sheetView>
  </sheetViews>
  <sheetFormatPr defaultColWidth="9" defaultRowHeight="14"/>
  <cols>
    <col min="1" max="1" width="6.72727272727273" style="21" customWidth="1"/>
    <col min="2" max="2" width="11.0909090909091" style="19" customWidth="1"/>
    <col min="3" max="3" width="11.9363636363636" style="19" customWidth="1"/>
    <col min="4" max="4" width="12.7181818181818" style="19" hidden="1" customWidth="1"/>
    <col min="5" max="6" width="16.2" style="19" hidden="1" customWidth="1"/>
    <col min="7" max="7" width="11.0636363636364" style="19" hidden="1" customWidth="1"/>
    <col min="8" max="8" width="25.3636363636364" style="19" hidden="1" customWidth="1"/>
    <col min="9" max="11" width="8.44545454545455" style="19" customWidth="1"/>
    <col min="12" max="14" width="8.44545454545455" style="23" customWidth="1"/>
    <col min="15" max="15" width="12.4818181818182" style="24" customWidth="1"/>
    <col min="16" max="16" width="14.9363636363636" style="25" customWidth="1"/>
    <col min="17" max="17" width="14.9545454545455" style="26" customWidth="1"/>
    <col min="18" max="18" width="15.5818181818182" style="26" customWidth="1"/>
    <col min="19" max="19" width="11.6636363636364" style="19" customWidth="1"/>
    <col min="20" max="20" width="9" style="19"/>
    <col min="21" max="21" width="10.2727272727273" style="19" customWidth="1"/>
    <col min="22" max="22" width="14.2272727272727" style="19" customWidth="1"/>
    <col min="23" max="27" width="9" style="19" hidden="1" customWidth="1"/>
    <col min="28" max="28" width="9" style="19"/>
    <col min="29" max="30" width="9" style="19" customWidth="1"/>
    <col min="31" max="33" width="10.2545454545455" style="19" customWidth="1"/>
    <col min="34" max="34" width="10.5181818181818" style="19" customWidth="1"/>
    <col min="35" max="35" width="10" style="19"/>
    <col min="36" max="36" width="15.6454545454545" style="19" customWidth="1"/>
    <col min="37" max="37" width="15.4" style="19" customWidth="1"/>
    <col min="38" max="16350" width="9" style="19"/>
    <col min="16361" max="16367" width="9" style="19"/>
  </cols>
  <sheetData>
    <row r="1" s="78" customFormat="1" ht="27.5" spans="1:1024 1025:16379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8"/>
      <c r="N1" s="28"/>
      <c r="O1" s="27"/>
      <c r="P1" s="29"/>
      <c r="Q1" s="30"/>
      <c r="R1" s="30"/>
      <c r="S1" s="78"/>
      <c r="T1" s="27" t="s">
        <v>1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  <c r="AF1" s="28"/>
      <c r="AG1" s="28"/>
      <c r="AH1" s="27"/>
      <c r="AI1" s="29"/>
      <c r="AJ1" s="27"/>
      <c r="AK1" s="27"/>
    </row>
    <row r="2" s="62" customFormat="1" ht="35" spans="1:1024 1025:16379">
      <c r="A2" s="63" t="s">
        <v>2</v>
      </c>
      <c r="B2" s="63" t="s">
        <v>3</v>
      </c>
      <c r="C2" s="63" t="s">
        <v>4</v>
      </c>
      <c r="D2" s="63" t="s">
        <v>5</v>
      </c>
      <c r="E2" s="63" t="s">
        <v>6</v>
      </c>
      <c r="F2" s="63" t="s">
        <v>7</v>
      </c>
      <c r="G2" s="63" t="s">
        <v>8</v>
      </c>
      <c r="H2" s="63" t="s">
        <v>9</v>
      </c>
      <c r="I2" s="63" t="s">
        <v>10</v>
      </c>
      <c r="J2" s="63" t="s">
        <v>11</v>
      </c>
      <c r="K2" s="63" t="s">
        <v>12</v>
      </c>
      <c r="L2" s="13" t="s">
        <v>13</v>
      </c>
      <c r="M2" s="13" t="s">
        <v>14</v>
      </c>
      <c r="N2" s="13" t="s">
        <v>15</v>
      </c>
      <c r="O2" s="36" t="s">
        <v>16</v>
      </c>
      <c r="P2" s="64" t="s">
        <v>17</v>
      </c>
      <c r="Q2" s="36" t="s">
        <v>18</v>
      </c>
      <c r="R2" s="36" t="s">
        <v>19</v>
      </c>
      <c r="S2" s="62"/>
      <c r="T2" s="96" t="s">
        <v>2</v>
      </c>
      <c r="U2" s="96" t="s">
        <v>3</v>
      </c>
      <c r="V2" s="96" t="s">
        <v>4</v>
      </c>
      <c r="W2" s="96" t="s">
        <v>5</v>
      </c>
      <c r="X2" s="96" t="s">
        <v>6</v>
      </c>
      <c r="Y2" s="96" t="s">
        <v>7</v>
      </c>
      <c r="Z2" s="96" t="s">
        <v>8</v>
      </c>
      <c r="AA2" s="96" t="s">
        <v>9</v>
      </c>
      <c r="AB2" s="96" t="s">
        <v>10</v>
      </c>
      <c r="AC2" s="96" t="s">
        <v>11</v>
      </c>
      <c r="AD2" s="96" t="s">
        <v>12</v>
      </c>
      <c r="AE2" s="97" t="s">
        <v>13</v>
      </c>
      <c r="AF2" s="97" t="s">
        <v>14</v>
      </c>
      <c r="AG2" s="97" t="s">
        <v>15</v>
      </c>
      <c r="AH2" s="34" t="s">
        <v>16</v>
      </c>
      <c r="AI2" s="98" t="s">
        <v>17</v>
      </c>
      <c r="AJ2" s="36" t="s">
        <v>18</v>
      </c>
      <c r="AK2" s="36" t="s">
        <v>19</v>
      </c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  <c r="IM2" s="62"/>
      <c r="IN2" s="62"/>
      <c r="IO2" s="62"/>
      <c r="IP2" s="62"/>
      <c r="IQ2" s="62"/>
      <c r="IR2" s="62"/>
      <c r="IS2" s="62"/>
      <c r="IT2" s="62"/>
      <c r="IU2" s="62"/>
      <c r="IV2" s="62"/>
      <c r="IW2" s="62"/>
      <c r="IX2" s="62"/>
      <c r="IY2" s="62"/>
      <c r="IZ2" s="62"/>
      <c r="JA2" s="62"/>
      <c r="JB2" s="62"/>
      <c r="JC2" s="62"/>
      <c r="JD2" s="62"/>
      <c r="JE2" s="62"/>
      <c r="JF2" s="62"/>
      <c r="JG2" s="62"/>
      <c r="JH2" s="62"/>
      <c r="JI2" s="62"/>
      <c r="JJ2" s="62"/>
      <c r="JK2" s="62"/>
      <c r="JL2" s="62"/>
      <c r="JM2" s="62"/>
      <c r="JN2" s="62"/>
      <c r="JO2" s="62"/>
      <c r="JP2" s="62"/>
      <c r="JQ2" s="62"/>
      <c r="JR2" s="62"/>
      <c r="JS2" s="62"/>
      <c r="JT2" s="62"/>
      <c r="JU2" s="62"/>
      <c r="JV2" s="62"/>
      <c r="JW2" s="62"/>
      <c r="JX2" s="62"/>
      <c r="JY2" s="62"/>
      <c r="JZ2" s="62"/>
      <c r="KA2" s="62"/>
      <c r="KB2" s="62"/>
      <c r="KC2" s="62"/>
      <c r="KD2" s="62"/>
      <c r="KE2" s="62"/>
      <c r="KF2" s="62"/>
      <c r="KG2" s="62"/>
      <c r="KH2" s="62"/>
      <c r="KI2" s="62"/>
      <c r="KJ2" s="62"/>
      <c r="KK2" s="62"/>
      <c r="KL2" s="62"/>
      <c r="KM2" s="62"/>
      <c r="KN2" s="62"/>
      <c r="KO2" s="62"/>
      <c r="KP2" s="62"/>
      <c r="KQ2" s="62"/>
      <c r="KR2" s="62"/>
      <c r="KS2" s="62"/>
      <c r="KT2" s="62"/>
      <c r="KU2" s="62"/>
      <c r="KV2" s="62"/>
      <c r="KW2" s="62"/>
      <c r="KX2" s="62"/>
      <c r="KY2" s="62"/>
      <c r="KZ2" s="62"/>
      <c r="LA2" s="62"/>
      <c r="LB2" s="62"/>
      <c r="LC2" s="62"/>
      <c r="LD2" s="62"/>
      <c r="LE2" s="62"/>
      <c r="LF2" s="62"/>
      <c r="LG2" s="62"/>
      <c r="LH2" s="62"/>
      <c r="LI2" s="62"/>
      <c r="LJ2" s="62"/>
      <c r="LK2" s="62"/>
      <c r="LL2" s="62"/>
      <c r="LM2" s="62"/>
      <c r="LN2" s="62"/>
      <c r="LO2" s="62"/>
      <c r="LP2" s="62"/>
      <c r="LQ2" s="62"/>
      <c r="LR2" s="62"/>
      <c r="LS2" s="62"/>
      <c r="LT2" s="62"/>
      <c r="LU2" s="62"/>
      <c r="LV2" s="62"/>
      <c r="LW2" s="62"/>
      <c r="LX2" s="62"/>
      <c r="LY2" s="62"/>
      <c r="LZ2" s="62"/>
      <c r="MA2" s="62"/>
      <c r="MB2" s="62"/>
      <c r="MC2" s="62"/>
      <c r="MD2" s="62"/>
      <c r="ME2" s="62"/>
      <c r="MF2" s="62"/>
      <c r="MG2" s="62"/>
      <c r="MH2" s="62"/>
      <c r="MI2" s="62"/>
      <c r="MJ2" s="62"/>
      <c r="MK2" s="62"/>
      <c r="ML2" s="62"/>
      <c r="MM2" s="62"/>
      <c r="MN2" s="62"/>
      <c r="MO2" s="62"/>
      <c r="MP2" s="62"/>
      <c r="MQ2" s="62"/>
      <c r="MR2" s="62"/>
      <c r="MS2" s="62"/>
      <c r="MT2" s="62"/>
      <c r="MU2" s="62"/>
      <c r="MV2" s="62"/>
      <c r="MW2" s="62"/>
      <c r="MX2" s="62"/>
      <c r="MY2" s="62"/>
      <c r="MZ2" s="62"/>
      <c r="NA2" s="62"/>
      <c r="NB2" s="62"/>
      <c r="NC2" s="62"/>
      <c r="ND2" s="62"/>
      <c r="NE2" s="62"/>
      <c r="NF2" s="62"/>
      <c r="NG2" s="62"/>
      <c r="NH2" s="62"/>
      <c r="NI2" s="62"/>
      <c r="NJ2" s="62"/>
      <c r="NK2" s="62"/>
      <c r="NL2" s="62"/>
      <c r="NM2" s="62"/>
      <c r="NN2" s="62"/>
      <c r="NO2" s="62"/>
      <c r="NP2" s="62"/>
      <c r="NQ2" s="62"/>
      <c r="NR2" s="62"/>
      <c r="NS2" s="62"/>
      <c r="NT2" s="62"/>
      <c r="NU2" s="62"/>
      <c r="NV2" s="62"/>
      <c r="NW2" s="62"/>
      <c r="NX2" s="62"/>
      <c r="NY2" s="62"/>
      <c r="NZ2" s="62"/>
      <c r="OA2" s="62"/>
      <c r="OB2" s="62"/>
      <c r="OC2" s="62"/>
      <c r="OD2" s="62"/>
      <c r="OE2" s="62"/>
      <c r="OF2" s="62"/>
      <c r="OG2" s="62"/>
      <c r="OH2" s="62"/>
      <c r="OI2" s="62"/>
      <c r="OJ2" s="62"/>
      <c r="OK2" s="62"/>
      <c r="OL2" s="62"/>
      <c r="OM2" s="62"/>
      <c r="ON2" s="62"/>
      <c r="OO2" s="62"/>
      <c r="OP2" s="62"/>
      <c r="OQ2" s="62"/>
      <c r="OR2" s="62"/>
      <c r="OS2" s="62"/>
      <c r="OT2" s="62"/>
      <c r="OU2" s="62"/>
      <c r="OV2" s="62"/>
      <c r="OW2" s="62"/>
      <c r="OX2" s="62"/>
      <c r="OY2" s="62"/>
      <c r="OZ2" s="62"/>
      <c r="PA2" s="62"/>
      <c r="PB2" s="62"/>
      <c r="PC2" s="62"/>
      <c r="PD2" s="62"/>
      <c r="PE2" s="62"/>
      <c r="PF2" s="62"/>
      <c r="PG2" s="62"/>
      <c r="PH2" s="62"/>
      <c r="PI2" s="62"/>
      <c r="PJ2" s="62"/>
      <c r="PK2" s="62"/>
      <c r="PL2" s="62"/>
      <c r="PM2" s="62"/>
      <c r="PN2" s="62"/>
      <c r="PO2" s="62"/>
      <c r="PP2" s="62"/>
      <c r="PQ2" s="62"/>
      <c r="PR2" s="62"/>
      <c r="PS2" s="62"/>
      <c r="PT2" s="62"/>
      <c r="PU2" s="62"/>
      <c r="PV2" s="62"/>
      <c r="PW2" s="62"/>
      <c r="PX2" s="62"/>
      <c r="PY2" s="62"/>
      <c r="PZ2" s="62"/>
      <c r="QA2" s="62"/>
      <c r="QB2" s="62"/>
      <c r="QC2" s="62"/>
      <c r="QD2" s="62"/>
      <c r="QE2" s="62"/>
      <c r="QF2" s="62"/>
      <c r="QG2" s="62"/>
      <c r="QH2" s="62"/>
      <c r="QI2" s="62"/>
      <c r="QJ2" s="62"/>
      <c r="QK2" s="62"/>
      <c r="QL2" s="62"/>
      <c r="QM2" s="62"/>
      <c r="QN2" s="62"/>
      <c r="QO2" s="62"/>
      <c r="QP2" s="62"/>
      <c r="QQ2" s="62"/>
      <c r="QR2" s="62"/>
      <c r="QS2" s="62"/>
      <c r="QT2" s="62"/>
      <c r="QU2" s="62"/>
      <c r="QV2" s="62"/>
      <c r="QW2" s="62"/>
      <c r="QX2" s="62"/>
      <c r="QY2" s="62"/>
      <c r="QZ2" s="62"/>
      <c r="RA2" s="62"/>
      <c r="RB2" s="62"/>
      <c r="RC2" s="62"/>
      <c r="RD2" s="62"/>
      <c r="RE2" s="62"/>
      <c r="RF2" s="62"/>
      <c r="RG2" s="62"/>
      <c r="RH2" s="62"/>
      <c r="RI2" s="62"/>
      <c r="RJ2" s="62"/>
      <c r="RK2" s="62"/>
      <c r="RL2" s="62"/>
      <c r="RM2" s="62"/>
      <c r="RN2" s="62"/>
      <c r="RO2" s="62"/>
      <c r="RP2" s="62"/>
      <c r="RQ2" s="62"/>
      <c r="RR2" s="62"/>
      <c r="RS2" s="62"/>
      <c r="RT2" s="62"/>
      <c r="RU2" s="62"/>
      <c r="RV2" s="62"/>
      <c r="RW2" s="62"/>
      <c r="RX2" s="62"/>
      <c r="RY2" s="62"/>
      <c r="RZ2" s="62"/>
      <c r="SA2" s="62"/>
      <c r="SB2" s="62"/>
      <c r="SC2" s="62"/>
      <c r="SD2" s="62"/>
      <c r="SE2" s="62"/>
      <c r="SF2" s="62"/>
      <c r="SG2" s="62"/>
      <c r="SH2" s="62"/>
      <c r="SI2" s="62"/>
      <c r="SJ2" s="62"/>
      <c r="SK2" s="62"/>
      <c r="SL2" s="62"/>
      <c r="SM2" s="62"/>
      <c r="SN2" s="62"/>
      <c r="SO2" s="62"/>
      <c r="SP2" s="62"/>
      <c r="SQ2" s="62"/>
      <c r="SR2" s="62"/>
      <c r="SS2" s="62"/>
      <c r="ST2" s="62"/>
      <c r="SU2" s="62"/>
      <c r="SV2" s="62"/>
      <c r="SW2" s="62"/>
      <c r="SX2" s="62"/>
      <c r="SY2" s="62"/>
      <c r="SZ2" s="62"/>
      <c r="TA2" s="62"/>
      <c r="TB2" s="62"/>
      <c r="TC2" s="62"/>
      <c r="TD2" s="62"/>
      <c r="TE2" s="62"/>
      <c r="TF2" s="62"/>
      <c r="TG2" s="62"/>
      <c r="TH2" s="62"/>
      <c r="TI2" s="62"/>
      <c r="TJ2" s="62"/>
      <c r="TK2" s="62"/>
      <c r="TL2" s="62"/>
      <c r="TM2" s="62"/>
      <c r="TN2" s="62"/>
      <c r="TO2" s="62"/>
      <c r="TP2" s="62"/>
      <c r="TQ2" s="62"/>
      <c r="TR2" s="62"/>
      <c r="TS2" s="62"/>
      <c r="TT2" s="62"/>
      <c r="TU2" s="62"/>
      <c r="TV2" s="62"/>
      <c r="TW2" s="62"/>
      <c r="TX2" s="62"/>
      <c r="TY2" s="62"/>
      <c r="TZ2" s="62"/>
      <c r="UA2" s="62"/>
      <c r="UB2" s="62"/>
      <c r="UC2" s="62"/>
      <c r="UD2" s="62"/>
      <c r="UE2" s="62"/>
      <c r="UF2" s="62"/>
      <c r="UG2" s="62"/>
      <c r="UH2" s="62"/>
      <c r="UI2" s="62"/>
      <c r="UJ2" s="62"/>
      <c r="UK2" s="62"/>
      <c r="UL2" s="62"/>
      <c r="UM2" s="62"/>
      <c r="UN2" s="62"/>
      <c r="UO2" s="62"/>
      <c r="UP2" s="62"/>
      <c r="UQ2" s="62"/>
      <c r="UR2" s="62"/>
      <c r="US2" s="62"/>
      <c r="UT2" s="62"/>
      <c r="UU2" s="62"/>
      <c r="UV2" s="62"/>
      <c r="UW2" s="62"/>
      <c r="UX2" s="62"/>
      <c r="UY2" s="62"/>
      <c r="UZ2" s="62"/>
      <c r="VA2" s="62"/>
      <c r="VB2" s="62"/>
      <c r="VC2" s="62"/>
      <c r="VD2" s="62"/>
      <c r="VE2" s="62"/>
      <c r="VF2" s="62"/>
      <c r="VG2" s="62"/>
      <c r="VH2" s="62"/>
      <c r="VI2" s="62"/>
      <c r="VJ2" s="62"/>
      <c r="VK2" s="62"/>
      <c r="VL2" s="62"/>
      <c r="VM2" s="62"/>
      <c r="VN2" s="62"/>
      <c r="VO2" s="62"/>
      <c r="VP2" s="62"/>
      <c r="VQ2" s="62"/>
      <c r="VR2" s="62"/>
      <c r="VS2" s="62"/>
      <c r="VT2" s="62"/>
      <c r="VU2" s="62"/>
      <c r="VV2" s="62"/>
      <c r="VW2" s="62"/>
      <c r="VX2" s="62"/>
      <c r="VY2" s="62"/>
      <c r="VZ2" s="62"/>
      <c r="WA2" s="62"/>
      <c r="WB2" s="62"/>
      <c r="WC2" s="62"/>
      <c r="WD2" s="62"/>
      <c r="WE2" s="62"/>
      <c r="WF2" s="62"/>
      <c r="WG2" s="62"/>
      <c r="WH2" s="62"/>
      <c r="WI2" s="62"/>
      <c r="WJ2" s="62"/>
      <c r="WK2" s="62"/>
      <c r="WL2" s="62"/>
      <c r="WM2" s="62"/>
      <c r="WN2" s="62"/>
      <c r="WO2" s="62"/>
      <c r="WP2" s="62"/>
      <c r="WQ2" s="62"/>
      <c r="WR2" s="62"/>
      <c r="WS2" s="62"/>
      <c r="WT2" s="62"/>
      <c r="WU2" s="62"/>
      <c r="WV2" s="62"/>
      <c r="WW2" s="62"/>
      <c r="WX2" s="62"/>
      <c r="WY2" s="62"/>
      <c r="WZ2" s="62"/>
      <c r="XA2" s="62"/>
      <c r="XB2" s="62"/>
      <c r="XC2" s="62"/>
      <c r="XD2" s="62"/>
      <c r="XE2" s="62"/>
      <c r="XF2" s="62"/>
      <c r="XG2" s="62"/>
      <c r="XH2" s="62"/>
      <c r="XI2" s="62"/>
      <c r="XJ2" s="62"/>
      <c r="XK2" s="62"/>
      <c r="XL2" s="62"/>
      <c r="XM2" s="62"/>
      <c r="XN2" s="62"/>
      <c r="XO2" s="62"/>
      <c r="XP2" s="62"/>
      <c r="XQ2" s="62"/>
      <c r="XR2" s="62"/>
      <c r="XS2" s="62"/>
      <c r="XT2" s="62"/>
      <c r="XU2" s="62"/>
      <c r="XV2" s="62"/>
      <c r="XW2" s="62"/>
      <c r="XX2" s="62"/>
      <c r="XY2" s="62"/>
      <c r="XZ2" s="62"/>
      <c r="YA2" s="62"/>
      <c r="YB2" s="62"/>
      <c r="YC2" s="62"/>
      <c r="YD2" s="62"/>
      <c r="YE2" s="62"/>
      <c r="YF2" s="62"/>
      <c r="YG2" s="62"/>
      <c r="YH2" s="62"/>
      <c r="YI2" s="62"/>
      <c r="YJ2" s="62"/>
      <c r="YK2" s="62"/>
      <c r="YL2" s="62"/>
      <c r="YM2" s="62"/>
      <c r="YN2" s="62"/>
      <c r="YO2" s="62"/>
      <c r="YP2" s="62"/>
      <c r="YQ2" s="62"/>
      <c r="YR2" s="62"/>
      <c r="YS2" s="62"/>
      <c r="YT2" s="62"/>
      <c r="YU2" s="62"/>
      <c r="YV2" s="62"/>
      <c r="YW2" s="62"/>
      <c r="YX2" s="62"/>
      <c r="YY2" s="62"/>
      <c r="YZ2" s="62"/>
      <c r="ZA2" s="62"/>
      <c r="ZB2" s="62"/>
      <c r="ZC2" s="62"/>
      <c r="ZD2" s="62"/>
      <c r="ZE2" s="62"/>
      <c r="ZF2" s="62"/>
      <c r="ZG2" s="62"/>
      <c r="ZH2" s="62"/>
      <c r="ZI2" s="62"/>
      <c r="ZJ2" s="62"/>
      <c r="ZK2" s="62"/>
      <c r="ZL2" s="62"/>
      <c r="ZM2" s="62"/>
      <c r="ZN2" s="62"/>
      <c r="ZO2" s="62"/>
      <c r="ZP2" s="62"/>
      <c r="ZQ2" s="62"/>
      <c r="ZR2" s="62"/>
      <c r="ZS2" s="62"/>
      <c r="ZT2" s="62"/>
      <c r="ZU2" s="62"/>
      <c r="ZV2" s="62"/>
      <c r="ZW2" s="62"/>
      <c r="ZX2" s="62"/>
      <c r="ZY2" s="62"/>
      <c r="ZZ2" s="62"/>
      <c r="AAA2" s="62"/>
      <c r="AAB2" s="62"/>
      <c r="AAC2" s="62"/>
      <c r="AAD2" s="62"/>
      <c r="AAE2" s="62"/>
      <c r="AAF2" s="62"/>
      <c r="AAG2" s="62"/>
      <c r="AAH2" s="62"/>
      <c r="AAI2" s="62"/>
      <c r="AAJ2" s="62"/>
      <c r="AAK2" s="62"/>
      <c r="AAL2" s="62"/>
      <c r="AAM2" s="62"/>
      <c r="AAN2" s="62"/>
      <c r="AAO2" s="62"/>
      <c r="AAP2" s="62"/>
      <c r="AAQ2" s="62"/>
      <c r="AAR2" s="62"/>
      <c r="AAS2" s="62"/>
      <c r="AAT2" s="62"/>
      <c r="AAU2" s="62"/>
      <c r="AAV2" s="62"/>
      <c r="AAW2" s="62"/>
      <c r="AAX2" s="62"/>
      <c r="AAY2" s="62"/>
      <c r="AAZ2" s="62"/>
      <c r="ABA2" s="62"/>
      <c r="ABB2" s="62"/>
      <c r="ABC2" s="62"/>
      <c r="ABD2" s="62"/>
      <c r="ABE2" s="62"/>
      <c r="ABF2" s="62"/>
      <c r="ABG2" s="62"/>
      <c r="ABH2" s="62"/>
      <c r="ABI2" s="62"/>
      <c r="ABJ2" s="62"/>
      <c r="ABK2" s="62"/>
      <c r="ABL2" s="62"/>
      <c r="ABM2" s="62"/>
      <c r="ABN2" s="62"/>
      <c r="ABO2" s="62"/>
      <c r="ABP2" s="62"/>
      <c r="ABQ2" s="62"/>
      <c r="ABR2" s="62"/>
      <c r="ABS2" s="62"/>
      <c r="ABT2" s="62"/>
      <c r="ABU2" s="62"/>
      <c r="ABV2" s="62"/>
      <c r="ABW2" s="62"/>
      <c r="ABX2" s="62"/>
      <c r="ABY2" s="62"/>
      <c r="ABZ2" s="62"/>
      <c r="ACA2" s="62"/>
      <c r="ACB2" s="62"/>
      <c r="ACC2" s="62"/>
      <c r="ACD2" s="62"/>
      <c r="ACE2" s="62"/>
      <c r="ACF2" s="62"/>
      <c r="ACG2" s="62"/>
      <c r="ACH2" s="62"/>
      <c r="ACI2" s="62"/>
      <c r="ACJ2" s="62"/>
      <c r="ACK2" s="62"/>
      <c r="ACL2" s="62"/>
      <c r="ACM2" s="62"/>
      <c r="ACN2" s="62"/>
      <c r="ACO2" s="62"/>
      <c r="ACP2" s="62"/>
      <c r="ACQ2" s="62"/>
      <c r="ACR2" s="62"/>
      <c r="ACS2" s="62"/>
      <c r="ACT2" s="62"/>
      <c r="ACU2" s="62"/>
      <c r="ACV2" s="62"/>
      <c r="ACW2" s="62"/>
      <c r="ACX2" s="62"/>
      <c r="ACY2" s="62"/>
      <c r="ACZ2" s="62"/>
      <c r="ADA2" s="62"/>
      <c r="ADB2" s="62"/>
      <c r="ADC2" s="62"/>
      <c r="ADD2" s="62"/>
      <c r="ADE2" s="62"/>
      <c r="ADF2" s="62"/>
      <c r="ADG2" s="62"/>
      <c r="ADH2" s="62"/>
      <c r="ADI2" s="62"/>
      <c r="ADJ2" s="62"/>
      <c r="ADK2" s="62"/>
      <c r="ADL2" s="62"/>
      <c r="ADM2" s="62"/>
      <c r="ADN2" s="62"/>
      <c r="ADO2" s="62"/>
      <c r="ADP2" s="62"/>
      <c r="ADQ2" s="62"/>
      <c r="ADR2" s="62"/>
      <c r="ADS2" s="62"/>
      <c r="ADT2" s="62"/>
      <c r="ADU2" s="62"/>
      <c r="ADV2" s="62"/>
      <c r="ADW2" s="62"/>
      <c r="ADX2" s="62"/>
      <c r="ADY2" s="62"/>
      <c r="ADZ2" s="62"/>
      <c r="AEA2" s="62"/>
      <c r="AEB2" s="62"/>
      <c r="AEC2" s="62"/>
      <c r="AED2" s="62"/>
      <c r="AEE2" s="62"/>
      <c r="AEF2" s="62"/>
      <c r="AEG2" s="62"/>
      <c r="AEH2" s="62"/>
      <c r="AEI2" s="62"/>
      <c r="AEJ2" s="62"/>
      <c r="AEK2" s="62"/>
      <c r="AEL2" s="62"/>
      <c r="AEM2" s="62"/>
      <c r="AEN2" s="62"/>
      <c r="AEO2" s="62"/>
      <c r="AEP2" s="62"/>
      <c r="AEQ2" s="62"/>
      <c r="AER2" s="62"/>
      <c r="AES2" s="62"/>
      <c r="AET2" s="62"/>
      <c r="AEU2" s="62"/>
      <c r="AEV2" s="62"/>
      <c r="AEW2" s="62"/>
      <c r="AEX2" s="62"/>
      <c r="AEY2" s="62"/>
      <c r="AEZ2" s="62"/>
      <c r="AFA2" s="62"/>
      <c r="AFB2" s="62"/>
      <c r="AFC2" s="62"/>
      <c r="AFD2" s="62"/>
      <c r="AFE2" s="62"/>
      <c r="AFF2" s="62"/>
      <c r="AFG2" s="62"/>
      <c r="AFH2" s="62"/>
      <c r="AFI2" s="62"/>
      <c r="AFJ2" s="62"/>
      <c r="AFK2" s="62"/>
      <c r="AFL2" s="62"/>
      <c r="AFM2" s="62"/>
      <c r="AFN2" s="62"/>
      <c r="AFO2" s="62"/>
      <c r="AFP2" s="62"/>
      <c r="AFQ2" s="62"/>
      <c r="AFR2" s="62"/>
      <c r="AFS2" s="62"/>
      <c r="AFT2" s="62"/>
      <c r="AFU2" s="62"/>
      <c r="AFV2" s="62"/>
      <c r="AFW2" s="62"/>
      <c r="AFX2" s="62"/>
      <c r="AFY2" s="62"/>
      <c r="AFZ2" s="62"/>
      <c r="AGA2" s="62"/>
      <c r="AGB2" s="62"/>
      <c r="AGC2" s="62"/>
      <c r="AGD2" s="62"/>
      <c r="AGE2" s="62"/>
      <c r="AGF2" s="62"/>
      <c r="AGG2" s="62"/>
      <c r="AGH2" s="62"/>
      <c r="AGI2" s="62"/>
      <c r="AGJ2" s="62"/>
      <c r="AGK2" s="62"/>
      <c r="AGL2" s="62"/>
      <c r="AGM2" s="62"/>
      <c r="AGN2" s="62"/>
      <c r="AGO2" s="62"/>
      <c r="AGP2" s="62"/>
      <c r="AGQ2" s="62"/>
      <c r="AGR2" s="62"/>
      <c r="AGS2" s="62"/>
      <c r="AGT2" s="62"/>
      <c r="AGU2" s="62"/>
      <c r="AGV2" s="62"/>
      <c r="AGW2" s="62"/>
      <c r="AGX2" s="62"/>
      <c r="AGY2" s="62"/>
      <c r="AGZ2" s="62"/>
      <c r="AHA2" s="62"/>
      <c r="AHB2" s="62"/>
      <c r="AHC2" s="62"/>
      <c r="AHD2" s="62"/>
      <c r="AHE2" s="62"/>
      <c r="AHF2" s="62"/>
      <c r="AHG2" s="62"/>
      <c r="AHH2" s="62"/>
      <c r="AHI2" s="62"/>
      <c r="AHJ2" s="62"/>
      <c r="AHK2" s="62"/>
      <c r="AHL2" s="62"/>
      <c r="AHM2" s="62"/>
      <c r="AHN2" s="62"/>
      <c r="AHO2" s="62"/>
      <c r="AHP2" s="62"/>
      <c r="AHQ2" s="62"/>
      <c r="AHR2" s="62"/>
      <c r="AHS2" s="62"/>
      <c r="AHT2" s="62"/>
      <c r="AHU2" s="62"/>
      <c r="AHV2" s="62"/>
      <c r="AHW2" s="62"/>
      <c r="AHX2" s="62"/>
      <c r="AHY2" s="62"/>
      <c r="AHZ2" s="62"/>
      <c r="AIA2" s="62"/>
      <c r="AIB2" s="62"/>
      <c r="AIC2" s="62"/>
      <c r="AID2" s="62"/>
      <c r="AIE2" s="62"/>
      <c r="AIF2" s="62"/>
      <c r="AIG2" s="62"/>
      <c r="AIH2" s="62"/>
      <c r="AII2" s="62"/>
      <c r="AIJ2" s="62"/>
      <c r="AIK2" s="62"/>
      <c r="AIL2" s="62"/>
      <c r="AIM2" s="62"/>
      <c r="AIN2" s="62"/>
      <c r="AIO2" s="62"/>
      <c r="AIP2" s="62"/>
      <c r="AIQ2" s="62"/>
      <c r="AIR2" s="62"/>
      <c r="AIS2" s="62"/>
      <c r="AIT2" s="62"/>
      <c r="AIU2" s="62"/>
      <c r="AIV2" s="62"/>
      <c r="AIW2" s="62"/>
      <c r="AIX2" s="62"/>
      <c r="AIY2" s="62"/>
      <c r="AIZ2" s="62"/>
      <c r="AJA2" s="62"/>
      <c r="AJB2" s="62"/>
      <c r="AJC2" s="62"/>
      <c r="AJD2" s="62"/>
      <c r="AJE2" s="62"/>
      <c r="AJF2" s="62"/>
      <c r="AJG2" s="62"/>
      <c r="AJH2" s="62"/>
      <c r="AJI2" s="62"/>
      <c r="AJJ2" s="62"/>
      <c r="AJK2" s="62"/>
      <c r="AJL2" s="62"/>
      <c r="AJM2" s="62"/>
      <c r="AJN2" s="62"/>
      <c r="AJO2" s="62"/>
      <c r="AJP2" s="62"/>
      <c r="AJQ2" s="62"/>
      <c r="AJR2" s="62"/>
      <c r="AJS2" s="62"/>
      <c r="AJT2" s="62"/>
      <c r="AJU2" s="62"/>
      <c r="AJV2" s="62"/>
      <c r="AJW2" s="62"/>
      <c r="AJX2" s="62"/>
      <c r="AJY2" s="62"/>
      <c r="AJZ2" s="62"/>
      <c r="AKA2" s="62"/>
      <c r="AKB2" s="62"/>
      <c r="AKC2" s="62"/>
      <c r="AKD2" s="62"/>
      <c r="AKE2" s="62"/>
      <c r="AKF2" s="62"/>
      <c r="AKG2" s="62"/>
      <c r="AKH2" s="62"/>
      <c r="AKI2" s="62"/>
      <c r="AKJ2" s="62"/>
      <c r="AKK2" s="62"/>
      <c r="AKL2" s="62"/>
      <c r="AKM2" s="62"/>
      <c r="AKN2" s="62"/>
      <c r="AKO2" s="62"/>
      <c r="AKP2" s="62"/>
      <c r="AKQ2" s="62"/>
      <c r="AKR2" s="62"/>
      <c r="AKS2" s="62"/>
      <c r="AKT2" s="62"/>
      <c r="AKU2" s="62"/>
      <c r="AKV2" s="62"/>
      <c r="AKW2" s="62"/>
      <c r="AKX2" s="62"/>
      <c r="AKY2" s="62"/>
      <c r="AKZ2" s="62"/>
      <c r="ALA2" s="62"/>
      <c r="ALB2" s="62"/>
      <c r="ALC2" s="62"/>
      <c r="ALD2" s="62"/>
      <c r="ALE2" s="62"/>
      <c r="ALF2" s="62"/>
      <c r="ALG2" s="62"/>
      <c r="ALH2" s="62"/>
      <c r="ALI2" s="62"/>
      <c r="ALJ2" s="62"/>
      <c r="ALK2" s="62"/>
      <c r="ALL2" s="62"/>
      <c r="ALM2" s="62"/>
      <c r="ALN2" s="62"/>
      <c r="ALO2" s="62"/>
      <c r="ALP2" s="62"/>
      <c r="ALQ2" s="62"/>
      <c r="ALR2" s="62"/>
      <c r="ALS2" s="62"/>
      <c r="ALT2" s="62"/>
      <c r="ALU2" s="62"/>
      <c r="ALV2" s="62"/>
      <c r="ALW2" s="62"/>
      <c r="ALX2" s="62"/>
      <c r="ALY2" s="62"/>
      <c r="ALZ2" s="62"/>
      <c r="AMA2" s="62"/>
      <c r="AMB2" s="62"/>
      <c r="AMC2" s="62"/>
      <c r="AMD2" s="62"/>
      <c r="AME2" s="62"/>
      <c r="AMF2" s="62"/>
      <c r="AMG2" s="62"/>
      <c r="AMH2" s="62"/>
      <c r="AMI2" s="62"/>
      <c r="AMJ2" s="62"/>
      <c r="AMK2" s="62"/>
      <c r="AML2" s="62"/>
      <c r="AMM2" s="62"/>
      <c r="AMN2" s="62"/>
      <c r="AMO2" s="62"/>
      <c r="AMP2" s="62"/>
      <c r="AMQ2" s="62"/>
      <c r="AMR2" s="62"/>
      <c r="AMS2" s="62"/>
      <c r="AMT2" s="62"/>
      <c r="AMU2" s="62"/>
      <c r="AMV2" s="62"/>
      <c r="AMW2" s="62"/>
      <c r="AMX2" s="62"/>
      <c r="AMY2" s="62"/>
      <c r="AMZ2" s="62"/>
      <c r="ANA2" s="62"/>
      <c r="ANB2" s="62"/>
      <c r="ANC2" s="62"/>
      <c r="AND2" s="62"/>
      <c r="ANE2" s="62"/>
      <c r="ANF2" s="62"/>
      <c r="ANG2" s="62"/>
      <c r="ANH2" s="62"/>
      <c r="ANI2" s="62"/>
      <c r="ANJ2" s="62"/>
      <c r="ANK2" s="62"/>
      <c r="ANL2" s="62"/>
      <c r="ANM2" s="62"/>
      <c r="ANN2" s="62"/>
      <c r="ANO2" s="62"/>
      <c r="ANP2" s="62"/>
      <c r="ANQ2" s="62"/>
      <c r="ANR2" s="62"/>
      <c r="ANS2" s="62"/>
      <c r="ANT2" s="62"/>
      <c r="ANU2" s="62"/>
      <c r="ANV2" s="62"/>
      <c r="ANW2" s="62"/>
      <c r="ANX2" s="62"/>
      <c r="ANY2" s="62"/>
      <c r="ANZ2" s="62"/>
      <c r="AOA2" s="62"/>
      <c r="AOB2" s="62"/>
      <c r="AOC2" s="62"/>
      <c r="AOD2" s="62"/>
      <c r="AOE2" s="62"/>
      <c r="AOF2" s="62"/>
      <c r="AOG2" s="62"/>
      <c r="AOH2" s="62"/>
      <c r="AOI2" s="62"/>
      <c r="AOJ2" s="62"/>
      <c r="AOK2" s="62"/>
      <c r="AOL2" s="62"/>
      <c r="AOM2" s="62"/>
      <c r="AON2" s="62"/>
      <c r="AOO2" s="62"/>
      <c r="AOP2" s="62"/>
      <c r="AOQ2" s="62"/>
      <c r="AOR2" s="62"/>
      <c r="AOS2" s="62"/>
      <c r="AOT2" s="62"/>
      <c r="AOU2" s="62"/>
      <c r="AOV2" s="62"/>
      <c r="AOW2" s="62"/>
      <c r="AOX2" s="62"/>
      <c r="AOY2" s="62"/>
      <c r="AOZ2" s="62"/>
      <c r="APA2" s="62"/>
      <c r="APB2" s="62"/>
      <c r="APC2" s="62"/>
      <c r="APD2" s="62"/>
      <c r="APE2" s="62"/>
      <c r="APF2" s="62"/>
      <c r="APG2" s="62"/>
      <c r="APH2" s="62"/>
      <c r="API2" s="62"/>
      <c r="APJ2" s="62"/>
      <c r="APK2" s="62"/>
      <c r="APL2" s="62"/>
      <c r="APM2" s="62"/>
      <c r="APN2" s="62"/>
      <c r="APO2" s="62"/>
      <c r="APP2" s="62"/>
      <c r="APQ2" s="62"/>
      <c r="APR2" s="62"/>
      <c r="APS2" s="62"/>
      <c r="APT2" s="62"/>
      <c r="APU2" s="62"/>
      <c r="APV2" s="62"/>
      <c r="APW2" s="62"/>
      <c r="APX2" s="62"/>
      <c r="APY2" s="62"/>
      <c r="APZ2" s="62"/>
      <c r="AQA2" s="62"/>
      <c r="AQB2" s="62"/>
      <c r="AQC2" s="62"/>
      <c r="AQD2" s="62"/>
      <c r="AQE2" s="62"/>
      <c r="AQF2" s="62"/>
      <c r="AQG2" s="62"/>
      <c r="AQH2" s="62"/>
      <c r="AQI2" s="62"/>
      <c r="AQJ2" s="62"/>
      <c r="AQK2" s="62"/>
      <c r="AQL2" s="62"/>
      <c r="AQM2" s="62"/>
      <c r="AQN2" s="62"/>
      <c r="AQO2" s="62"/>
      <c r="AQP2" s="62"/>
      <c r="AQQ2" s="62"/>
      <c r="AQR2" s="62"/>
      <c r="AQS2" s="62"/>
      <c r="AQT2" s="62"/>
      <c r="AQU2" s="62"/>
      <c r="AQV2" s="62"/>
      <c r="AQW2" s="62"/>
      <c r="AQX2" s="62"/>
      <c r="AQY2" s="62"/>
      <c r="AQZ2" s="62"/>
      <c r="ARA2" s="62"/>
      <c r="ARB2" s="62"/>
      <c r="ARC2" s="62"/>
      <c r="ARD2" s="62"/>
      <c r="ARE2" s="62"/>
      <c r="ARF2" s="62"/>
      <c r="ARG2" s="62"/>
      <c r="ARH2" s="62"/>
      <c r="ARI2" s="62"/>
      <c r="ARJ2" s="62"/>
      <c r="ARK2" s="62"/>
      <c r="ARL2" s="62"/>
      <c r="ARM2" s="62"/>
      <c r="ARN2" s="62"/>
      <c r="ARO2" s="62"/>
      <c r="ARP2" s="62"/>
      <c r="ARQ2" s="62"/>
      <c r="ARR2" s="62"/>
      <c r="ARS2" s="62"/>
      <c r="ART2" s="62"/>
      <c r="ARU2" s="62"/>
      <c r="ARV2" s="62"/>
      <c r="ARW2" s="62"/>
      <c r="ARX2" s="62"/>
      <c r="ARY2" s="62"/>
      <c r="ARZ2" s="62"/>
      <c r="ASA2" s="62"/>
      <c r="ASB2" s="62"/>
      <c r="ASC2" s="62"/>
      <c r="ASD2" s="62"/>
      <c r="ASE2" s="62"/>
      <c r="ASF2" s="62"/>
      <c r="ASG2" s="62"/>
      <c r="ASH2" s="62"/>
      <c r="ASI2" s="62"/>
      <c r="ASJ2" s="62"/>
      <c r="ASK2" s="62"/>
      <c r="ASL2" s="62"/>
      <c r="ASM2" s="62"/>
      <c r="ASN2" s="62"/>
      <c r="ASO2" s="62"/>
      <c r="ASP2" s="62"/>
      <c r="ASQ2" s="62"/>
      <c r="ASR2" s="62"/>
      <c r="ASS2" s="62"/>
      <c r="AST2" s="62"/>
      <c r="ASU2" s="62"/>
      <c r="ASV2" s="62"/>
      <c r="ASW2" s="62"/>
      <c r="ASX2" s="62"/>
      <c r="ASY2" s="62"/>
      <c r="ASZ2" s="62"/>
      <c r="ATA2" s="62"/>
      <c r="ATB2" s="62"/>
      <c r="ATC2" s="62"/>
      <c r="ATD2" s="62"/>
      <c r="ATE2" s="62"/>
      <c r="ATF2" s="62"/>
      <c r="ATG2" s="62"/>
      <c r="ATH2" s="62"/>
      <c r="ATI2" s="62"/>
      <c r="ATJ2" s="62"/>
      <c r="ATK2" s="62"/>
      <c r="ATL2" s="62"/>
      <c r="ATM2" s="62"/>
      <c r="ATN2" s="62"/>
      <c r="ATO2" s="62"/>
      <c r="ATP2" s="62"/>
      <c r="ATQ2" s="62"/>
      <c r="ATR2" s="62"/>
      <c r="ATS2" s="62"/>
      <c r="ATT2" s="62"/>
      <c r="ATU2" s="62"/>
      <c r="ATV2" s="62"/>
      <c r="ATW2" s="62"/>
      <c r="ATX2" s="62"/>
      <c r="ATY2" s="62"/>
      <c r="ATZ2" s="62"/>
      <c r="AUA2" s="62"/>
      <c r="AUB2" s="62"/>
      <c r="AUC2" s="62"/>
      <c r="AUD2" s="62"/>
      <c r="AUE2" s="62"/>
      <c r="AUF2" s="62"/>
      <c r="AUG2" s="62"/>
      <c r="AUH2" s="62"/>
      <c r="AUI2" s="62"/>
      <c r="AUJ2" s="62"/>
      <c r="AUK2" s="62"/>
      <c r="AUL2" s="62"/>
      <c r="AUM2" s="62"/>
      <c r="AUN2" s="62"/>
      <c r="AUO2" s="62"/>
      <c r="AUP2" s="62"/>
      <c r="AUQ2" s="62"/>
      <c r="AUR2" s="62"/>
      <c r="AUS2" s="62"/>
      <c r="AUT2" s="62"/>
      <c r="AUU2" s="62"/>
      <c r="AUV2" s="62"/>
      <c r="AUW2" s="62"/>
      <c r="AUX2" s="62"/>
      <c r="AUY2" s="62"/>
      <c r="AUZ2" s="62"/>
      <c r="AVA2" s="62"/>
      <c r="AVB2" s="62"/>
      <c r="AVC2" s="62"/>
      <c r="AVD2" s="62"/>
      <c r="AVE2" s="62"/>
      <c r="AVF2" s="62"/>
      <c r="AVG2" s="62"/>
      <c r="AVH2" s="62"/>
      <c r="AVI2" s="62"/>
      <c r="AVJ2" s="62"/>
      <c r="AVK2" s="62"/>
      <c r="AVL2" s="62"/>
      <c r="AVM2" s="62"/>
      <c r="AVN2" s="62"/>
      <c r="AVO2" s="62"/>
      <c r="AVP2" s="62"/>
      <c r="AVQ2" s="62"/>
      <c r="AVR2" s="62"/>
      <c r="AVS2" s="62"/>
      <c r="AVT2" s="62"/>
      <c r="AVU2" s="62"/>
      <c r="AVV2" s="62"/>
      <c r="AVW2" s="62"/>
      <c r="AVX2" s="62"/>
      <c r="AVY2" s="62"/>
      <c r="AVZ2" s="62"/>
      <c r="AWA2" s="62"/>
      <c r="AWB2" s="62"/>
      <c r="AWC2" s="62"/>
      <c r="AWD2" s="62"/>
      <c r="AWE2" s="62"/>
      <c r="AWF2" s="62"/>
      <c r="AWG2" s="62"/>
      <c r="AWH2" s="62"/>
      <c r="AWI2" s="62"/>
      <c r="AWJ2" s="62"/>
      <c r="AWK2" s="62"/>
      <c r="AWL2" s="62"/>
      <c r="AWM2" s="62"/>
      <c r="AWN2" s="62"/>
      <c r="AWO2" s="62"/>
      <c r="AWP2" s="62"/>
      <c r="AWQ2" s="62"/>
      <c r="AWR2" s="62"/>
      <c r="AWS2" s="62"/>
      <c r="AWT2" s="62"/>
      <c r="AWU2" s="62"/>
      <c r="AWV2" s="62"/>
      <c r="AWW2" s="62"/>
      <c r="AWX2" s="62"/>
      <c r="AWY2" s="62"/>
      <c r="AWZ2" s="62"/>
      <c r="AXA2" s="62"/>
      <c r="AXB2" s="62"/>
      <c r="AXC2" s="62"/>
      <c r="AXD2" s="62"/>
      <c r="AXE2" s="62"/>
      <c r="AXF2" s="62"/>
      <c r="AXG2" s="62"/>
      <c r="AXH2" s="62"/>
      <c r="AXI2" s="62"/>
      <c r="AXJ2" s="62"/>
      <c r="AXK2" s="62"/>
      <c r="AXL2" s="62"/>
      <c r="AXM2" s="62"/>
      <c r="AXN2" s="62"/>
      <c r="AXO2" s="62"/>
      <c r="AXP2" s="62"/>
      <c r="AXQ2" s="62"/>
      <c r="AXR2" s="62"/>
      <c r="AXS2" s="62"/>
      <c r="AXT2" s="62"/>
      <c r="AXU2" s="62"/>
      <c r="AXV2" s="62"/>
      <c r="AXW2" s="62"/>
      <c r="AXX2" s="62"/>
      <c r="AXY2" s="62"/>
      <c r="AXZ2" s="62"/>
      <c r="AYA2" s="62"/>
      <c r="AYB2" s="62"/>
      <c r="AYC2" s="62"/>
      <c r="AYD2" s="62"/>
      <c r="AYE2" s="62"/>
      <c r="AYF2" s="62"/>
      <c r="AYG2" s="62"/>
      <c r="AYH2" s="62"/>
      <c r="AYI2" s="62"/>
      <c r="AYJ2" s="62"/>
      <c r="AYK2" s="62"/>
      <c r="AYL2" s="62"/>
      <c r="AYM2" s="62"/>
      <c r="AYN2" s="62"/>
      <c r="AYO2" s="62"/>
      <c r="AYP2" s="62"/>
      <c r="AYQ2" s="62"/>
      <c r="AYR2" s="62"/>
      <c r="AYS2" s="62"/>
      <c r="AYT2" s="62"/>
      <c r="AYU2" s="62"/>
      <c r="AYV2" s="62"/>
      <c r="AYW2" s="62"/>
      <c r="AYX2" s="62"/>
      <c r="AYY2" s="62"/>
      <c r="AYZ2" s="62"/>
      <c r="AZA2" s="62"/>
      <c r="AZB2" s="62"/>
      <c r="AZC2" s="62"/>
      <c r="AZD2" s="62"/>
      <c r="AZE2" s="62"/>
      <c r="AZF2" s="62"/>
      <c r="AZG2" s="62"/>
      <c r="AZH2" s="62"/>
      <c r="AZI2" s="62"/>
      <c r="AZJ2" s="62"/>
      <c r="AZK2" s="62"/>
      <c r="AZL2" s="62"/>
      <c r="AZM2" s="62"/>
      <c r="AZN2" s="62"/>
      <c r="AZO2" s="62"/>
      <c r="AZP2" s="62"/>
      <c r="AZQ2" s="62"/>
      <c r="AZR2" s="62"/>
      <c r="AZS2" s="62"/>
      <c r="AZT2" s="62"/>
      <c r="AZU2" s="62"/>
      <c r="AZV2" s="62"/>
      <c r="AZW2" s="62"/>
      <c r="AZX2" s="62"/>
      <c r="AZY2" s="62"/>
      <c r="AZZ2" s="62"/>
      <c r="BAA2" s="62"/>
      <c r="BAB2" s="62"/>
      <c r="BAC2" s="62"/>
      <c r="BAD2" s="62"/>
      <c r="BAE2" s="62"/>
      <c r="BAF2" s="62"/>
      <c r="BAG2" s="62"/>
      <c r="BAH2" s="62"/>
      <c r="BAI2" s="62"/>
      <c r="BAJ2" s="62"/>
      <c r="BAK2" s="62"/>
      <c r="BAL2" s="62"/>
      <c r="BAM2" s="62"/>
      <c r="BAN2" s="62"/>
      <c r="BAO2" s="62"/>
      <c r="BAP2" s="62"/>
      <c r="BAQ2" s="62"/>
      <c r="BAR2" s="62"/>
      <c r="BAS2" s="62"/>
      <c r="BAT2" s="62"/>
      <c r="BAU2" s="62"/>
      <c r="BAV2" s="62"/>
      <c r="BAW2" s="62"/>
      <c r="BAX2" s="62"/>
      <c r="BAY2" s="62"/>
      <c r="BAZ2" s="62"/>
      <c r="BBA2" s="62"/>
      <c r="BBB2" s="62"/>
      <c r="BBC2" s="62"/>
      <c r="BBD2" s="62"/>
      <c r="BBE2" s="62"/>
      <c r="BBF2" s="62"/>
      <c r="BBG2" s="62"/>
      <c r="BBH2" s="62"/>
      <c r="BBI2" s="62"/>
      <c r="BBJ2" s="62"/>
      <c r="BBK2" s="62"/>
      <c r="BBL2" s="62"/>
      <c r="BBM2" s="62"/>
      <c r="BBN2" s="62"/>
      <c r="BBO2" s="62"/>
      <c r="BBP2" s="62"/>
      <c r="BBQ2" s="62"/>
      <c r="BBR2" s="62"/>
      <c r="BBS2" s="62"/>
      <c r="BBT2" s="62"/>
      <c r="BBU2" s="62"/>
      <c r="BBV2" s="62"/>
      <c r="BBW2" s="62"/>
      <c r="BBX2" s="62"/>
      <c r="BBY2" s="62"/>
      <c r="BBZ2" s="62"/>
      <c r="BCA2" s="62"/>
      <c r="BCB2" s="62"/>
      <c r="BCC2" s="62"/>
      <c r="BCD2" s="62"/>
      <c r="BCE2" s="62"/>
      <c r="BCF2" s="62"/>
      <c r="BCG2" s="62"/>
      <c r="BCH2" s="62"/>
      <c r="BCI2" s="62"/>
      <c r="BCJ2" s="62"/>
      <c r="BCK2" s="62"/>
      <c r="BCL2" s="62"/>
      <c r="BCM2" s="62"/>
      <c r="BCN2" s="62"/>
      <c r="BCO2" s="62"/>
      <c r="BCP2" s="62"/>
      <c r="BCQ2" s="62"/>
      <c r="BCR2" s="62"/>
      <c r="BCS2" s="62"/>
      <c r="BCT2" s="62"/>
      <c r="BCU2" s="62"/>
      <c r="BCV2" s="62"/>
      <c r="BCW2" s="62"/>
      <c r="BCX2" s="62"/>
      <c r="BCY2" s="62"/>
      <c r="BCZ2" s="62"/>
      <c r="BDA2" s="62"/>
      <c r="BDB2" s="62"/>
      <c r="BDC2" s="62"/>
      <c r="BDD2" s="62"/>
      <c r="BDE2" s="62"/>
      <c r="BDF2" s="62"/>
      <c r="BDG2" s="62"/>
      <c r="BDH2" s="62"/>
      <c r="BDI2" s="62"/>
      <c r="BDJ2" s="62"/>
      <c r="BDK2" s="62"/>
      <c r="BDL2" s="62"/>
      <c r="BDM2" s="62"/>
      <c r="BDN2" s="62"/>
      <c r="BDO2" s="62"/>
      <c r="BDP2" s="62"/>
      <c r="BDQ2" s="62"/>
      <c r="BDR2" s="62"/>
      <c r="BDS2" s="62"/>
      <c r="BDT2" s="62"/>
      <c r="BDU2" s="62"/>
      <c r="BDV2" s="62"/>
      <c r="BDW2" s="62"/>
      <c r="BDX2" s="62"/>
      <c r="BDY2" s="62"/>
      <c r="BDZ2" s="62"/>
      <c r="BEA2" s="62"/>
      <c r="BEB2" s="62"/>
      <c r="BEC2" s="62"/>
      <c r="BED2" s="62"/>
      <c r="BEE2" s="62"/>
      <c r="BEF2" s="62"/>
      <c r="BEG2" s="62"/>
      <c r="BEH2" s="62"/>
      <c r="BEI2" s="62"/>
      <c r="BEJ2" s="62"/>
      <c r="BEK2" s="62"/>
      <c r="BEL2" s="62"/>
      <c r="BEM2" s="62"/>
      <c r="BEN2" s="62"/>
      <c r="BEO2" s="62"/>
      <c r="BEP2" s="62"/>
      <c r="BEQ2" s="62"/>
      <c r="BER2" s="62"/>
      <c r="BES2" s="62"/>
      <c r="BET2" s="62"/>
      <c r="BEU2" s="62"/>
      <c r="BEV2" s="62"/>
      <c r="BEW2" s="62"/>
      <c r="BEX2" s="62"/>
      <c r="BEY2" s="62"/>
      <c r="BEZ2" s="62"/>
      <c r="BFA2" s="62"/>
      <c r="BFB2" s="62"/>
      <c r="BFC2" s="62"/>
      <c r="BFD2" s="62"/>
      <c r="BFE2" s="62"/>
      <c r="BFF2" s="62"/>
      <c r="BFG2" s="62"/>
      <c r="BFH2" s="62"/>
      <c r="BFI2" s="62"/>
      <c r="BFJ2" s="62"/>
      <c r="BFK2" s="62"/>
      <c r="BFL2" s="62"/>
      <c r="BFM2" s="62"/>
      <c r="BFN2" s="62"/>
      <c r="BFO2" s="62"/>
      <c r="BFP2" s="62"/>
      <c r="BFQ2" s="62"/>
      <c r="BFR2" s="62"/>
      <c r="BFS2" s="62"/>
      <c r="BFT2" s="62"/>
      <c r="BFU2" s="62"/>
      <c r="BFV2" s="62"/>
      <c r="BFW2" s="62"/>
      <c r="BFX2" s="62"/>
      <c r="BFY2" s="62"/>
      <c r="BFZ2" s="62"/>
      <c r="BGA2" s="62"/>
      <c r="BGB2" s="62"/>
      <c r="BGC2" s="62"/>
      <c r="BGD2" s="62"/>
      <c r="BGE2" s="62"/>
      <c r="BGF2" s="62"/>
      <c r="BGG2" s="62"/>
      <c r="BGH2" s="62"/>
      <c r="BGI2" s="62"/>
      <c r="BGJ2" s="62"/>
      <c r="BGK2" s="62"/>
      <c r="BGL2" s="62"/>
      <c r="BGM2" s="62"/>
      <c r="BGN2" s="62"/>
      <c r="BGO2" s="62"/>
      <c r="BGP2" s="62"/>
      <c r="BGQ2" s="62"/>
      <c r="BGR2" s="62"/>
      <c r="BGS2" s="62"/>
      <c r="BGT2" s="62"/>
      <c r="BGU2" s="62"/>
      <c r="BGV2" s="62"/>
      <c r="BGW2" s="62"/>
      <c r="BGX2" s="62"/>
      <c r="BGY2" s="62"/>
      <c r="BGZ2" s="62"/>
      <c r="BHA2" s="62"/>
      <c r="BHB2" s="62"/>
      <c r="BHC2" s="62"/>
      <c r="BHD2" s="62"/>
      <c r="BHE2" s="62"/>
      <c r="BHF2" s="62"/>
      <c r="BHG2" s="62"/>
      <c r="BHH2" s="62"/>
      <c r="BHI2" s="62"/>
      <c r="BHJ2" s="62"/>
      <c r="BHK2" s="62"/>
      <c r="BHL2" s="62"/>
      <c r="BHM2" s="62"/>
      <c r="BHN2" s="62"/>
      <c r="BHO2" s="62"/>
      <c r="BHP2" s="62"/>
      <c r="BHQ2" s="62"/>
      <c r="BHR2" s="62"/>
      <c r="BHS2" s="62"/>
      <c r="BHT2" s="62"/>
      <c r="BHU2" s="62"/>
      <c r="BHV2" s="62"/>
      <c r="BHW2" s="62"/>
      <c r="BHX2" s="62"/>
      <c r="BHY2" s="62"/>
      <c r="BHZ2" s="62"/>
      <c r="BIA2" s="62"/>
      <c r="BIB2" s="62"/>
      <c r="BIC2" s="62"/>
      <c r="BID2" s="62"/>
      <c r="BIE2" s="62"/>
      <c r="BIF2" s="62"/>
      <c r="BIG2" s="62"/>
      <c r="BIH2" s="62"/>
      <c r="BII2" s="62"/>
      <c r="BIJ2" s="62"/>
      <c r="BIK2" s="62"/>
      <c r="BIL2" s="62"/>
      <c r="BIM2" s="62"/>
      <c r="BIN2" s="62"/>
      <c r="BIO2" s="62"/>
      <c r="BIP2" s="62"/>
      <c r="BIQ2" s="62"/>
      <c r="BIR2" s="62"/>
      <c r="BIS2" s="62"/>
      <c r="BIT2" s="62"/>
      <c r="BIU2" s="62"/>
      <c r="BIV2" s="62"/>
      <c r="BIW2" s="62"/>
      <c r="BIX2" s="62"/>
      <c r="BIY2" s="62"/>
      <c r="BIZ2" s="62"/>
      <c r="BJA2" s="62"/>
      <c r="BJB2" s="62"/>
      <c r="BJC2" s="62"/>
      <c r="BJD2" s="62"/>
      <c r="BJE2" s="62"/>
      <c r="BJF2" s="62"/>
      <c r="BJG2" s="62"/>
      <c r="BJH2" s="62"/>
      <c r="BJI2" s="62"/>
      <c r="BJJ2" s="62"/>
      <c r="BJK2" s="62"/>
      <c r="BJL2" s="62"/>
      <c r="BJM2" s="62"/>
      <c r="BJN2" s="62"/>
      <c r="BJO2" s="62"/>
      <c r="BJP2" s="62"/>
      <c r="BJQ2" s="62"/>
      <c r="BJR2" s="62"/>
      <c r="BJS2" s="62"/>
      <c r="BJT2" s="62"/>
      <c r="BJU2" s="62"/>
      <c r="BJV2" s="62"/>
      <c r="BJW2" s="62"/>
      <c r="BJX2" s="62"/>
      <c r="BJY2" s="62"/>
      <c r="BJZ2" s="62"/>
      <c r="BKA2" s="62"/>
      <c r="BKB2" s="62"/>
      <c r="BKC2" s="62"/>
      <c r="BKD2" s="62"/>
      <c r="BKE2" s="62"/>
      <c r="BKF2" s="62"/>
      <c r="BKG2" s="62"/>
      <c r="BKH2" s="62"/>
      <c r="BKI2" s="62"/>
      <c r="BKJ2" s="62"/>
      <c r="BKK2" s="62"/>
      <c r="BKL2" s="62"/>
      <c r="BKM2" s="62"/>
      <c r="BKN2" s="62"/>
      <c r="BKO2" s="62"/>
      <c r="BKP2" s="62"/>
      <c r="BKQ2" s="62"/>
      <c r="BKR2" s="62"/>
      <c r="BKS2" s="62"/>
      <c r="BKT2" s="62"/>
      <c r="BKU2" s="62"/>
      <c r="BKV2" s="62"/>
      <c r="BKW2" s="62"/>
      <c r="BKX2" s="62"/>
      <c r="BKY2" s="62"/>
      <c r="BKZ2" s="62"/>
      <c r="BLA2" s="62"/>
      <c r="BLB2" s="62"/>
      <c r="BLC2" s="62"/>
      <c r="BLD2" s="62"/>
      <c r="BLE2" s="62"/>
      <c r="BLF2" s="62"/>
      <c r="BLG2" s="62"/>
      <c r="BLH2" s="62"/>
      <c r="BLI2" s="62"/>
      <c r="BLJ2" s="62"/>
      <c r="BLK2" s="62"/>
      <c r="BLL2" s="62"/>
      <c r="BLM2" s="62"/>
      <c r="BLN2" s="62"/>
      <c r="BLO2" s="62"/>
      <c r="BLP2" s="62"/>
      <c r="BLQ2" s="62"/>
      <c r="BLR2" s="62"/>
      <c r="BLS2" s="62"/>
      <c r="BLT2" s="62"/>
      <c r="BLU2" s="62"/>
      <c r="BLV2" s="62"/>
      <c r="BLW2" s="62"/>
      <c r="BLX2" s="62"/>
      <c r="BLY2" s="62"/>
      <c r="BLZ2" s="62"/>
      <c r="BMA2" s="62"/>
      <c r="BMB2" s="62"/>
      <c r="BMC2" s="62"/>
      <c r="BMD2" s="62"/>
      <c r="BME2" s="62"/>
      <c r="BMF2" s="62"/>
      <c r="BMG2" s="62"/>
      <c r="BMH2" s="62"/>
      <c r="BMI2" s="62"/>
      <c r="BMJ2" s="62"/>
      <c r="BMK2" s="62"/>
      <c r="BML2" s="62"/>
      <c r="BMM2" s="62"/>
      <c r="BMN2" s="62"/>
      <c r="BMO2" s="62"/>
      <c r="BMP2" s="62"/>
      <c r="BMQ2" s="62"/>
      <c r="BMR2" s="62"/>
      <c r="BMS2" s="62"/>
      <c r="BMT2" s="62"/>
      <c r="BMU2" s="62"/>
      <c r="BMV2" s="62"/>
      <c r="BMW2" s="62"/>
      <c r="BMX2" s="62"/>
      <c r="BMY2" s="62"/>
      <c r="BMZ2" s="62"/>
      <c r="BNA2" s="62"/>
      <c r="BNB2" s="62"/>
      <c r="BNC2" s="62"/>
      <c r="BND2" s="62"/>
      <c r="BNE2" s="62"/>
      <c r="BNF2" s="62"/>
      <c r="BNG2" s="62"/>
      <c r="BNH2" s="62"/>
      <c r="BNI2" s="62"/>
      <c r="BNJ2" s="62"/>
      <c r="BNK2" s="62"/>
      <c r="BNL2" s="62"/>
      <c r="BNM2" s="62"/>
      <c r="BNN2" s="62"/>
      <c r="BNO2" s="62"/>
      <c r="BNP2" s="62"/>
      <c r="BNQ2" s="62"/>
      <c r="BNR2" s="62"/>
      <c r="BNS2" s="62"/>
      <c r="BNT2" s="62"/>
      <c r="BNU2" s="62"/>
      <c r="BNV2" s="62"/>
      <c r="BNW2" s="62"/>
      <c r="BNX2" s="62"/>
      <c r="BNY2" s="62"/>
      <c r="BNZ2" s="62"/>
      <c r="BOA2" s="62"/>
      <c r="BOB2" s="62"/>
      <c r="BOC2" s="62"/>
      <c r="BOD2" s="62"/>
      <c r="BOE2" s="62"/>
      <c r="BOF2" s="62"/>
      <c r="BOG2" s="62"/>
      <c r="BOH2" s="62"/>
      <c r="BOI2" s="62"/>
      <c r="BOJ2" s="62"/>
      <c r="BOK2" s="62"/>
      <c r="BOL2" s="62"/>
      <c r="BOM2" s="62"/>
      <c r="BON2" s="62"/>
      <c r="BOO2" s="62"/>
      <c r="BOP2" s="62"/>
      <c r="BOQ2" s="62"/>
      <c r="BOR2" s="62"/>
      <c r="BOS2" s="62"/>
      <c r="BOT2" s="62"/>
      <c r="BOU2" s="62"/>
      <c r="BOV2" s="62"/>
      <c r="BOW2" s="62"/>
      <c r="BOX2" s="62"/>
      <c r="BOY2" s="62"/>
      <c r="BOZ2" s="62"/>
      <c r="BPA2" s="62"/>
      <c r="BPB2" s="62"/>
      <c r="BPC2" s="62"/>
      <c r="BPD2" s="62"/>
      <c r="BPE2" s="62"/>
      <c r="BPF2" s="62"/>
      <c r="BPG2" s="62"/>
      <c r="BPH2" s="62"/>
      <c r="BPI2" s="62"/>
      <c r="BPJ2" s="62"/>
      <c r="BPK2" s="62"/>
      <c r="BPL2" s="62"/>
      <c r="BPM2" s="62"/>
      <c r="BPN2" s="62"/>
      <c r="BPO2" s="62"/>
      <c r="BPP2" s="62"/>
      <c r="BPQ2" s="62"/>
      <c r="BPR2" s="62"/>
      <c r="BPS2" s="62"/>
      <c r="BPT2" s="62"/>
      <c r="BPU2" s="62"/>
      <c r="BPV2" s="62"/>
      <c r="BPW2" s="62"/>
      <c r="BPX2" s="62"/>
      <c r="BPY2" s="62"/>
      <c r="BPZ2" s="62"/>
      <c r="BQA2" s="62"/>
      <c r="BQB2" s="62"/>
      <c r="BQC2" s="62"/>
      <c r="BQD2" s="62"/>
      <c r="BQE2" s="62"/>
      <c r="BQF2" s="62"/>
      <c r="BQG2" s="62"/>
      <c r="BQH2" s="62"/>
      <c r="BQI2" s="62"/>
      <c r="BQJ2" s="62"/>
      <c r="BQK2" s="62"/>
      <c r="BQL2" s="62"/>
      <c r="BQM2" s="62"/>
      <c r="BQN2" s="62"/>
      <c r="BQO2" s="62"/>
      <c r="BQP2" s="62"/>
      <c r="BQQ2" s="62"/>
      <c r="BQR2" s="62"/>
      <c r="BQS2" s="62"/>
      <c r="BQT2" s="62"/>
      <c r="BQU2" s="62"/>
      <c r="BQV2" s="62"/>
      <c r="BQW2" s="62"/>
      <c r="BQX2" s="62"/>
      <c r="BQY2" s="62"/>
      <c r="BQZ2" s="62"/>
      <c r="BRA2" s="62"/>
      <c r="BRB2" s="62"/>
      <c r="BRC2" s="62"/>
      <c r="BRD2" s="62"/>
      <c r="BRE2" s="62"/>
      <c r="BRF2" s="62"/>
      <c r="BRG2" s="62"/>
      <c r="BRH2" s="62"/>
      <c r="BRI2" s="62"/>
      <c r="BRJ2" s="62"/>
      <c r="BRK2" s="62"/>
      <c r="BRL2" s="62"/>
      <c r="BRM2" s="62"/>
      <c r="BRN2" s="62"/>
      <c r="BRO2" s="62"/>
      <c r="BRP2" s="62"/>
      <c r="BRQ2" s="62"/>
      <c r="BRR2" s="62"/>
      <c r="BRS2" s="62"/>
      <c r="BRT2" s="62"/>
      <c r="BRU2" s="62"/>
      <c r="BRV2" s="62"/>
      <c r="BRW2" s="62"/>
      <c r="BRX2" s="62"/>
      <c r="BRY2" s="62"/>
      <c r="BRZ2" s="62"/>
      <c r="BSA2" s="62"/>
      <c r="BSB2" s="62"/>
      <c r="BSC2" s="62"/>
      <c r="BSD2" s="62"/>
      <c r="BSE2" s="62"/>
      <c r="BSF2" s="62"/>
      <c r="BSG2" s="62"/>
      <c r="BSH2" s="62"/>
      <c r="BSI2" s="62"/>
      <c r="BSJ2" s="62"/>
      <c r="BSK2" s="62"/>
      <c r="BSL2" s="62"/>
      <c r="BSM2" s="62"/>
      <c r="BSN2" s="62"/>
      <c r="BSO2" s="62"/>
      <c r="BSP2" s="62"/>
      <c r="BSQ2" s="62"/>
      <c r="BSR2" s="62"/>
      <c r="BSS2" s="62"/>
      <c r="BST2" s="62"/>
      <c r="BSU2" s="62"/>
      <c r="BSV2" s="62"/>
      <c r="BSW2" s="62"/>
      <c r="BSX2" s="62"/>
      <c r="BSY2" s="62"/>
      <c r="BSZ2" s="62"/>
      <c r="BTA2" s="62"/>
      <c r="BTB2" s="62"/>
      <c r="BTC2" s="62"/>
      <c r="BTD2" s="62"/>
      <c r="BTE2" s="62"/>
      <c r="BTF2" s="62"/>
      <c r="BTG2" s="62"/>
      <c r="BTH2" s="62"/>
      <c r="BTI2" s="62"/>
      <c r="BTJ2" s="62"/>
      <c r="BTK2" s="62"/>
      <c r="BTL2" s="62"/>
      <c r="BTM2" s="62"/>
      <c r="BTN2" s="62"/>
      <c r="BTO2" s="62"/>
      <c r="BTP2" s="62"/>
      <c r="BTQ2" s="62"/>
      <c r="BTR2" s="62"/>
      <c r="BTS2" s="62"/>
      <c r="BTT2" s="62"/>
      <c r="BTU2" s="62"/>
      <c r="BTV2" s="62"/>
      <c r="BTW2" s="62"/>
      <c r="BTX2" s="62"/>
      <c r="BTY2" s="62"/>
      <c r="BTZ2" s="62"/>
      <c r="BUA2" s="62"/>
      <c r="BUB2" s="62"/>
      <c r="BUC2" s="62"/>
      <c r="BUD2" s="62"/>
      <c r="BUE2" s="62"/>
      <c r="BUF2" s="62"/>
      <c r="BUG2" s="62"/>
      <c r="BUH2" s="62"/>
      <c r="BUI2" s="62"/>
      <c r="BUJ2" s="62"/>
      <c r="BUK2" s="62"/>
      <c r="BUL2" s="62"/>
      <c r="BUM2" s="62"/>
      <c r="BUN2" s="62"/>
      <c r="BUO2" s="62"/>
      <c r="BUP2" s="62"/>
      <c r="BUQ2" s="62"/>
      <c r="BUR2" s="62"/>
      <c r="BUS2" s="62"/>
      <c r="BUT2" s="62"/>
      <c r="BUU2" s="62"/>
      <c r="BUV2" s="62"/>
      <c r="BUW2" s="62"/>
      <c r="BUX2" s="62"/>
      <c r="BUY2" s="62"/>
      <c r="BUZ2" s="62"/>
      <c r="BVA2" s="62"/>
      <c r="BVB2" s="62"/>
      <c r="BVC2" s="62"/>
      <c r="BVD2" s="62"/>
      <c r="BVE2" s="62"/>
      <c r="BVF2" s="62"/>
      <c r="BVG2" s="62"/>
      <c r="BVH2" s="62"/>
      <c r="BVI2" s="62"/>
      <c r="BVJ2" s="62"/>
      <c r="BVK2" s="62"/>
      <c r="BVL2" s="62"/>
      <c r="BVM2" s="62"/>
      <c r="BVN2" s="62"/>
      <c r="BVO2" s="62"/>
      <c r="BVP2" s="62"/>
      <c r="BVQ2" s="62"/>
      <c r="BVR2" s="62"/>
      <c r="BVS2" s="62"/>
      <c r="BVT2" s="62"/>
      <c r="BVU2" s="62"/>
      <c r="BVV2" s="62"/>
      <c r="BVW2" s="62"/>
      <c r="BVX2" s="62"/>
      <c r="BVY2" s="62"/>
      <c r="BVZ2" s="62"/>
      <c r="BWA2" s="62"/>
      <c r="BWB2" s="62"/>
      <c r="BWC2" s="62"/>
      <c r="BWD2" s="62"/>
      <c r="BWE2" s="62"/>
      <c r="BWF2" s="62"/>
      <c r="BWG2" s="62"/>
      <c r="BWH2" s="62"/>
      <c r="BWI2" s="62"/>
      <c r="BWJ2" s="62"/>
      <c r="BWK2" s="62"/>
      <c r="BWL2" s="62"/>
      <c r="BWM2" s="62"/>
      <c r="BWN2" s="62"/>
      <c r="BWO2" s="62"/>
      <c r="BWP2" s="62"/>
      <c r="BWQ2" s="62"/>
      <c r="BWR2" s="62"/>
      <c r="BWS2" s="62"/>
      <c r="BWT2" s="62"/>
      <c r="BWU2" s="62"/>
      <c r="BWV2" s="62"/>
      <c r="BWW2" s="62"/>
      <c r="BWX2" s="62"/>
      <c r="BWY2" s="62"/>
      <c r="BWZ2" s="62"/>
      <c r="BXA2" s="62"/>
      <c r="BXB2" s="62"/>
      <c r="BXC2" s="62"/>
      <c r="BXD2" s="62"/>
      <c r="BXE2" s="62"/>
      <c r="BXF2" s="62"/>
      <c r="BXG2" s="62"/>
      <c r="BXH2" s="62"/>
      <c r="BXI2" s="62"/>
      <c r="BXJ2" s="62"/>
      <c r="BXK2" s="62"/>
      <c r="BXL2" s="62"/>
      <c r="BXM2" s="62"/>
      <c r="BXN2" s="62"/>
      <c r="BXO2" s="62"/>
      <c r="BXP2" s="62"/>
      <c r="BXQ2" s="62"/>
      <c r="BXR2" s="62"/>
      <c r="BXS2" s="62"/>
      <c r="BXT2" s="62"/>
      <c r="BXU2" s="62"/>
      <c r="BXV2" s="62"/>
      <c r="BXW2" s="62"/>
      <c r="BXX2" s="62"/>
      <c r="BXY2" s="62"/>
      <c r="BXZ2" s="62"/>
      <c r="BYA2" s="62"/>
      <c r="BYB2" s="62"/>
      <c r="BYC2" s="62"/>
      <c r="BYD2" s="62"/>
      <c r="BYE2" s="62"/>
      <c r="BYF2" s="62"/>
      <c r="BYG2" s="62"/>
      <c r="BYH2" s="62"/>
      <c r="BYI2" s="62"/>
      <c r="BYJ2" s="62"/>
      <c r="BYK2" s="62"/>
      <c r="BYL2" s="62"/>
      <c r="BYM2" s="62"/>
      <c r="BYN2" s="62"/>
      <c r="BYO2" s="62"/>
      <c r="BYP2" s="62"/>
      <c r="BYQ2" s="62"/>
      <c r="BYR2" s="62"/>
      <c r="BYS2" s="62"/>
      <c r="BYT2" s="62"/>
      <c r="BYU2" s="62"/>
      <c r="BYV2" s="62"/>
      <c r="BYW2" s="62"/>
      <c r="BYX2" s="62"/>
      <c r="BYY2" s="62"/>
      <c r="BYZ2" s="62"/>
      <c r="BZA2" s="62"/>
      <c r="BZB2" s="62"/>
      <c r="BZC2" s="62"/>
      <c r="BZD2" s="62"/>
      <c r="BZE2" s="62"/>
      <c r="BZF2" s="62"/>
      <c r="BZG2" s="62"/>
      <c r="BZH2" s="62"/>
      <c r="BZI2" s="62"/>
      <c r="BZJ2" s="62"/>
      <c r="BZK2" s="62"/>
      <c r="BZL2" s="62"/>
      <c r="BZM2" s="62"/>
      <c r="BZN2" s="62"/>
      <c r="BZO2" s="62"/>
      <c r="BZP2" s="62"/>
      <c r="BZQ2" s="62"/>
      <c r="BZR2" s="62"/>
      <c r="BZS2" s="62"/>
      <c r="BZT2" s="62"/>
      <c r="BZU2" s="62"/>
      <c r="BZV2" s="62"/>
      <c r="BZW2" s="62"/>
      <c r="BZX2" s="62"/>
      <c r="BZY2" s="62"/>
      <c r="BZZ2" s="62"/>
      <c r="CAA2" s="62"/>
      <c r="CAB2" s="62"/>
      <c r="CAC2" s="62"/>
      <c r="CAD2" s="62"/>
      <c r="CAE2" s="62"/>
      <c r="CAF2" s="62"/>
      <c r="CAG2" s="62"/>
      <c r="CAH2" s="62"/>
      <c r="CAI2" s="62"/>
      <c r="CAJ2" s="62"/>
      <c r="CAK2" s="62"/>
      <c r="CAL2" s="62"/>
      <c r="CAM2" s="62"/>
      <c r="CAN2" s="62"/>
      <c r="CAO2" s="62"/>
      <c r="CAP2" s="62"/>
      <c r="CAQ2" s="62"/>
      <c r="CAR2" s="62"/>
      <c r="CAS2" s="62"/>
      <c r="CAT2" s="62"/>
      <c r="CAU2" s="62"/>
      <c r="CAV2" s="62"/>
      <c r="CAW2" s="62"/>
      <c r="CAX2" s="62"/>
      <c r="CAY2" s="62"/>
      <c r="CAZ2" s="62"/>
      <c r="CBA2" s="62"/>
      <c r="CBB2" s="62"/>
      <c r="CBC2" s="62"/>
      <c r="CBD2" s="62"/>
      <c r="CBE2" s="62"/>
      <c r="CBF2" s="62"/>
      <c r="CBG2" s="62"/>
      <c r="CBH2" s="62"/>
      <c r="CBI2" s="62"/>
      <c r="CBJ2" s="62"/>
      <c r="CBK2" s="62"/>
      <c r="CBL2" s="62"/>
      <c r="CBM2" s="62"/>
      <c r="CBN2" s="62"/>
      <c r="CBO2" s="62"/>
      <c r="CBP2" s="62"/>
      <c r="CBQ2" s="62"/>
      <c r="CBR2" s="62"/>
      <c r="CBS2" s="62"/>
      <c r="CBT2" s="62"/>
      <c r="CBU2" s="62"/>
      <c r="CBV2" s="62"/>
      <c r="CBW2" s="62"/>
      <c r="CBX2" s="62"/>
      <c r="CBY2" s="62"/>
      <c r="CBZ2" s="62"/>
      <c r="CCA2" s="62"/>
      <c r="CCB2" s="62"/>
      <c r="CCC2" s="62"/>
      <c r="CCD2" s="62"/>
      <c r="CCE2" s="62"/>
      <c r="CCF2" s="62"/>
      <c r="CCG2" s="62"/>
      <c r="CCH2" s="62"/>
      <c r="CCI2" s="62"/>
      <c r="CCJ2" s="62"/>
      <c r="CCK2" s="62"/>
      <c r="CCL2" s="62"/>
      <c r="CCM2" s="62"/>
      <c r="CCN2" s="62"/>
      <c r="CCO2" s="62"/>
      <c r="CCP2" s="62"/>
      <c r="CCQ2" s="62"/>
      <c r="CCR2" s="62"/>
      <c r="CCS2" s="62"/>
      <c r="CCT2" s="62"/>
      <c r="CCU2" s="62"/>
      <c r="CCV2" s="62"/>
      <c r="CCW2" s="62"/>
      <c r="CCX2" s="62"/>
      <c r="CCY2" s="62"/>
      <c r="CCZ2" s="62"/>
      <c r="CDA2" s="62"/>
      <c r="CDB2" s="62"/>
      <c r="CDC2" s="62"/>
      <c r="CDD2" s="62"/>
      <c r="CDE2" s="62"/>
      <c r="CDF2" s="62"/>
      <c r="CDG2" s="62"/>
      <c r="CDH2" s="62"/>
      <c r="CDI2" s="62"/>
      <c r="CDJ2" s="62"/>
      <c r="CDK2" s="62"/>
      <c r="CDL2" s="62"/>
      <c r="CDM2" s="62"/>
      <c r="CDN2" s="62"/>
      <c r="CDO2" s="62"/>
      <c r="CDP2" s="62"/>
      <c r="CDQ2" s="62"/>
      <c r="CDR2" s="62"/>
      <c r="CDS2" s="62"/>
      <c r="CDT2" s="62"/>
      <c r="CDU2" s="62"/>
      <c r="CDV2" s="62"/>
      <c r="CDW2" s="62"/>
      <c r="CDX2" s="62"/>
      <c r="CDY2" s="62"/>
      <c r="CDZ2" s="62"/>
      <c r="CEA2" s="62"/>
      <c r="CEB2" s="62"/>
      <c r="CEC2" s="62"/>
      <c r="CED2" s="62"/>
      <c r="CEE2" s="62"/>
      <c r="CEF2" s="62"/>
      <c r="CEG2" s="62"/>
      <c r="CEH2" s="62"/>
      <c r="CEI2" s="62"/>
      <c r="CEJ2" s="62"/>
      <c r="CEK2" s="62"/>
      <c r="CEL2" s="62"/>
      <c r="CEM2" s="62"/>
      <c r="CEN2" s="62"/>
      <c r="CEO2" s="62"/>
      <c r="CEP2" s="62"/>
      <c r="CEQ2" s="62"/>
      <c r="CER2" s="62"/>
      <c r="CES2" s="62"/>
      <c r="CET2" s="62"/>
      <c r="CEU2" s="62"/>
      <c r="CEV2" s="62"/>
      <c r="CEW2" s="62"/>
      <c r="CEX2" s="62"/>
      <c r="CEY2" s="62"/>
      <c r="CEZ2" s="62"/>
      <c r="CFA2" s="62"/>
      <c r="CFB2" s="62"/>
      <c r="CFC2" s="62"/>
      <c r="CFD2" s="62"/>
      <c r="CFE2" s="62"/>
      <c r="CFF2" s="62"/>
      <c r="CFG2" s="62"/>
      <c r="CFH2" s="62"/>
      <c r="CFI2" s="62"/>
      <c r="CFJ2" s="62"/>
      <c r="CFK2" s="62"/>
      <c r="CFL2" s="62"/>
      <c r="CFM2" s="62"/>
      <c r="CFN2" s="62"/>
      <c r="CFO2" s="62"/>
      <c r="CFP2" s="62"/>
      <c r="CFQ2" s="62"/>
      <c r="CFR2" s="62"/>
      <c r="CFS2" s="62"/>
      <c r="CFT2" s="62"/>
      <c r="CFU2" s="62"/>
      <c r="CFV2" s="62"/>
      <c r="CFW2" s="62"/>
      <c r="CFX2" s="62"/>
      <c r="CFY2" s="62"/>
      <c r="CFZ2" s="62"/>
      <c r="CGA2" s="62"/>
      <c r="CGB2" s="62"/>
      <c r="CGC2" s="62"/>
      <c r="CGD2" s="62"/>
      <c r="CGE2" s="62"/>
      <c r="CGF2" s="62"/>
      <c r="CGG2" s="62"/>
      <c r="CGH2" s="62"/>
      <c r="CGI2" s="62"/>
      <c r="CGJ2" s="62"/>
      <c r="CGK2" s="62"/>
      <c r="CGL2" s="62"/>
      <c r="CGM2" s="62"/>
      <c r="CGN2" s="62"/>
      <c r="CGO2" s="62"/>
      <c r="CGP2" s="62"/>
      <c r="CGQ2" s="62"/>
      <c r="CGR2" s="62"/>
      <c r="CGS2" s="62"/>
      <c r="CGT2" s="62"/>
      <c r="CGU2" s="62"/>
      <c r="CGV2" s="62"/>
      <c r="CGW2" s="62"/>
      <c r="CGX2" s="62"/>
      <c r="CGY2" s="62"/>
      <c r="CGZ2" s="62"/>
      <c r="CHA2" s="62"/>
      <c r="CHB2" s="62"/>
      <c r="CHC2" s="62"/>
      <c r="CHD2" s="62"/>
      <c r="CHE2" s="62"/>
      <c r="CHF2" s="62"/>
      <c r="CHG2" s="62"/>
      <c r="CHH2" s="62"/>
      <c r="CHI2" s="62"/>
      <c r="CHJ2" s="62"/>
      <c r="CHK2" s="62"/>
      <c r="CHL2" s="62"/>
      <c r="CHM2" s="62"/>
      <c r="CHN2" s="62"/>
      <c r="CHO2" s="62"/>
      <c r="CHP2" s="62"/>
      <c r="CHQ2" s="62"/>
      <c r="CHR2" s="62"/>
      <c r="CHS2" s="62"/>
      <c r="CHT2" s="62"/>
      <c r="CHU2" s="62"/>
      <c r="CHV2" s="62"/>
      <c r="CHW2" s="62"/>
      <c r="CHX2" s="62"/>
      <c r="CHY2" s="62"/>
      <c r="CHZ2" s="62"/>
      <c r="CIA2" s="62"/>
      <c r="CIB2" s="62"/>
      <c r="CIC2" s="62"/>
      <c r="CID2" s="62"/>
      <c r="CIE2" s="62"/>
      <c r="CIF2" s="62"/>
      <c r="CIG2" s="62"/>
      <c r="CIH2" s="62"/>
      <c r="CII2" s="62"/>
      <c r="CIJ2" s="62"/>
      <c r="CIK2" s="62"/>
      <c r="CIL2" s="62"/>
      <c r="CIM2" s="62"/>
      <c r="CIN2" s="62"/>
      <c r="CIO2" s="62"/>
      <c r="CIP2" s="62"/>
      <c r="CIQ2" s="62"/>
      <c r="CIR2" s="62"/>
      <c r="CIS2" s="62"/>
      <c r="CIT2" s="62"/>
      <c r="CIU2" s="62"/>
      <c r="CIV2" s="62"/>
      <c r="CIW2" s="62"/>
      <c r="CIX2" s="62"/>
      <c r="CIY2" s="62"/>
      <c r="CIZ2" s="62"/>
      <c r="CJA2" s="62"/>
      <c r="CJB2" s="62"/>
      <c r="CJC2" s="62"/>
      <c r="CJD2" s="62"/>
      <c r="CJE2" s="62"/>
      <c r="CJF2" s="62"/>
      <c r="CJG2" s="62"/>
      <c r="CJH2" s="62"/>
      <c r="CJI2" s="62"/>
      <c r="CJJ2" s="62"/>
      <c r="CJK2" s="62"/>
      <c r="CJL2" s="62"/>
      <c r="CJM2" s="62"/>
      <c r="CJN2" s="62"/>
      <c r="CJO2" s="62"/>
      <c r="CJP2" s="62"/>
      <c r="CJQ2" s="62"/>
      <c r="CJR2" s="62"/>
      <c r="CJS2" s="62"/>
      <c r="CJT2" s="62"/>
      <c r="CJU2" s="62"/>
      <c r="CJV2" s="62"/>
      <c r="CJW2" s="62"/>
      <c r="CJX2" s="62"/>
      <c r="CJY2" s="62"/>
      <c r="CJZ2" s="62"/>
      <c r="CKA2" s="62"/>
      <c r="CKB2" s="62"/>
      <c r="CKC2" s="62"/>
      <c r="CKD2" s="62"/>
      <c r="CKE2" s="62"/>
      <c r="CKF2" s="62"/>
      <c r="CKG2" s="62"/>
      <c r="CKH2" s="62"/>
      <c r="CKI2" s="62"/>
      <c r="CKJ2" s="62"/>
      <c r="CKK2" s="62"/>
      <c r="CKL2" s="62"/>
      <c r="CKM2" s="62"/>
      <c r="CKN2" s="62"/>
      <c r="CKO2" s="62"/>
      <c r="CKP2" s="62"/>
      <c r="CKQ2" s="62"/>
      <c r="CKR2" s="62"/>
      <c r="CKS2" s="62"/>
      <c r="CKT2" s="62"/>
      <c r="CKU2" s="62"/>
      <c r="CKV2" s="62"/>
      <c r="CKW2" s="62"/>
      <c r="CKX2" s="62"/>
      <c r="CKY2" s="62"/>
      <c r="CKZ2" s="62"/>
      <c r="CLA2" s="62"/>
      <c r="CLB2" s="62"/>
      <c r="CLC2" s="62"/>
      <c r="CLD2" s="62"/>
      <c r="CLE2" s="62"/>
      <c r="CLF2" s="62"/>
      <c r="CLG2" s="62"/>
      <c r="CLH2" s="62"/>
      <c r="CLI2" s="62"/>
      <c r="CLJ2" s="62"/>
      <c r="CLK2" s="62"/>
      <c r="CLL2" s="62"/>
      <c r="CLM2" s="62"/>
      <c r="CLN2" s="62"/>
      <c r="CLO2" s="62"/>
      <c r="CLP2" s="62"/>
      <c r="CLQ2" s="62"/>
      <c r="CLR2" s="62"/>
      <c r="CLS2" s="62"/>
      <c r="CLT2" s="62"/>
      <c r="CLU2" s="62"/>
      <c r="CLV2" s="62"/>
      <c r="CLW2" s="62"/>
      <c r="CLX2" s="62"/>
      <c r="CLY2" s="62"/>
      <c r="CLZ2" s="62"/>
      <c r="CMA2" s="62"/>
      <c r="CMB2" s="62"/>
      <c r="CMC2" s="62"/>
      <c r="CMD2" s="62"/>
      <c r="CME2" s="62"/>
      <c r="CMF2" s="62"/>
      <c r="CMG2" s="62"/>
      <c r="CMH2" s="62"/>
      <c r="CMI2" s="62"/>
      <c r="CMJ2" s="62"/>
      <c r="CMK2" s="62"/>
      <c r="CML2" s="62"/>
      <c r="CMM2" s="62"/>
      <c r="CMN2" s="62"/>
      <c r="CMO2" s="62"/>
      <c r="CMP2" s="62"/>
      <c r="CMQ2" s="62"/>
      <c r="CMR2" s="62"/>
      <c r="CMS2" s="62"/>
      <c r="CMT2" s="62"/>
      <c r="CMU2" s="62"/>
      <c r="CMV2" s="62"/>
      <c r="CMW2" s="62"/>
      <c r="CMX2" s="62"/>
      <c r="CMY2" s="62"/>
      <c r="CMZ2" s="62"/>
      <c r="CNA2" s="62"/>
      <c r="CNB2" s="62"/>
      <c r="CNC2" s="62"/>
      <c r="CND2" s="62"/>
      <c r="CNE2" s="62"/>
      <c r="CNF2" s="62"/>
      <c r="CNG2" s="62"/>
      <c r="CNH2" s="62"/>
      <c r="CNI2" s="62"/>
      <c r="CNJ2" s="62"/>
      <c r="CNK2" s="62"/>
      <c r="CNL2" s="62"/>
      <c r="CNM2" s="62"/>
      <c r="CNN2" s="62"/>
      <c r="CNO2" s="62"/>
      <c r="CNP2" s="62"/>
      <c r="CNQ2" s="62"/>
      <c r="CNR2" s="62"/>
      <c r="CNS2" s="62"/>
      <c r="CNT2" s="62"/>
      <c r="CNU2" s="62"/>
      <c r="CNV2" s="62"/>
      <c r="CNW2" s="62"/>
      <c r="CNX2" s="62"/>
      <c r="CNY2" s="62"/>
      <c r="CNZ2" s="62"/>
      <c r="COA2" s="62"/>
      <c r="COB2" s="62"/>
      <c r="COC2" s="62"/>
      <c r="COD2" s="62"/>
      <c r="COE2" s="62"/>
      <c r="COF2" s="62"/>
      <c r="COG2" s="62"/>
      <c r="COH2" s="62"/>
      <c r="COI2" s="62"/>
      <c r="COJ2" s="62"/>
      <c r="COK2" s="62"/>
      <c r="COL2" s="62"/>
      <c r="COM2" s="62"/>
      <c r="CON2" s="62"/>
      <c r="COO2" s="62"/>
      <c r="COP2" s="62"/>
      <c r="COQ2" s="62"/>
      <c r="COR2" s="62"/>
      <c r="COS2" s="62"/>
      <c r="COT2" s="62"/>
      <c r="COU2" s="62"/>
      <c r="COV2" s="62"/>
      <c r="COW2" s="62"/>
      <c r="COX2" s="62"/>
      <c r="COY2" s="62"/>
      <c r="COZ2" s="62"/>
      <c r="CPA2" s="62"/>
      <c r="CPB2" s="62"/>
      <c r="CPC2" s="62"/>
      <c r="CPD2" s="62"/>
      <c r="CPE2" s="62"/>
      <c r="CPF2" s="62"/>
      <c r="CPG2" s="62"/>
      <c r="CPH2" s="62"/>
      <c r="CPI2" s="62"/>
      <c r="CPJ2" s="62"/>
      <c r="CPK2" s="62"/>
      <c r="CPL2" s="62"/>
      <c r="CPM2" s="62"/>
      <c r="CPN2" s="62"/>
      <c r="CPO2" s="62"/>
      <c r="CPP2" s="62"/>
      <c r="CPQ2" s="62"/>
      <c r="CPR2" s="62"/>
      <c r="CPS2" s="62"/>
      <c r="CPT2" s="62"/>
      <c r="CPU2" s="62"/>
      <c r="CPV2" s="62"/>
      <c r="CPW2" s="62"/>
      <c r="CPX2" s="62"/>
      <c r="CPY2" s="62"/>
      <c r="CPZ2" s="62"/>
      <c r="CQA2" s="62"/>
      <c r="CQB2" s="62"/>
      <c r="CQC2" s="62"/>
      <c r="CQD2" s="62"/>
      <c r="CQE2" s="62"/>
      <c r="CQF2" s="62"/>
      <c r="CQG2" s="62"/>
      <c r="CQH2" s="62"/>
      <c r="CQI2" s="62"/>
      <c r="CQJ2" s="62"/>
      <c r="CQK2" s="62"/>
      <c r="CQL2" s="62"/>
      <c r="CQM2" s="62"/>
      <c r="CQN2" s="62"/>
      <c r="CQO2" s="62"/>
      <c r="CQP2" s="62"/>
      <c r="CQQ2" s="62"/>
      <c r="CQR2" s="62"/>
      <c r="CQS2" s="62"/>
      <c r="CQT2" s="62"/>
      <c r="CQU2" s="62"/>
      <c r="CQV2" s="62"/>
      <c r="CQW2" s="62"/>
      <c r="CQX2" s="62"/>
      <c r="CQY2" s="62"/>
      <c r="CQZ2" s="62"/>
      <c r="CRA2" s="62"/>
      <c r="CRB2" s="62"/>
      <c r="CRC2" s="62"/>
      <c r="CRD2" s="62"/>
      <c r="CRE2" s="62"/>
      <c r="CRF2" s="62"/>
      <c r="CRG2" s="62"/>
      <c r="CRH2" s="62"/>
      <c r="CRI2" s="62"/>
      <c r="CRJ2" s="62"/>
      <c r="CRK2" s="62"/>
      <c r="CRL2" s="62"/>
      <c r="CRM2" s="62"/>
      <c r="CRN2" s="62"/>
      <c r="CRO2" s="62"/>
      <c r="CRP2" s="62"/>
      <c r="CRQ2" s="62"/>
      <c r="CRR2" s="62"/>
      <c r="CRS2" s="62"/>
      <c r="CRT2" s="62"/>
      <c r="CRU2" s="62"/>
      <c r="CRV2" s="62"/>
      <c r="CRW2" s="62"/>
      <c r="CRX2" s="62"/>
      <c r="CRY2" s="62"/>
      <c r="CRZ2" s="62"/>
      <c r="CSA2" s="62"/>
      <c r="CSB2" s="62"/>
      <c r="CSC2" s="62"/>
      <c r="CSD2" s="62"/>
      <c r="CSE2" s="62"/>
      <c r="CSF2" s="62"/>
      <c r="CSG2" s="62"/>
      <c r="CSH2" s="62"/>
      <c r="CSI2" s="62"/>
      <c r="CSJ2" s="62"/>
      <c r="CSK2" s="62"/>
      <c r="CSL2" s="62"/>
      <c r="CSM2" s="62"/>
      <c r="CSN2" s="62"/>
      <c r="CSO2" s="62"/>
      <c r="CSP2" s="62"/>
      <c r="CSQ2" s="62"/>
      <c r="CSR2" s="62"/>
      <c r="CSS2" s="62"/>
      <c r="CST2" s="62"/>
      <c r="CSU2" s="62"/>
      <c r="CSV2" s="62"/>
      <c r="CSW2" s="62"/>
      <c r="CSX2" s="62"/>
      <c r="CSY2" s="62"/>
      <c r="CSZ2" s="62"/>
      <c r="CTA2" s="62"/>
      <c r="CTB2" s="62"/>
      <c r="CTC2" s="62"/>
      <c r="CTD2" s="62"/>
      <c r="CTE2" s="62"/>
      <c r="CTF2" s="62"/>
      <c r="CTG2" s="62"/>
      <c r="CTH2" s="62"/>
      <c r="CTI2" s="62"/>
      <c r="CTJ2" s="62"/>
      <c r="CTK2" s="62"/>
      <c r="CTL2" s="62"/>
      <c r="CTM2" s="62"/>
      <c r="CTN2" s="62"/>
      <c r="CTO2" s="62"/>
      <c r="CTP2" s="62"/>
      <c r="CTQ2" s="62"/>
      <c r="CTR2" s="62"/>
      <c r="CTS2" s="62"/>
      <c r="CTT2" s="62"/>
      <c r="CTU2" s="62"/>
      <c r="CTV2" s="62"/>
      <c r="CTW2" s="62"/>
      <c r="CTX2" s="62"/>
      <c r="CTY2" s="62"/>
      <c r="CTZ2" s="62"/>
      <c r="CUA2" s="62"/>
      <c r="CUB2" s="62"/>
      <c r="CUC2" s="62"/>
      <c r="CUD2" s="62"/>
      <c r="CUE2" s="62"/>
      <c r="CUF2" s="62"/>
      <c r="CUG2" s="62"/>
      <c r="CUH2" s="62"/>
      <c r="CUI2" s="62"/>
      <c r="CUJ2" s="62"/>
      <c r="CUK2" s="62"/>
      <c r="CUL2" s="62"/>
      <c r="CUM2" s="62"/>
      <c r="CUN2" s="62"/>
      <c r="CUO2" s="62"/>
      <c r="CUP2" s="62"/>
      <c r="CUQ2" s="62"/>
      <c r="CUR2" s="62"/>
      <c r="CUS2" s="62"/>
      <c r="CUT2" s="62"/>
      <c r="CUU2" s="62"/>
      <c r="CUV2" s="62"/>
      <c r="CUW2" s="62"/>
      <c r="CUX2" s="62"/>
      <c r="CUY2" s="62"/>
      <c r="CUZ2" s="62"/>
      <c r="CVA2" s="62"/>
      <c r="CVB2" s="62"/>
      <c r="CVC2" s="62"/>
      <c r="CVD2" s="62"/>
      <c r="CVE2" s="62"/>
      <c r="CVF2" s="62"/>
      <c r="CVG2" s="62"/>
      <c r="CVH2" s="62"/>
      <c r="CVI2" s="62"/>
      <c r="CVJ2" s="62"/>
      <c r="CVK2" s="62"/>
      <c r="CVL2" s="62"/>
      <c r="CVM2" s="62"/>
      <c r="CVN2" s="62"/>
      <c r="CVO2" s="62"/>
      <c r="CVP2" s="62"/>
      <c r="CVQ2" s="62"/>
      <c r="CVR2" s="62"/>
      <c r="CVS2" s="62"/>
      <c r="CVT2" s="62"/>
      <c r="CVU2" s="62"/>
      <c r="CVV2" s="62"/>
      <c r="CVW2" s="62"/>
      <c r="CVX2" s="62"/>
      <c r="CVY2" s="62"/>
      <c r="CVZ2" s="62"/>
      <c r="CWA2" s="62"/>
      <c r="CWB2" s="62"/>
      <c r="CWC2" s="62"/>
      <c r="CWD2" s="62"/>
      <c r="CWE2" s="62"/>
      <c r="CWF2" s="62"/>
      <c r="CWG2" s="62"/>
      <c r="CWH2" s="62"/>
      <c r="CWI2" s="62"/>
      <c r="CWJ2" s="62"/>
      <c r="CWK2" s="62"/>
      <c r="CWL2" s="62"/>
      <c r="CWM2" s="62"/>
      <c r="CWN2" s="62"/>
      <c r="CWO2" s="62"/>
      <c r="CWP2" s="62"/>
      <c r="CWQ2" s="62"/>
      <c r="CWR2" s="62"/>
      <c r="CWS2" s="62"/>
      <c r="CWT2" s="62"/>
      <c r="CWU2" s="62"/>
      <c r="CWV2" s="62"/>
      <c r="CWW2" s="62"/>
      <c r="CWX2" s="62"/>
      <c r="CWY2" s="62"/>
      <c r="CWZ2" s="62"/>
      <c r="CXA2" s="62"/>
      <c r="CXB2" s="62"/>
      <c r="CXC2" s="62"/>
      <c r="CXD2" s="62"/>
      <c r="CXE2" s="62"/>
      <c r="CXF2" s="62"/>
      <c r="CXG2" s="62"/>
      <c r="CXH2" s="62"/>
      <c r="CXI2" s="62"/>
      <c r="CXJ2" s="62"/>
      <c r="CXK2" s="62"/>
      <c r="CXL2" s="62"/>
      <c r="CXM2" s="62"/>
      <c r="CXN2" s="62"/>
      <c r="CXO2" s="62"/>
      <c r="CXP2" s="62"/>
      <c r="CXQ2" s="62"/>
      <c r="CXR2" s="62"/>
      <c r="CXS2" s="62"/>
      <c r="CXT2" s="62"/>
      <c r="CXU2" s="62"/>
      <c r="CXV2" s="62"/>
      <c r="CXW2" s="62"/>
      <c r="CXX2" s="62"/>
      <c r="CXY2" s="62"/>
      <c r="CXZ2" s="62"/>
      <c r="CYA2" s="62"/>
      <c r="CYB2" s="62"/>
      <c r="CYC2" s="62"/>
      <c r="CYD2" s="62"/>
      <c r="CYE2" s="62"/>
      <c r="CYF2" s="62"/>
      <c r="CYG2" s="62"/>
      <c r="CYH2" s="62"/>
      <c r="CYI2" s="62"/>
      <c r="CYJ2" s="62"/>
      <c r="CYK2" s="62"/>
      <c r="CYL2" s="62"/>
      <c r="CYM2" s="62"/>
      <c r="CYN2" s="62"/>
      <c r="CYO2" s="62"/>
      <c r="CYP2" s="62"/>
      <c r="CYQ2" s="62"/>
      <c r="CYR2" s="62"/>
      <c r="CYS2" s="62"/>
      <c r="CYT2" s="62"/>
      <c r="CYU2" s="62"/>
      <c r="CYV2" s="62"/>
      <c r="CYW2" s="62"/>
      <c r="CYX2" s="62"/>
      <c r="CYY2" s="62"/>
      <c r="CYZ2" s="62"/>
      <c r="CZA2" s="62"/>
      <c r="CZB2" s="62"/>
      <c r="CZC2" s="62"/>
      <c r="CZD2" s="62"/>
      <c r="CZE2" s="62"/>
      <c r="CZF2" s="62"/>
      <c r="CZG2" s="62"/>
      <c r="CZH2" s="62"/>
      <c r="CZI2" s="62"/>
      <c r="CZJ2" s="62"/>
      <c r="CZK2" s="62"/>
      <c r="CZL2" s="62"/>
      <c r="CZM2" s="62"/>
      <c r="CZN2" s="62"/>
      <c r="CZO2" s="62"/>
      <c r="CZP2" s="62"/>
      <c r="CZQ2" s="62"/>
      <c r="CZR2" s="62"/>
      <c r="CZS2" s="62"/>
      <c r="CZT2" s="62"/>
      <c r="CZU2" s="62"/>
      <c r="CZV2" s="62"/>
      <c r="CZW2" s="62"/>
      <c r="CZX2" s="62"/>
      <c r="CZY2" s="62"/>
      <c r="CZZ2" s="62"/>
      <c r="DAA2" s="62"/>
      <c r="DAB2" s="62"/>
      <c r="DAC2" s="62"/>
      <c r="DAD2" s="62"/>
      <c r="DAE2" s="62"/>
      <c r="DAF2" s="62"/>
      <c r="DAG2" s="62"/>
      <c r="DAH2" s="62"/>
      <c r="DAI2" s="62"/>
      <c r="DAJ2" s="62"/>
      <c r="DAK2" s="62"/>
      <c r="DAL2" s="62"/>
      <c r="DAM2" s="62"/>
      <c r="DAN2" s="62"/>
      <c r="DAO2" s="62"/>
      <c r="DAP2" s="62"/>
      <c r="DAQ2" s="62"/>
      <c r="DAR2" s="62"/>
      <c r="DAS2" s="62"/>
      <c r="DAT2" s="62"/>
      <c r="DAU2" s="62"/>
      <c r="DAV2" s="62"/>
      <c r="DAW2" s="62"/>
      <c r="DAX2" s="62"/>
      <c r="DAY2" s="62"/>
      <c r="DAZ2" s="62"/>
      <c r="DBA2" s="62"/>
      <c r="DBB2" s="62"/>
      <c r="DBC2" s="62"/>
      <c r="DBD2" s="62"/>
      <c r="DBE2" s="62"/>
      <c r="DBF2" s="62"/>
      <c r="DBG2" s="62"/>
      <c r="DBH2" s="62"/>
      <c r="DBI2" s="62"/>
      <c r="DBJ2" s="62"/>
      <c r="DBK2" s="62"/>
      <c r="DBL2" s="62"/>
      <c r="DBM2" s="62"/>
      <c r="DBN2" s="62"/>
      <c r="DBO2" s="62"/>
      <c r="DBP2" s="62"/>
      <c r="DBQ2" s="62"/>
      <c r="DBR2" s="62"/>
      <c r="DBS2" s="62"/>
      <c r="DBT2" s="62"/>
      <c r="DBU2" s="62"/>
      <c r="DBV2" s="62"/>
      <c r="DBW2" s="62"/>
      <c r="DBX2" s="62"/>
      <c r="DBY2" s="62"/>
      <c r="DBZ2" s="62"/>
      <c r="DCA2" s="62"/>
      <c r="DCB2" s="62"/>
      <c r="DCC2" s="62"/>
      <c r="DCD2" s="62"/>
      <c r="DCE2" s="62"/>
      <c r="DCF2" s="62"/>
      <c r="DCG2" s="62"/>
      <c r="DCH2" s="62"/>
      <c r="DCI2" s="62"/>
      <c r="DCJ2" s="62"/>
      <c r="DCK2" s="62"/>
      <c r="DCL2" s="62"/>
      <c r="DCM2" s="62"/>
      <c r="DCN2" s="62"/>
      <c r="DCO2" s="62"/>
      <c r="DCP2" s="62"/>
      <c r="DCQ2" s="62"/>
      <c r="DCR2" s="62"/>
      <c r="DCS2" s="62"/>
      <c r="DCT2" s="62"/>
      <c r="DCU2" s="62"/>
      <c r="DCV2" s="62"/>
      <c r="DCW2" s="62"/>
      <c r="DCX2" s="62"/>
      <c r="DCY2" s="62"/>
      <c r="DCZ2" s="62"/>
      <c r="DDA2" s="62"/>
      <c r="DDB2" s="62"/>
      <c r="DDC2" s="62"/>
      <c r="DDD2" s="62"/>
      <c r="DDE2" s="62"/>
      <c r="DDF2" s="62"/>
      <c r="DDG2" s="62"/>
      <c r="DDH2" s="62"/>
      <c r="DDI2" s="62"/>
      <c r="DDJ2" s="62"/>
      <c r="DDK2" s="62"/>
      <c r="DDL2" s="62"/>
      <c r="DDM2" s="62"/>
      <c r="DDN2" s="62"/>
      <c r="DDO2" s="62"/>
      <c r="DDP2" s="62"/>
      <c r="DDQ2" s="62"/>
      <c r="DDR2" s="62"/>
      <c r="DDS2" s="62"/>
      <c r="DDT2" s="62"/>
      <c r="DDU2" s="62"/>
      <c r="DDV2" s="62"/>
      <c r="DDW2" s="62"/>
      <c r="DDX2" s="62"/>
      <c r="DDY2" s="62"/>
      <c r="DDZ2" s="62"/>
      <c r="DEA2" s="62"/>
      <c r="DEB2" s="62"/>
      <c r="DEC2" s="62"/>
      <c r="DED2" s="62"/>
      <c r="DEE2" s="62"/>
      <c r="DEF2" s="62"/>
      <c r="DEG2" s="62"/>
      <c r="DEH2" s="62"/>
      <c r="DEI2" s="62"/>
      <c r="DEJ2" s="62"/>
      <c r="DEK2" s="62"/>
      <c r="DEL2" s="62"/>
      <c r="DEM2" s="62"/>
      <c r="DEN2" s="62"/>
      <c r="DEO2" s="62"/>
      <c r="DEP2" s="62"/>
      <c r="DEQ2" s="62"/>
      <c r="DER2" s="62"/>
      <c r="DES2" s="62"/>
      <c r="DET2" s="62"/>
      <c r="DEU2" s="62"/>
      <c r="DEV2" s="62"/>
      <c r="DEW2" s="62"/>
      <c r="DEX2" s="62"/>
      <c r="DEY2" s="62"/>
      <c r="DEZ2" s="62"/>
      <c r="DFA2" s="62"/>
      <c r="DFB2" s="62"/>
      <c r="DFC2" s="62"/>
      <c r="DFD2" s="62"/>
      <c r="DFE2" s="62"/>
      <c r="DFF2" s="62"/>
      <c r="DFG2" s="62"/>
      <c r="DFH2" s="62"/>
      <c r="DFI2" s="62"/>
      <c r="DFJ2" s="62"/>
      <c r="DFK2" s="62"/>
      <c r="DFL2" s="62"/>
      <c r="DFM2" s="62"/>
      <c r="DFN2" s="62"/>
      <c r="DFO2" s="62"/>
      <c r="DFP2" s="62"/>
      <c r="DFQ2" s="62"/>
      <c r="DFR2" s="62"/>
      <c r="DFS2" s="62"/>
      <c r="DFT2" s="62"/>
      <c r="DFU2" s="62"/>
      <c r="DFV2" s="62"/>
      <c r="DFW2" s="62"/>
      <c r="DFX2" s="62"/>
      <c r="DFY2" s="62"/>
      <c r="DFZ2" s="62"/>
      <c r="DGA2" s="62"/>
      <c r="DGB2" s="62"/>
      <c r="DGC2" s="62"/>
      <c r="DGD2" s="62"/>
      <c r="DGE2" s="62"/>
      <c r="DGF2" s="62"/>
      <c r="DGG2" s="62"/>
      <c r="DGH2" s="62"/>
      <c r="DGI2" s="62"/>
      <c r="DGJ2" s="62"/>
      <c r="DGK2" s="62"/>
      <c r="DGL2" s="62"/>
      <c r="DGM2" s="62"/>
      <c r="DGN2" s="62"/>
      <c r="DGO2" s="62"/>
      <c r="DGP2" s="62"/>
      <c r="DGQ2" s="62"/>
      <c r="DGR2" s="62"/>
      <c r="DGS2" s="62"/>
      <c r="DGT2" s="62"/>
      <c r="DGU2" s="62"/>
      <c r="DGV2" s="62"/>
      <c r="DGW2" s="62"/>
      <c r="DGX2" s="62"/>
      <c r="DGY2" s="62"/>
      <c r="DGZ2" s="62"/>
      <c r="DHA2" s="62"/>
      <c r="DHB2" s="62"/>
      <c r="DHC2" s="62"/>
      <c r="DHD2" s="62"/>
      <c r="DHE2" s="62"/>
      <c r="DHF2" s="62"/>
      <c r="DHG2" s="62"/>
      <c r="DHH2" s="62"/>
      <c r="DHI2" s="62"/>
      <c r="DHJ2" s="62"/>
      <c r="DHK2" s="62"/>
      <c r="DHL2" s="62"/>
      <c r="DHM2" s="62"/>
      <c r="DHN2" s="62"/>
      <c r="DHO2" s="62"/>
      <c r="DHP2" s="62"/>
      <c r="DHQ2" s="62"/>
      <c r="DHR2" s="62"/>
      <c r="DHS2" s="62"/>
      <c r="DHT2" s="62"/>
      <c r="DHU2" s="62"/>
      <c r="DHV2" s="62"/>
      <c r="DHW2" s="62"/>
      <c r="DHX2" s="62"/>
      <c r="DHY2" s="62"/>
      <c r="DHZ2" s="62"/>
      <c r="DIA2" s="62"/>
      <c r="DIB2" s="62"/>
      <c r="DIC2" s="62"/>
      <c r="DID2" s="62"/>
      <c r="DIE2" s="62"/>
      <c r="DIF2" s="62"/>
      <c r="DIG2" s="62"/>
      <c r="DIH2" s="62"/>
      <c r="DII2" s="62"/>
      <c r="DIJ2" s="62"/>
      <c r="DIK2" s="62"/>
      <c r="DIL2" s="62"/>
      <c r="DIM2" s="62"/>
      <c r="DIN2" s="62"/>
      <c r="DIO2" s="62"/>
      <c r="DIP2" s="62"/>
      <c r="DIQ2" s="62"/>
      <c r="DIR2" s="62"/>
      <c r="DIS2" s="62"/>
      <c r="DIT2" s="62"/>
      <c r="DIU2" s="62"/>
      <c r="DIV2" s="62"/>
      <c r="DIW2" s="62"/>
      <c r="DIX2" s="62"/>
      <c r="DIY2" s="62"/>
      <c r="DIZ2" s="62"/>
      <c r="DJA2" s="62"/>
      <c r="DJB2" s="62"/>
      <c r="DJC2" s="62"/>
      <c r="DJD2" s="62"/>
      <c r="DJE2" s="62"/>
      <c r="DJF2" s="62"/>
      <c r="DJG2" s="62"/>
      <c r="DJH2" s="62"/>
      <c r="DJI2" s="62"/>
      <c r="DJJ2" s="62"/>
      <c r="DJK2" s="62"/>
      <c r="DJL2" s="62"/>
      <c r="DJM2" s="62"/>
      <c r="DJN2" s="62"/>
      <c r="DJO2" s="62"/>
      <c r="DJP2" s="62"/>
      <c r="DJQ2" s="62"/>
      <c r="DJR2" s="62"/>
      <c r="DJS2" s="62"/>
      <c r="DJT2" s="62"/>
      <c r="DJU2" s="62"/>
      <c r="DJV2" s="62"/>
      <c r="DJW2" s="62"/>
      <c r="DJX2" s="62"/>
      <c r="DJY2" s="62"/>
      <c r="DJZ2" s="62"/>
      <c r="DKA2" s="62"/>
      <c r="DKB2" s="62"/>
      <c r="DKC2" s="62"/>
      <c r="DKD2" s="62"/>
      <c r="DKE2" s="62"/>
      <c r="DKF2" s="62"/>
      <c r="DKG2" s="62"/>
      <c r="DKH2" s="62"/>
      <c r="DKI2" s="62"/>
      <c r="DKJ2" s="62"/>
      <c r="DKK2" s="62"/>
      <c r="DKL2" s="62"/>
      <c r="DKM2" s="62"/>
      <c r="DKN2" s="62"/>
      <c r="DKO2" s="62"/>
      <c r="DKP2" s="62"/>
      <c r="DKQ2" s="62"/>
      <c r="DKR2" s="62"/>
      <c r="DKS2" s="62"/>
      <c r="DKT2" s="62"/>
      <c r="DKU2" s="62"/>
      <c r="DKV2" s="62"/>
      <c r="DKW2" s="62"/>
      <c r="DKX2" s="62"/>
      <c r="DKY2" s="62"/>
      <c r="DKZ2" s="62"/>
      <c r="DLA2" s="62"/>
      <c r="DLB2" s="62"/>
      <c r="DLC2" s="62"/>
      <c r="DLD2" s="62"/>
      <c r="DLE2" s="62"/>
      <c r="DLF2" s="62"/>
      <c r="DLG2" s="62"/>
      <c r="DLH2" s="62"/>
      <c r="DLI2" s="62"/>
      <c r="DLJ2" s="62"/>
      <c r="DLK2" s="62"/>
      <c r="DLL2" s="62"/>
      <c r="DLM2" s="62"/>
      <c r="DLN2" s="62"/>
      <c r="DLO2" s="62"/>
      <c r="DLP2" s="62"/>
      <c r="DLQ2" s="62"/>
      <c r="DLR2" s="62"/>
      <c r="DLS2" s="62"/>
      <c r="DLT2" s="62"/>
      <c r="DLU2" s="62"/>
      <c r="DLV2" s="62"/>
      <c r="DLW2" s="62"/>
      <c r="DLX2" s="62"/>
      <c r="DLY2" s="62"/>
      <c r="DLZ2" s="62"/>
      <c r="DMA2" s="62"/>
      <c r="DMB2" s="62"/>
      <c r="DMC2" s="62"/>
      <c r="DMD2" s="62"/>
      <c r="DME2" s="62"/>
      <c r="DMF2" s="62"/>
      <c r="DMG2" s="62"/>
      <c r="DMH2" s="62"/>
      <c r="DMI2" s="62"/>
      <c r="DMJ2" s="62"/>
      <c r="DMK2" s="62"/>
      <c r="DML2" s="62"/>
      <c r="DMM2" s="62"/>
      <c r="DMN2" s="62"/>
      <c r="DMO2" s="62"/>
      <c r="DMP2" s="62"/>
      <c r="DMQ2" s="62"/>
      <c r="DMR2" s="62"/>
      <c r="DMS2" s="62"/>
      <c r="DMT2" s="62"/>
      <c r="DMU2" s="62"/>
      <c r="DMV2" s="62"/>
      <c r="DMW2" s="62"/>
      <c r="DMX2" s="62"/>
      <c r="DMY2" s="62"/>
      <c r="DMZ2" s="62"/>
      <c r="DNA2" s="62"/>
      <c r="DNB2" s="62"/>
      <c r="DNC2" s="62"/>
      <c r="DND2" s="62"/>
      <c r="DNE2" s="62"/>
      <c r="DNF2" s="62"/>
      <c r="DNG2" s="62"/>
      <c r="DNH2" s="62"/>
      <c r="DNI2" s="62"/>
      <c r="DNJ2" s="62"/>
      <c r="DNK2" s="62"/>
      <c r="DNL2" s="62"/>
      <c r="DNM2" s="62"/>
      <c r="DNN2" s="62"/>
      <c r="DNO2" s="62"/>
      <c r="DNP2" s="62"/>
      <c r="DNQ2" s="62"/>
      <c r="DNR2" s="62"/>
      <c r="DNS2" s="62"/>
      <c r="DNT2" s="62"/>
      <c r="DNU2" s="62"/>
      <c r="DNV2" s="62"/>
      <c r="DNW2" s="62"/>
      <c r="DNX2" s="62"/>
      <c r="DNY2" s="62"/>
      <c r="DNZ2" s="62"/>
      <c r="DOA2" s="62"/>
      <c r="DOB2" s="62"/>
      <c r="DOC2" s="62"/>
      <c r="DOD2" s="62"/>
      <c r="DOE2" s="62"/>
      <c r="DOF2" s="62"/>
      <c r="DOG2" s="62"/>
      <c r="DOH2" s="62"/>
      <c r="DOI2" s="62"/>
      <c r="DOJ2" s="62"/>
      <c r="DOK2" s="62"/>
      <c r="DOL2" s="62"/>
      <c r="DOM2" s="62"/>
      <c r="DON2" s="62"/>
      <c r="DOO2" s="62"/>
      <c r="DOP2" s="62"/>
      <c r="DOQ2" s="62"/>
      <c r="DOR2" s="62"/>
      <c r="DOS2" s="62"/>
      <c r="DOT2" s="62"/>
      <c r="DOU2" s="62"/>
      <c r="DOV2" s="62"/>
      <c r="DOW2" s="62"/>
      <c r="DOX2" s="62"/>
      <c r="DOY2" s="62"/>
      <c r="DOZ2" s="62"/>
      <c r="DPA2" s="62"/>
      <c r="DPB2" s="62"/>
      <c r="DPC2" s="62"/>
      <c r="DPD2" s="62"/>
      <c r="DPE2" s="62"/>
      <c r="DPF2" s="62"/>
      <c r="DPG2" s="62"/>
      <c r="DPH2" s="62"/>
      <c r="DPI2" s="62"/>
      <c r="DPJ2" s="62"/>
      <c r="DPK2" s="62"/>
      <c r="DPL2" s="62"/>
      <c r="DPM2" s="62"/>
      <c r="DPN2" s="62"/>
      <c r="DPO2" s="62"/>
      <c r="DPP2" s="62"/>
      <c r="DPQ2" s="62"/>
      <c r="DPR2" s="62"/>
      <c r="DPS2" s="62"/>
      <c r="DPT2" s="62"/>
      <c r="DPU2" s="62"/>
      <c r="DPV2" s="62"/>
      <c r="DPW2" s="62"/>
      <c r="DPX2" s="62"/>
      <c r="DPY2" s="62"/>
      <c r="DPZ2" s="62"/>
      <c r="DQA2" s="62"/>
      <c r="DQB2" s="62"/>
      <c r="DQC2" s="62"/>
      <c r="DQD2" s="62"/>
      <c r="DQE2" s="62"/>
      <c r="DQF2" s="62"/>
      <c r="DQG2" s="62"/>
      <c r="DQH2" s="62"/>
      <c r="DQI2" s="62"/>
      <c r="DQJ2" s="62"/>
      <c r="DQK2" s="62"/>
      <c r="DQL2" s="62"/>
      <c r="DQM2" s="62"/>
      <c r="DQN2" s="62"/>
      <c r="DQO2" s="62"/>
      <c r="DQP2" s="62"/>
      <c r="DQQ2" s="62"/>
      <c r="DQR2" s="62"/>
      <c r="DQS2" s="62"/>
      <c r="DQT2" s="62"/>
      <c r="DQU2" s="62"/>
      <c r="DQV2" s="62"/>
      <c r="DQW2" s="62"/>
      <c r="DQX2" s="62"/>
      <c r="DQY2" s="62"/>
      <c r="DQZ2" s="62"/>
      <c r="DRA2" s="62"/>
      <c r="DRB2" s="62"/>
      <c r="DRC2" s="62"/>
      <c r="DRD2" s="62"/>
      <c r="DRE2" s="62"/>
      <c r="DRF2" s="62"/>
      <c r="DRG2" s="62"/>
      <c r="DRH2" s="62"/>
      <c r="DRI2" s="62"/>
      <c r="DRJ2" s="62"/>
      <c r="DRK2" s="62"/>
      <c r="DRL2" s="62"/>
      <c r="DRM2" s="62"/>
      <c r="DRN2" s="62"/>
      <c r="DRO2" s="62"/>
      <c r="DRP2" s="62"/>
      <c r="DRQ2" s="62"/>
      <c r="DRR2" s="62"/>
      <c r="DRS2" s="62"/>
      <c r="DRT2" s="62"/>
      <c r="DRU2" s="62"/>
      <c r="DRV2" s="62"/>
      <c r="DRW2" s="62"/>
      <c r="DRX2" s="62"/>
      <c r="DRY2" s="62"/>
      <c r="DRZ2" s="62"/>
      <c r="DSA2" s="62"/>
      <c r="DSB2" s="62"/>
      <c r="DSC2" s="62"/>
      <c r="DSD2" s="62"/>
      <c r="DSE2" s="62"/>
      <c r="DSF2" s="62"/>
      <c r="DSG2" s="62"/>
      <c r="DSH2" s="62"/>
      <c r="DSI2" s="62"/>
      <c r="DSJ2" s="62"/>
      <c r="DSK2" s="62"/>
      <c r="DSL2" s="62"/>
      <c r="DSM2" s="62"/>
      <c r="DSN2" s="62"/>
      <c r="DSO2" s="62"/>
      <c r="DSP2" s="62"/>
      <c r="DSQ2" s="62"/>
      <c r="DSR2" s="62"/>
      <c r="DSS2" s="62"/>
      <c r="DST2" s="62"/>
      <c r="DSU2" s="62"/>
      <c r="DSV2" s="62"/>
      <c r="DSW2" s="62"/>
      <c r="DSX2" s="62"/>
      <c r="DSY2" s="62"/>
      <c r="DSZ2" s="62"/>
      <c r="DTA2" s="62"/>
      <c r="DTB2" s="62"/>
      <c r="DTC2" s="62"/>
      <c r="DTD2" s="62"/>
      <c r="DTE2" s="62"/>
      <c r="DTF2" s="62"/>
      <c r="DTG2" s="62"/>
      <c r="DTH2" s="62"/>
      <c r="DTI2" s="62"/>
      <c r="DTJ2" s="62"/>
      <c r="DTK2" s="62"/>
      <c r="DTL2" s="62"/>
      <c r="DTM2" s="62"/>
      <c r="DTN2" s="62"/>
      <c r="DTO2" s="62"/>
      <c r="DTP2" s="62"/>
      <c r="DTQ2" s="62"/>
      <c r="DTR2" s="62"/>
      <c r="DTS2" s="62"/>
      <c r="DTT2" s="62"/>
      <c r="DTU2" s="62"/>
      <c r="DTV2" s="62"/>
      <c r="DTW2" s="62"/>
      <c r="DTX2" s="62"/>
      <c r="DTY2" s="62"/>
      <c r="DTZ2" s="62"/>
      <c r="DUA2" s="62"/>
      <c r="DUB2" s="62"/>
      <c r="DUC2" s="62"/>
      <c r="DUD2" s="62"/>
      <c r="DUE2" s="62"/>
      <c r="DUF2" s="62"/>
      <c r="DUG2" s="62"/>
      <c r="DUH2" s="62"/>
      <c r="DUI2" s="62"/>
      <c r="DUJ2" s="62"/>
      <c r="DUK2" s="62"/>
      <c r="DUL2" s="62"/>
      <c r="DUM2" s="62"/>
      <c r="DUN2" s="62"/>
      <c r="DUO2" s="62"/>
      <c r="DUP2" s="62"/>
      <c r="DUQ2" s="62"/>
      <c r="DUR2" s="62"/>
      <c r="DUS2" s="62"/>
      <c r="DUT2" s="62"/>
      <c r="DUU2" s="62"/>
      <c r="DUV2" s="62"/>
      <c r="DUW2" s="62"/>
      <c r="DUX2" s="62"/>
      <c r="DUY2" s="62"/>
      <c r="DUZ2" s="62"/>
      <c r="DVA2" s="62"/>
      <c r="DVB2" s="62"/>
      <c r="DVC2" s="62"/>
      <c r="DVD2" s="62"/>
      <c r="DVE2" s="62"/>
      <c r="DVF2" s="62"/>
      <c r="DVG2" s="62"/>
      <c r="DVH2" s="62"/>
      <c r="DVI2" s="62"/>
      <c r="DVJ2" s="62"/>
      <c r="DVK2" s="62"/>
      <c r="DVL2" s="62"/>
      <c r="DVM2" s="62"/>
      <c r="DVN2" s="62"/>
      <c r="DVO2" s="62"/>
      <c r="DVP2" s="62"/>
      <c r="DVQ2" s="62"/>
      <c r="DVR2" s="62"/>
      <c r="DVS2" s="62"/>
      <c r="DVT2" s="62"/>
      <c r="DVU2" s="62"/>
      <c r="DVV2" s="62"/>
      <c r="DVW2" s="62"/>
      <c r="DVX2" s="62"/>
      <c r="DVY2" s="62"/>
      <c r="DVZ2" s="62"/>
      <c r="DWA2" s="62"/>
      <c r="DWB2" s="62"/>
      <c r="DWC2" s="62"/>
      <c r="DWD2" s="62"/>
      <c r="DWE2" s="62"/>
      <c r="DWF2" s="62"/>
      <c r="DWG2" s="62"/>
      <c r="DWH2" s="62"/>
      <c r="DWI2" s="62"/>
      <c r="DWJ2" s="62"/>
      <c r="DWK2" s="62"/>
      <c r="DWL2" s="62"/>
      <c r="DWM2" s="62"/>
      <c r="DWN2" s="62"/>
      <c r="DWO2" s="62"/>
      <c r="DWP2" s="62"/>
      <c r="DWQ2" s="62"/>
      <c r="DWR2" s="62"/>
      <c r="DWS2" s="62"/>
      <c r="DWT2" s="62"/>
      <c r="DWU2" s="62"/>
      <c r="DWV2" s="62"/>
      <c r="DWW2" s="62"/>
      <c r="DWX2" s="62"/>
      <c r="DWY2" s="62"/>
      <c r="DWZ2" s="62"/>
      <c r="DXA2" s="62"/>
      <c r="DXB2" s="62"/>
      <c r="DXC2" s="62"/>
      <c r="DXD2" s="62"/>
      <c r="DXE2" s="62"/>
      <c r="DXF2" s="62"/>
      <c r="DXG2" s="62"/>
      <c r="DXH2" s="62"/>
      <c r="DXI2" s="62"/>
      <c r="DXJ2" s="62"/>
      <c r="DXK2" s="62"/>
      <c r="DXL2" s="62"/>
      <c r="DXM2" s="62"/>
      <c r="DXN2" s="62"/>
      <c r="DXO2" s="62"/>
      <c r="DXP2" s="62"/>
      <c r="DXQ2" s="62"/>
      <c r="DXR2" s="62"/>
      <c r="DXS2" s="62"/>
      <c r="DXT2" s="62"/>
      <c r="DXU2" s="62"/>
      <c r="DXV2" s="62"/>
      <c r="DXW2" s="62"/>
      <c r="DXX2" s="62"/>
      <c r="DXY2" s="62"/>
      <c r="DXZ2" s="62"/>
      <c r="DYA2" s="62"/>
      <c r="DYB2" s="62"/>
      <c r="DYC2" s="62"/>
      <c r="DYD2" s="62"/>
      <c r="DYE2" s="62"/>
      <c r="DYF2" s="62"/>
      <c r="DYG2" s="62"/>
      <c r="DYH2" s="62"/>
      <c r="DYI2" s="62"/>
      <c r="DYJ2" s="62"/>
      <c r="DYK2" s="62"/>
      <c r="DYL2" s="62"/>
      <c r="DYM2" s="62"/>
      <c r="DYN2" s="62"/>
      <c r="DYO2" s="62"/>
      <c r="DYP2" s="62"/>
      <c r="DYQ2" s="62"/>
      <c r="DYR2" s="62"/>
      <c r="DYS2" s="62"/>
      <c r="DYT2" s="62"/>
      <c r="DYU2" s="62"/>
      <c r="DYV2" s="62"/>
      <c r="DYW2" s="62"/>
      <c r="DYX2" s="62"/>
      <c r="DYY2" s="62"/>
      <c r="DYZ2" s="62"/>
      <c r="DZA2" s="62"/>
      <c r="DZB2" s="62"/>
      <c r="DZC2" s="62"/>
      <c r="DZD2" s="62"/>
      <c r="DZE2" s="62"/>
      <c r="DZF2" s="62"/>
      <c r="DZG2" s="62"/>
      <c r="DZH2" s="62"/>
      <c r="DZI2" s="62"/>
      <c r="DZJ2" s="62"/>
      <c r="DZK2" s="62"/>
      <c r="DZL2" s="62"/>
      <c r="DZM2" s="62"/>
      <c r="DZN2" s="62"/>
      <c r="DZO2" s="62"/>
      <c r="DZP2" s="62"/>
      <c r="DZQ2" s="62"/>
      <c r="DZR2" s="62"/>
      <c r="DZS2" s="62"/>
      <c r="DZT2" s="62"/>
      <c r="DZU2" s="62"/>
      <c r="DZV2" s="62"/>
      <c r="DZW2" s="62"/>
      <c r="DZX2" s="62"/>
      <c r="DZY2" s="62"/>
      <c r="DZZ2" s="62"/>
      <c r="EAA2" s="62"/>
      <c r="EAB2" s="62"/>
      <c r="EAC2" s="62"/>
      <c r="EAD2" s="62"/>
      <c r="EAE2" s="62"/>
      <c r="EAF2" s="62"/>
      <c r="EAG2" s="62"/>
      <c r="EAH2" s="62"/>
      <c r="EAI2" s="62"/>
      <c r="EAJ2" s="62"/>
      <c r="EAK2" s="62"/>
      <c r="EAL2" s="62"/>
      <c r="EAM2" s="62"/>
      <c r="EAN2" s="62"/>
      <c r="EAO2" s="62"/>
      <c r="EAP2" s="62"/>
      <c r="EAQ2" s="62"/>
      <c r="EAR2" s="62"/>
      <c r="EAS2" s="62"/>
      <c r="EAT2" s="62"/>
      <c r="EAU2" s="62"/>
      <c r="EAV2" s="62"/>
      <c r="EAW2" s="62"/>
      <c r="EAX2" s="62"/>
      <c r="EAY2" s="62"/>
      <c r="EAZ2" s="62"/>
      <c r="EBA2" s="62"/>
      <c r="EBB2" s="62"/>
      <c r="EBC2" s="62"/>
      <c r="EBD2" s="62"/>
      <c r="EBE2" s="62"/>
      <c r="EBF2" s="62"/>
      <c r="EBG2" s="62"/>
      <c r="EBH2" s="62"/>
      <c r="EBI2" s="62"/>
      <c r="EBJ2" s="62"/>
      <c r="EBK2" s="62"/>
      <c r="EBL2" s="62"/>
      <c r="EBM2" s="62"/>
      <c r="EBN2" s="62"/>
      <c r="EBO2" s="62"/>
      <c r="EBP2" s="62"/>
      <c r="EBQ2" s="62"/>
      <c r="EBR2" s="62"/>
      <c r="EBS2" s="62"/>
      <c r="EBT2" s="62"/>
      <c r="EBU2" s="62"/>
      <c r="EBV2" s="62"/>
      <c r="EBW2" s="62"/>
      <c r="EBX2" s="62"/>
      <c r="EBY2" s="62"/>
      <c r="EBZ2" s="62"/>
      <c r="ECA2" s="62"/>
      <c r="ECB2" s="62"/>
      <c r="ECC2" s="62"/>
      <c r="ECD2" s="62"/>
      <c r="ECE2" s="62"/>
      <c r="ECF2" s="62"/>
      <c r="ECG2" s="62"/>
      <c r="ECH2" s="62"/>
      <c r="ECI2" s="62"/>
      <c r="ECJ2" s="62"/>
      <c r="ECK2" s="62"/>
      <c r="ECL2" s="62"/>
      <c r="ECM2" s="62"/>
      <c r="ECN2" s="62"/>
      <c r="ECO2" s="62"/>
      <c r="ECP2" s="62"/>
      <c r="ECQ2" s="62"/>
      <c r="ECR2" s="62"/>
      <c r="ECS2" s="62"/>
      <c r="ECT2" s="62"/>
      <c r="ECU2" s="62"/>
      <c r="ECV2" s="62"/>
      <c r="ECW2" s="62"/>
      <c r="ECX2" s="62"/>
      <c r="ECY2" s="62"/>
      <c r="ECZ2" s="62"/>
      <c r="EDA2" s="62"/>
      <c r="EDB2" s="62"/>
      <c r="EDC2" s="62"/>
      <c r="EDD2" s="62"/>
      <c r="EDE2" s="62"/>
      <c r="EDF2" s="62"/>
      <c r="EDG2" s="62"/>
      <c r="EDH2" s="62"/>
      <c r="EDI2" s="62"/>
      <c r="EDJ2" s="62"/>
      <c r="EDK2" s="62"/>
      <c r="EDL2" s="62"/>
      <c r="EDM2" s="62"/>
      <c r="EDN2" s="62"/>
      <c r="EDO2" s="62"/>
      <c r="EDP2" s="62"/>
      <c r="EDQ2" s="62"/>
      <c r="EDR2" s="62"/>
      <c r="EDS2" s="62"/>
      <c r="EDT2" s="62"/>
      <c r="EDU2" s="62"/>
      <c r="EDV2" s="62"/>
      <c r="EDW2" s="62"/>
      <c r="EDX2" s="62"/>
      <c r="EDY2" s="62"/>
      <c r="EDZ2" s="62"/>
      <c r="EEA2" s="62"/>
      <c r="EEB2" s="62"/>
      <c r="EEC2" s="62"/>
      <c r="EED2" s="62"/>
      <c r="EEE2" s="62"/>
      <c r="EEF2" s="62"/>
      <c r="EEG2" s="62"/>
      <c r="EEH2" s="62"/>
      <c r="EEI2" s="62"/>
      <c r="EEJ2" s="62"/>
      <c r="EEK2" s="62"/>
      <c r="EEL2" s="62"/>
      <c r="EEM2" s="62"/>
      <c r="EEN2" s="62"/>
      <c r="EEO2" s="62"/>
      <c r="EEP2" s="62"/>
      <c r="EEQ2" s="62"/>
      <c r="EER2" s="62"/>
      <c r="EES2" s="62"/>
      <c r="EET2" s="62"/>
      <c r="EEU2" s="62"/>
      <c r="EEV2" s="62"/>
      <c r="EEW2" s="62"/>
      <c r="EEX2" s="62"/>
      <c r="EEY2" s="62"/>
      <c r="EEZ2" s="62"/>
      <c r="EFA2" s="62"/>
      <c r="EFB2" s="62"/>
      <c r="EFC2" s="62"/>
      <c r="EFD2" s="62"/>
      <c r="EFE2" s="62"/>
      <c r="EFF2" s="62"/>
      <c r="EFG2" s="62"/>
      <c r="EFH2" s="62"/>
      <c r="EFI2" s="62"/>
      <c r="EFJ2" s="62"/>
      <c r="EFK2" s="62"/>
      <c r="EFL2" s="62"/>
      <c r="EFM2" s="62"/>
      <c r="EFN2" s="62"/>
      <c r="EFO2" s="62"/>
      <c r="EFP2" s="62"/>
      <c r="EFQ2" s="62"/>
      <c r="EFR2" s="62"/>
      <c r="EFS2" s="62"/>
      <c r="EFT2" s="62"/>
      <c r="EFU2" s="62"/>
      <c r="EFV2" s="62"/>
      <c r="EFW2" s="62"/>
      <c r="EFX2" s="62"/>
      <c r="EFY2" s="62"/>
      <c r="EFZ2" s="62"/>
      <c r="EGA2" s="62"/>
      <c r="EGB2" s="62"/>
      <c r="EGC2" s="62"/>
      <c r="EGD2" s="62"/>
      <c r="EGE2" s="62"/>
      <c r="EGF2" s="62"/>
      <c r="EGG2" s="62"/>
      <c r="EGH2" s="62"/>
      <c r="EGI2" s="62"/>
      <c r="EGJ2" s="62"/>
      <c r="EGK2" s="62"/>
      <c r="EGL2" s="62"/>
      <c r="EGM2" s="62"/>
      <c r="EGN2" s="62"/>
      <c r="EGO2" s="62"/>
      <c r="EGP2" s="62"/>
      <c r="EGQ2" s="62"/>
      <c r="EGR2" s="62"/>
      <c r="EGS2" s="62"/>
      <c r="EGT2" s="62"/>
      <c r="EGU2" s="62"/>
      <c r="EGV2" s="62"/>
      <c r="EGW2" s="62"/>
      <c r="EGX2" s="62"/>
      <c r="EGY2" s="62"/>
      <c r="EGZ2" s="62"/>
      <c r="EHA2" s="62"/>
      <c r="EHB2" s="62"/>
      <c r="EHC2" s="62"/>
      <c r="EHD2" s="62"/>
      <c r="EHE2" s="62"/>
      <c r="EHF2" s="62"/>
      <c r="EHG2" s="62"/>
      <c r="EHH2" s="62"/>
      <c r="EHI2" s="62"/>
      <c r="EHJ2" s="62"/>
      <c r="EHK2" s="62"/>
      <c r="EHL2" s="62"/>
      <c r="EHM2" s="62"/>
      <c r="EHN2" s="62"/>
      <c r="EHO2" s="62"/>
      <c r="EHP2" s="62"/>
      <c r="EHQ2" s="62"/>
      <c r="EHR2" s="62"/>
      <c r="EHS2" s="62"/>
      <c r="EHT2" s="62"/>
      <c r="EHU2" s="62"/>
      <c r="EHV2" s="62"/>
      <c r="EHW2" s="62"/>
      <c r="EHX2" s="62"/>
      <c r="EHY2" s="62"/>
      <c r="EHZ2" s="62"/>
      <c r="EIA2" s="62"/>
      <c r="EIB2" s="62"/>
      <c r="EIC2" s="62"/>
      <c r="EID2" s="62"/>
      <c r="EIE2" s="62"/>
      <c r="EIF2" s="62"/>
      <c r="EIG2" s="62"/>
      <c r="EIH2" s="62"/>
      <c r="EII2" s="62"/>
      <c r="EIJ2" s="62"/>
      <c r="EIK2" s="62"/>
      <c r="EIL2" s="62"/>
      <c r="EIM2" s="62"/>
      <c r="EIN2" s="62"/>
      <c r="EIO2" s="62"/>
      <c r="EIP2" s="62"/>
      <c r="EIQ2" s="62"/>
      <c r="EIR2" s="62"/>
      <c r="EIS2" s="62"/>
      <c r="EIT2" s="62"/>
      <c r="EIU2" s="62"/>
      <c r="EIV2" s="62"/>
      <c r="EIW2" s="62"/>
      <c r="EIX2" s="62"/>
      <c r="EIY2" s="62"/>
      <c r="EIZ2" s="62"/>
      <c r="EJA2" s="62"/>
      <c r="EJB2" s="62"/>
      <c r="EJC2" s="62"/>
      <c r="EJD2" s="62"/>
      <c r="EJE2" s="62"/>
      <c r="EJF2" s="62"/>
      <c r="EJG2" s="62"/>
      <c r="EJH2" s="62"/>
      <c r="EJI2" s="62"/>
      <c r="EJJ2" s="62"/>
      <c r="EJK2" s="62"/>
      <c r="EJL2" s="62"/>
      <c r="EJM2" s="62"/>
      <c r="EJN2" s="62"/>
      <c r="EJO2" s="62"/>
      <c r="EJP2" s="62"/>
      <c r="EJQ2" s="62"/>
      <c r="EJR2" s="62"/>
      <c r="EJS2" s="62"/>
      <c r="EJT2" s="62"/>
      <c r="EJU2" s="62"/>
      <c r="EJV2" s="62"/>
      <c r="EJW2" s="62"/>
      <c r="EJX2" s="62"/>
      <c r="EJY2" s="62"/>
      <c r="EJZ2" s="62"/>
      <c r="EKA2" s="62"/>
      <c r="EKB2" s="62"/>
      <c r="EKC2" s="62"/>
      <c r="EKD2" s="62"/>
      <c r="EKE2" s="62"/>
      <c r="EKF2" s="62"/>
      <c r="EKG2" s="62"/>
      <c r="EKH2" s="62"/>
      <c r="EKI2" s="62"/>
      <c r="EKJ2" s="62"/>
      <c r="EKK2" s="62"/>
      <c r="EKL2" s="62"/>
      <c r="EKM2" s="62"/>
      <c r="EKN2" s="62"/>
      <c r="EKO2" s="62"/>
      <c r="EKP2" s="62"/>
      <c r="EKQ2" s="62"/>
      <c r="EKR2" s="62"/>
      <c r="EKS2" s="62"/>
      <c r="EKT2" s="62"/>
      <c r="EKU2" s="62"/>
      <c r="EKV2" s="62"/>
      <c r="EKW2" s="62"/>
      <c r="EKX2" s="62"/>
      <c r="EKY2" s="62"/>
      <c r="EKZ2" s="62"/>
      <c r="ELA2" s="62"/>
      <c r="ELB2" s="62"/>
      <c r="ELC2" s="62"/>
      <c r="ELD2" s="62"/>
      <c r="ELE2" s="62"/>
      <c r="ELF2" s="62"/>
      <c r="ELG2" s="62"/>
      <c r="ELH2" s="62"/>
      <c r="ELI2" s="62"/>
      <c r="ELJ2" s="62"/>
      <c r="ELK2" s="62"/>
      <c r="ELL2" s="62"/>
      <c r="ELM2" s="62"/>
      <c r="ELN2" s="62"/>
      <c r="ELO2" s="62"/>
      <c r="ELP2" s="62"/>
      <c r="ELQ2" s="62"/>
      <c r="ELR2" s="62"/>
      <c r="ELS2" s="62"/>
      <c r="ELT2" s="62"/>
      <c r="ELU2" s="62"/>
      <c r="ELV2" s="62"/>
      <c r="ELW2" s="62"/>
      <c r="ELX2" s="62"/>
      <c r="ELY2" s="62"/>
      <c r="ELZ2" s="62"/>
      <c r="EMA2" s="62"/>
      <c r="EMB2" s="62"/>
      <c r="EMC2" s="62"/>
      <c r="EMD2" s="62"/>
      <c r="EME2" s="62"/>
      <c r="EMF2" s="62"/>
      <c r="EMG2" s="62"/>
      <c r="EMH2" s="62"/>
      <c r="EMI2" s="62"/>
      <c r="EMJ2" s="62"/>
      <c r="EMK2" s="62"/>
      <c r="EML2" s="62"/>
      <c r="EMM2" s="62"/>
      <c r="EMN2" s="62"/>
      <c r="EMO2" s="62"/>
      <c r="EMP2" s="62"/>
      <c r="EMQ2" s="62"/>
      <c r="EMR2" s="62"/>
      <c r="EMS2" s="62"/>
      <c r="EMT2" s="62"/>
      <c r="EMU2" s="62"/>
      <c r="EMV2" s="62"/>
      <c r="EMW2" s="62"/>
      <c r="EMX2" s="62"/>
      <c r="EMY2" s="62"/>
      <c r="EMZ2" s="62"/>
      <c r="ENA2" s="62"/>
      <c r="ENB2" s="62"/>
      <c r="ENC2" s="62"/>
      <c r="END2" s="62"/>
      <c r="ENE2" s="62"/>
      <c r="ENF2" s="62"/>
      <c r="ENG2" s="62"/>
      <c r="ENH2" s="62"/>
      <c r="ENI2" s="62"/>
      <c r="ENJ2" s="62"/>
      <c r="ENK2" s="62"/>
      <c r="ENL2" s="62"/>
      <c r="ENM2" s="62"/>
      <c r="ENN2" s="62"/>
      <c r="ENO2" s="62"/>
      <c r="ENP2" s="62"/>
      <c r="ENQ2" s="62"/>
      <c r="ENR2" s="62"/>
      <c r="ENS2" s="62"/>
      <c r="ENT2" s="62"/>
      <c r="ENU2" s="62"/>
      <c r="ENV2" s="62"/>
      <c r="ENW2" s="62"/>
      <c r="ENX2" s="62"/>
      <c r="ENY2" s="62"/>
      <c r="ENZ2" s="62"/>
      <c r="EOA2" s="62"/>
      <c r="EOB2" s="62"/>
      <c r="EOC2" s="62"/>
      <c r="EOD2" s="62"/>
      <c r="EOE2" s="62"/>
      <c r="EOF2" s="62"/>
      <c r="EOG2" s="62"/>
      <c r="EOH2" s="62"/>
      <c r="EOI2" s="62"/>
      <c r="EOJ2" s="62"/>
      <c r="EOK2" s="62"/>
      <c r="EOL2" s="62"/>
      <c r="EOM2" s="62"/>
      <c r="EON2" s="62"/>
      <c r="EOO2" s="62"/>
      <c r="EOP2" s="62"/>
      <c r="EOQ2" s="62"/>
      <c r="EOR2" s="62"/>
      <c r="EOS2" s="62"/>
      <c r="EOT2" s="62"/>
      <c r="EOU2" s="62"/>
      <c r="EOV2" s="62"/>
      <c r="EOW2" s="62"/>
      <c r="EOX2" s="62"/>
      <c r="EOY2" s="62"/>
      <c r="EOZ2" s="62"/>
      <c r="EPA2" s="62"/>
      <c r="EPB2" s="62"/>
      <c r="EPC2" s="62"/>
      <c r="EPD2" s="62"/>
      <c r="EPE2" s="62"/>
      <c r="EPF2" s="62"/>
      <c r="EPG2" s="62"/>
      <c r="EPH2" s="62"/>
      <c r="EPI2" s="62"/>
      <c r="EPJ2" s="62"/>
      <c r="EPK2" s="62"/>
      <c r="EPL2" s="62"/>
      <c r="EPM2" s="62"/>
      <c r="EPN2" s="62"/>
      <c r="EPO2" s="62"/>
      <c r="EPP2" s="62"/>
      <c r="EPQ2" s="62"/>
      <c r="EPR2" s="62"/>
      <c r="EPS2" s="62"/>
      <c r="EPT2" s="62"/>
      <c r="EPU2" s="62"/>
      <c r="EPV2" s="62"/>
      <c r="EPW2" s="62"/>
      <c r="EPX2" s="62"/>
      <c r="EPY2" s="62"/>
      <c r="EPZ2" s="62"/>
      <c r="EQA2" s="62"/>
      <c r="EQB2" s="62"/>
      <c r="EQC2" s="62"/>
      <c r="EQD2" s="62"/>
      <c r="EQE2" s="62"/>
      <c r="EQF2" s="62"/>
      <c r="EQG2" s="62"/>
      <c r="EQH2" s="62"/>
      <c r="EQI2" s="62"/>
      <c r="EQJ2" s="62"/>
      <c r="EQK2" s="62"/>
      <c r="EQL2" s="62"/>
      <c r="EQM2" s="62"/>
      <c r="EQN2" s="62"/>
      <c r="EQO2" s="62"/>
      <c r="EQP2" s="62"/>
      <c r="EQQ2" s="62"/>
      <c r="EQR2" s="62"/>
      <c r="EQS2" s="62"/>
      <c r="EQT2" s="62"/>
      <c r="EQU2" s="62"/>
      <c r="EQV2" s="62"/>
      <c r="EQW2" s="62"/>
      <c r="EQX2" s="62"/>
      <c r="EQY2" s="62"/>
      <c r="EQZ2" s="62"/>
      <c r="ERA2" s="62"/>
      <c r="ERB2" s="62"/>
      <c r="ERC2" s="62"/>
      <c r="ERD2" s="62"/>
      <c r="ERE2" s="62"/>
      <c r="ERF2" s="62"/>
      <c r="ERG2" s="62"/>
      <c r="ERH2" s="62"/>
      <c r="ERI2" s="62"/>
      <c r="ERJ2" s="62"/>
      <c r="ERK2" s="62"/>
      <c r="ERL2" s="62"/>
      <c r="ERM2" s="62"/>
      <c r="ERN2" s="62"/>
      <c r="ERO2" s="62"/>
      <c r="ERP2" s="62"/>
      <c r="ERQ2" s="62"/>
      <c r="ERR2" s="62"/>
      <c r="ERS2" s="62"/>
      <c r="ERT2" s="62"/>
      <c r="ERU2" s="62"/>
      <c r="ERV2" s="62"/>
      <c r="ERW2" s="62"/>
      <c r="ERX2" s="62"/>
      <c r="ERY2" s="62"/>
      <c r="ERZ2" s="62"/>
      <c r="ESA2" s="62"/>
      <c r="ESB2" s="62"/>
      <c r="ESC2" s="62"/>
      <c r="ESD2" s="62"/>
      <c r="ESE2" s="62"/>
      <c r="ESF2" s="62"/>
      <c r="ESG2" s="62"/>
      <c r="ESH2" s="62"/>
      <c r="ESI2" s="62"/>
      <c r="ESJ2" s="62"/>
      <c r="ESK2" s="62"/>
      <c r="ESL2" s="62"/>
      <c r="ESM2" s="62"/>
      <c r="ESN2" s="62"/>
      <c r="ESO2" s="62"/>
      <c r="ESP2" s="62"/>
      <c r="ESQ2" s="62"/>
      <c r="ESR2" s="62"/>
      <c r="ESS2" s="62"/>
      <c r="EST2" s="62"/>
      <c r="ESU2" s="62"/>
      <c r="ESV2" s="62"/>
      <c r="ESW2" s="62"/>
      <c r="ESX2" s="62"/>
      <c r="ESY2" s="62"/>
      <c r="ESZ2" s="62"/>
      <c r="ETA2" s="62"/>
      <c r="ETB2" s="62"/>
      <c r="ETC2" s="62"/>
      <c r="ETD2" s="62"/>
      <c r="ETE2" s="62"/>
      <c r="ETF2" s="62"/>
      <c r="ETG2" s="62"/>
      <c r="ETH2" s="62"/>
      <c r="ETI2" s="62"/>
      <c r="ETJ2" s="62"/>
      <c r="ETK2" s="62"/>
      <c r="ETL2" s="62"/>
      <c r="ETM2" s="62"/>
      <c r="ETN2" s="62"/>
      <c r="ETO2" s="62"/>
      <c r="ETP2" s="62"/>
      <c r="ETQ2" s="62"/>
      <c r="ETR2" s="62"/>
      <c r="ETS2" s="62"/>
      <c r="ETT2" s="62"/>
      <c r="ETU2" s="62"/>
      <c r="ETV2" s="62"/>
      <c r="ETW2" s="62"/>
      <c r="ETX2" s="62"/>
      <c r="ETY2" s="62"/>
      <c r="ETZ2" s="62"/>
      <c r="EUA2" s="62"/>
      <c r="EUB2" s="62"/>
      <c r="EUC2" s="62"/>
      <c r="EUD2" s="62"/>
      <c r="EUE2" s="62"/>
      <c r="EUF2" s="62"/>
      <c r="EUG2" s="62"/>
      <c r="EUH2" s="62"/>
      <c r="EUI2" s="62"/>
      <c r="EUJ2" s="62"/>
      <c r="EUK2" s="62"/>
      <c r="EUL2" s="62"/>
      <c r="EUM2" s="62"/>
      <c r="EUN2" s="62"/>
      <c r="EUO2" s="62"/>
      <c r="EUP2" s="62"/>
      <c r="EUQ2" s="62"/>
      <c r="EUR2" s="62"/>
      <c r="EUS2" s="62"/>
      <c r="EUT2" s="62"/>
      <c r="EUU2" s="62"/>
      <c r="EUV2" s="62"/>
      <c r="EUW2" s="62"/>
      <c r="EUX2" s="62"/>
      <c r="EUY2" s="62"/>
      <c r="EUZ2" s="62"/>
      <c r="EVA2" s="62"/>
      <c r="EVB2" s="62"/>
      <c r="EVC2" s="62"/>
      <c r="EVD2" s="62"/>
      <c r="EVE2" s="62"/>
      <c r="EVF2" s="62"/>
      <c r="EVG2" s="62"/>
      <c r="EVH2" s="62"/>
      <c r="EVI2" s="62"/>
      <c r="EVJ2" s="62"/>
      <c r="EVK2" s="62"/>
      <c r="EVL2" s="62"/>
      <c r="EVM2" s="62"/>
      <c r="EVN2" s="62"/>
      <c r="EVO2" s="62"/>
      <c r="EVP2" s="62"/>
      <c r="EVQ2" s="62"/>
      <c r="EVR2" s="62"/>
      <c r="EVS2" s="62"/>
      <c r="EVT2" s="62"/>
      <c r="EVU2" s="62"/>
      <c r="EVV2" s="62"/>
      <c r="EVW2" s="62"/>
      <c r="EVX2" s="62"/>
      <c r="EVY2" s="62"/>
      <c r="EVZ2" s="62"/>
      <c r="EWA2" s="62"/>
      <c r="EWB2" s="62"/>
      <c r="EWC2" s="62"/>
      <c r="EWD2" s="62"/>
      <c r="EWE2" s="62"/>
      <c r="EWF2" s="62"/>
      <c r="EWG2" s="62"/>
      <c r="EWH2" s="62"/>
      <c r="EWI2" s="62"/>
      <c r="EWJ2" s="62"/>
      <c r="EWK2" s="62"/>
      <c r="EWL2" s="62"/>
      <c r="EWM2" s="62"/>
      <c r="EWN2" s="62"/>
      <c r="EWO2" s="62"/>
      <c r="EWP2" s="62"/>
      <c r="EWQ2" s="62"/>
      <c r="EWR2" s="62"/>
      <c r="EWS2" s="62"/>
      <c r="EWT2" s="62"/>
      <c r="EWU2" s="62"/>
      <c r="EWV2" s="62"/>
      <c r="EWW2" s="62"/>
      <c r="EWX2" s="62"/>
      <c r="EWY2" s="62"/>
      <c r="EWZ2" s="62"/>
      <c r="EXA2" s="62"/>
      <c r="EXB2" s="62"/>
      <c r="EXC2" s="62"/>
      <c r="EXD2" s="62"/>
      <c r="EXE2" s="62"/>
      <c r="EXF2" s="62"/>
      <c r="EXG2" s="62"/>
      <c r="EXH2" s="62"/>
      <c r="EXI2" s="62"/>
      <c r="EXJ2" s="62"/>
      <c r="EXK2" s="62"/>
      <c r="EXL2" s="62"/>
      <c r="EXM2" s="62"/>
      <c r="EXN2" s="62"/>
      <c r="EXO2" s="62"/>
      <c r="EXP2" s="62"/>
      <c r="EXQ2" s="62"/>
      <c r="EXR2" s="62"/>
      <c r="EXS2" s="62"/>
      <c r="EXT2" s="62"/>
      <c r="EXU2" s="62"/>
      <c r="EXV2" s="62"/>
      <c r="EXW2" s="62"/>
      <c r="EXX2" s="62"/>
      <c r="EXY2" s="62"/>
      <c r="EXZ2" s="62"/>
      <c r="EYA2" s="62"/>
      <c r="EYB2" s="62"/>
      <c r="EYC2" s="62"/>
      <c r="EYD2" s="62"/>
      <c r="EYE2" s="62"/>
      <c r="EYF2" s="62"/>
      <c r="EYG2" s="62"/>
      <c r="EYH2" s="62"/>
      <c r="EYI2" s="62"/>
      <c r="EYJ2" s="62"/>
      <c r="EYK2" s="62"/>
      <c r="EYL2" s="62"/>
      <c r="EYM2" s="62"/>
      <c r="EYN2" s="62"/>
      <c r="EYO2" s="62"/>
      <c r="EYP2" s="62"/>
      <c r="EYQ2" s="62"/>
      <c r="EYR2" s="62"/>
      <c r="EYS2" s="62"/>
      <c r="EYT2" s="62"/>
      <c r="EYU2" s="62"/>
      <c r="EYV2" s="62"/>
      <c r="EYW2" s="62"/>
      <c r="EYX2" s="62"/>
      <c r="EYY2" s="62"/>
      <c r="EYZ2" s="62"/>
      <c r="EZA2" s="62"/>
      <c r="EZB2" s="62"/>
      <c r="EZC2" s="62"/>
      <c r="EZD2" s="62"/>
      <c r="EZE2" s="62"/>
      <c r="EZF2" s="62"/>
      <c r="EZG2" s="62"/>
      <c r="EZH2" s="62"/>
      <c r="EZI2" s="62"/>
      <c r="EZJ2" s="62"/>
      <c r="EZK2" s="62"/>
      <c r="EZL2" s="62"/>
      <c r="EZM2" s="62"/>
      <c r="EZN2" s="62"/>
      <c r="EZO2" s="62"/>
      <c r="EZP2" s="62"/>
      <c r="EZQ2" s="62"/>
      <c r="EZR2" s="62"/>
      <c r="EZS2" s="62"/>
      <c r="EZT2" s="62"/>
      <c r="EZU2" s="62"/>
      <c r="EZV2" s="62"/>
      <c r="EZW2" s="62"/>
      <c r="EZX2" s="62"/>
      <c r="EZY2" s="62"/>
      <c r="EZZ2" s="62"/>
      <c r="FAA2" s="62"/>
      <c r="FAB2" s="62"/>
      <c r="FAC2" s="62"/>
      <c r="FAD2" s="62"/>
      <c r="FAE2" s="62"/>
      <c r="FAF2" s="62"/>
      <c r="FAG2" s="62"/>
      <c r="FAH2" s="62"/>
      <c r="FAI2" s="62"/>
      <c r="FAJ2" s="62"/>
      <c r="FAK2" s="62"/>
      <c r="FAL2" s="62"/>
      <c r="FAM2" s="62"/>
      <c r="FAN2" s="62"/>
      <c r="FAO2" s="62"/>
      <c r="FAP2" s="62"/>
      <c r="FAQ2" s="62"/>
      <c r="FAR2" s="62"/>
      <c r="FAS2" s="62"/>
      <c r="FAT2" s="62"/>
      <c r="FAU2" s="62"/>
      <c r="FAV2" s="62"/>
      <c r="FAW2" s="62"/>
      <c r="FAX2" s="62"/>
      <c r="FAY2" s="62"/>
      <c r="FAZ2" s="62"/>
      <c r="FBA2" s="62"/>
      <c r="FBB2" s="62"/>
      <c r="FBC2" s="62"/>
      <c r="FBD2" s="62"/>
      <c r="FBE2" s="62"/>
      <c r="FBF2" s="62"/>
      <c r="FBG2" s="62"/>
      <c r="FBH2" s="62"/>
      <c r="FBI2" s="62"/>
      <c r="FBJ2" s="62"/>
      <c r="FBK2" s="62"/>
      <c r="FBL2" s="62"/>
      <c r="FBM2" s="62"/>
      <c r="FBN2" s="62"/>
      <c r="FBO2" s="62"/>
      <c r="FBP2" s="62"/>
      <c r="FBQ2" s="62"/>
      <c r="FBR2" s="62"/>
      <c r="FBS2" s="62"/>
      <c r="FBT2" s="62"/>
      <c r="FBU2" s="62"/>
      <c r="FBV2" s="62"/>
      <c r="FBW2" s="62"/>
      <c r="FBX2" s="62"/>
      <c r="FBY2" s="62"/>
      <c r="FBZ2" s="62"/>
      <c r="FCA2" s="62"/>
      <c r="FCB2" s="62"/>
      <c r="FCC2" s="62"/>
      <c r="FCD2" s="62"/>
      <c r="FCE2" s="62"/>
      <c r="FCF2" s="62"/>
      <c r="FCG2" s="62"/>
      <c r="FCH2" s="62"/>
      <c r="FCI2" s="62"/>
      <c r="FCJ2" s="62"/>
      <c r="FCK2" s="62"/>
      <c r="FCL2" s="62"/>
      <c r="FCM2" s="62"/>
      <c r="FCN2" s="62"/>
      <c r="FCO2" s="62"/>
      <c r="FCP2" s="62"/>
      <c r="FCQ2" s="62"/>
      <c r="FCR2" s="62"/>
      <c r="FCS2" s="62"/>
      <c r="FCT2" s="62"/>
      <c r="FCU2" s="62"/>
      <c r="FCV2" s="62"/>
      <c r="FCW2" s="62"/>
      <c r="FCX2" s="62"/>
      <c r="FCY2" s="62"/>
      <c r="FCZ2" s="62"/>
      <c r="FDA2" s="62"/>
      <c r="FDB2" s="62"/>
      <c r="FDC2" s="62"/>
      <c r="FDD2" s="62"/>
      <c r="FDE2" s="62"/>
      <c r="FDF2" s="62"/>
      <c r="FDG2" s="62"/>
      <c r="FDH2" s="62"/>
      <c r="FDI2" s="62"/>
      <c r="FDJ2" s="62"/>
      <c r="FDK2" s="62"/>
      <c r="FDL2" s="62"/>
      <c r="FDM2" s="62"/>
      <c r="FDN2" s="62"/>
      <c r="FDO2" s="62"/>
      <c r="FDP2" s="62"/>
      <c r="FDQ2" s="62"/>
      <c r="FDR2" s="62"/>
      <c r="FDS2" s="62"/>
      <c r="FDT2" s="62"/>
      <c r="FDU2" s="62"/>
      <c r="FDV2" s="62"/>
      <c r="FDW2" s="62"/>
      <c r="FDX2" s="62"/>
      <c r="FDY2" s="62"/>
      <c r="FDZ2" s="62"/>
      <c r="FEA2" s="62"/>
      <c r="FEB2" s="62"/>
      <c r="FEC2" s="62"/>
      <c r="FED2" s="62"/>
      <c r="FEE2" s="62"/>
      <c r="FEF2" s="62"/>
      <c r="FEG2" s="62"/>
      <c r="FEH2" s="62"/>
      <c r="FEI2" s="62"/>
      <c r="FEJ2" s="62"/>
      <c r="FEK2" s="62"/>
      <c r="FEL2" s="62"/>
      <c r="FEM2" s="62"/>
      <c r="FEN2" s="62"/>
      <c r="FEO2" s="62"/>
      <c r="FEP2" s="62"/>
      <c r="FEQ2" s="62"/>
      <c r="FER2" s="62"/>
      <c r="FES2" s="62"/>
      <c r="FET2" s="62"/>
      <c r="FEU2" s="62"/>
      <c r="FEV2" s="62"/>
      <c r="FEW2" s="62"/>
      <c r="FEX2" s="62"/>
      <c r="FEY2" s="62"/>
      <c r="FEZ2" s="62"/>
      <c r="FFA2" s="62"/>
      <c r="FFB2" s="62"/>
      <c r="FFC2" s="62"/>
      <c r="FFD2" s="62"/>
      <c r="FFE2" s="62"/>
      <c r="FFF2" s="62"/>
      <c r="FFG2" s="62"/>
      <c r="FFH2" s="62"/>
      <c r="FFI2" s="62"/>
      <c r="FFJ2" s="62"/>
      <c r="FFK2" s="62"/>
      <c r="FFL2" s="62"/>
      <c r="FFM2" s="62"/>
      <c r="FFN2" s="62"/>
      <c r="FFO2" s="62"/>
      <c r="FFP2" s="62"/>
      <c r="FFQ2" s="62"/>
      <c r="FFR2" s="62"/>
      <c r="FFS2" s="62"/>
      <c r="FFT2" s="62"/>
      <c r="FFU2" s="62"/>
      <c r="FFV2" s="62"/>
      <c r="FFW2" s="62"/>
      <c r="FFX2" s="62"/>
      <c r="FFY2" s="62"/>
      <c r="FFZ2" s="62"/>
      <c r="FGA2" s="62"/>
      <c r="FGB2" s="62"/>
      <c r="FGC2" s="62"/>
      <c r="FGD2" s="62"/>
      <c r="FGE2" s="62"/>
      <c r="FGF2" s="62"/>
      <c r="FGG2" s="62"/>
      <c r="FGH2" s="62"/>
      <c r="FGI2" s="62"/>
      <c r="FGJ2" s="62"/>
      <c r="FGK2" s="62"/>
      <c r="FGL2" s="62"/>
      <c r="FGM2" s="62"/>
      <c r="FGN2" s="62"/>
      <c r="FGO2" s="62"/>
      <c r="FGP2" s="62"/>
      <c r="FGQ2" s="62"/>
      <c r="FGR2" s="62"/>
      <c r="FGS2" s="62"/>
      <c r="FGT2" s="62"/>
      <c r="FGU2" s="62"/>
      <c r="FGV2" s="62"/>
      <c r="FGW2" s="62"/>
      <c r="FGX2" s="62"/>
      <c r="FGY2" s="62"/>
      <c r="FGZ2" s="62"/>
      <c r="FHA2" s="62"/>
      <c r="FHB2" s="62"/>
      <c r="FHC2" s="62"/>
      <c r="FHD2" s="62"/>
      <c r="FHE2" s="62"/>
      <c r="FHF2" s="62"/>
      <c r="FHG2" s="62"/>
      <c r="FHH2" s="62"/>
      <c r="FHI2" s="62"/>
      <c r="FHJ2" s="62"/>
      <c r="FHK2" s="62"/>
      <c r="FHL2" s="62"/>
      <c r="FHM2" s="62"/>
      <c r="FHN2" s="62"/>
      <c r="FHO2" s="62"/>
      <c r="FHP2" s="62"/>
      <c r="FHQ2" s="62"/>
      <c r="FHR2" s="62"/>
      <c r="FHS2" s="62"/>
      <c r="FHT2" s="62"/>
      <c r="FHU2" s="62"/>
      <c r="FHV2" s="62"/>
      <c r="FHW2" s="62"/>
      <c r="FHX2" s="62"/>
      <c r="FHY2" s="62"/>
      <c r="FHZ2" s="62"/>
      <c r="FIA2" s="62"/>
      <c r="FIB2" s="62"/>
      <c r="FIC2" s="62"/>
      <c r="FID2" s="62"/>
      <c r="FIE2" s="62"/>
      <c r="FIF2" s="62"/>
      <c r="FIG2" s="62"/>
      <c r="FIH2" s="62"/>
      <c r="FII2" s="62"/>
      <c r="FIJ2" s="62"/>
      <c r="FIK2" s="62"/>
      <c r="FIL2" s="62"/>
      <c r="FIM2" s="62"/>
      <c r="FIN2" s="62"/>
      <c r="FIO2" s="62"/>
      <c r="FIP2" s="62"/>
      <c r="FIQ2" s="62"/>
      <c r="FIR2" s="62"/>
      <c r="FIS2" s="62"/>
      <c r="FIT2" s="62"/>
      <c r="FIU2" s="62"/>
      <c r="FIV2" s="62"/>
      <c r="FIW2" s="62"/>
      <c r="FIX2" s="62"/>
      <c r="FIY2" s="62"/>
      <c r="FIZ2" s="62"/>
      <c r="FJA2" s="62"/>
      <c r="FJB2" s="62"/>
      <c r="FJC2" s="62"/>
      <c r="FJD2" s="62"/>
      <c r="FJE2" s="62"/>
      <c r="FJF2" s="62"/>
      <c r="FJG2" s="62"/>
      <c r="FJH2" s="62"/>
      <c r="FJI2" s="62"/>
      <c r="FJJ2" s="62"/>
      <c r="FJK2" s="62"/>
      <c r="FJL2" s="62"/>
      <c r="FJM2" s="62"/>
      <c r="FJN2" s="62"/>
      <c r="FJO2" s="62"/>
      <c r="FJP2" s="62"/>
      <c r="FJQ2" s="62"/>
      <c r="FJR2" s="62"/>
      <c r="FJS2" s="62"/>
      <c r="FJT2" s="62"/>
      <c r="FJU2" s="62"/>
      <c r="FJV2" s="62"/>
      <c r="FJW2" s="62"/>
      <c r="FJX2" s="62"/>
      <c r="FJY2" s="62"/>
      <c r="FJZ2" s="62"/>
      <c r="FKA2" s="62"/>
      <c r="FKB2" s="62"/>
      <c r="FKC2" s="62"/>
      <c r="FKD2" s="62"/>
      <c r="FKE2" s="62"/>
      <c r="FKF2" s="62"/>
      <c r="FKG2" s="62"/>
      <c r="FKH2" s="62"/>
      <c r="FKI2" s="62"/>
      <c r="FKJ2" s="62"/>
      <c r="FKK2" s="62"/>
      <c r="FKL2" s="62"/>
      <c r="FKM2" s="62"/>
      <c r="FKN2" s="62"/>
      <c r="FKO2" s="62"/>
      <c r="FKP2" s="62"/>
      <c r="FKQ2" s="62"/>
      <c r="FKR2" s="62"/>
      <c r="FKS2" s="62"/>
      <c r="FKT2" s="62"/>
      <c r="FKU2" s="62"/>
      <c r="FKV2" s="62"/>
      <c r="FKW2" s="62"/>
      <c r="FKX2" s="62"/>
      <c r="FKY2" s="62"/>
      <c r="FKZ2" s="62"/>
      <c r="FLA2" s="62"/>
      <c r="FLB2" s="62"/>
      <c r="FLC2" s="62"/>
      <c r="FLD2" s="62"/>
      <c r="FLE2" s="62"/>
      <c r="FLF2" s="62"/>
      <c r="FLG2" s="62"/>
      <c r="FLH2" s="62"/>
      <c r="FLI2" s="62"/>
      <c r="FLJ2" s="62"/>
      <c r="FLK2" s="62"/>
      <c r="FLL2" s="62"/>
      <c r="FLM2" s="62"/>
      <c r="FLN2" s="62"/>
      <c r="FLO2" s="62"/>
      <c r="FLP2" s="62"/>
      <c r="FLQ2" s="62"/>
      <c r="FLR2" s="62"/>
      <c r="FLS2" s="62"/>
      <c r="FLT2" s="62"/>
      <c r="FLU2" s="62"/>
      <c r="FLV2" s="62"/>
      <c r="FLW2" s="62"/>
      <c r="FLX2" s="62"/>
      <c r="FLY2" s="62"/>
      <c r="FLZ2" s="62"/>
      <c r="FMA2" s="62"/>
      <c r="FMB2" s="62"/>
      <c r="FMC2" s="62"/>
      <c r="FMD2" s="62"/>
      <c r="FME2" s="62"/>
      <c r="FMF2" s="62"/>
      <c r="FMG2" s="62"/>
      <c r="FMH2" s="62"/>
      <c r="FMI2" s="62"/>
      <c r="FMJ2" s="62"/>
      <c r="FMK2" s="62"/>
      <c r="FML2" s="62"/>
      <c r="FMM2" s="62"/>
      <c r="FMN2" s="62"/>
      <c r="FMO2" s="62"/>
      <c r="FMP2" s="62"/>
      <c r="FMQ2" s="62"/>
      <c r="FMR2" s="62"/>
      <c r="FMS2" s="62"/>
      <c r="FMT2" s="62"/>
      <c r="FMU2" s="62"/>
      <c r="FMV2" s="62"/>
      <c r="FMW2" s="62"/>
      <c r="FMX2" s="62"/>
      <c r="FMY2" s="62"/>
      <c r="FMZ2" s="62"/>
      <c r="FNA2" s="62"/>
      <c r="FNB2" s="62"/>
      <c r="FNC2" s="62"/>
      <c r="FND2" s="62"/>
      <c r="FNE2" s="62"/>
      <c r="FNF2" s="62"/>
      <c r="FNG2" s="62"/>
      <c r="FNH2" s="62"/>
      <c r="FNI2" s="62"/>
      <c r="FNJ2" s="62"/>
      <c r="FNK2" s="62"/>
      <c r="FNL2" s="62"/>
      <c r="FNM2" s="62"/>
      <c r="FNN2" s="62"/>
      <c r="FNO2" s="62"/>
      <c r="FNP2" s="62"/>
      <c r="FNQ2" s="62"/>
      <c r="FNR2" s="62"/>
      <c r="FNS2" s="62"/>
      <c r="FNT2" s="62"/>
      <c r="FNU2" s="62"/>
      <c r="FNV2" s="62"/>
      <c r="FNW2" s="62"/>
      <c r="FNX2" s="62"/>
      <c r="FNY2" s="62"/>
      <c r="FNZ2" s="62"/>
      <c r="FOA2" s="62"/>
      <c r="FOB2" s="62"/>
      <c r="FOC2" s="62"/>
      <c r="FOD2" s="62"/>
      <c r="FOE2" s="62"/>
      <c r="FOF2" s="62"/>
      <c r="FOG2" s="62"/>
      <c r="FOH2" s="62"/>
      <c r="FOI2" s="62"/>
      <c r="FOJ2" s="62"/>
      <c r="FOK2" s="62"/>
      <c r="FOL2" s="62"/>
      <c r="FOM2" s="62"/>
      <c r="FON2" s="62"/>
      <c r="FOO2" s="62"/>
      <c r="FOP2" s="62"/>
      <c r="FOQ2" s="62"/>
      <c r="FOR2" s="62"/>
      <c r="FOS2" s="62"/>
      <c r="FOT2" s="62"/>
      <c r="FOU2" s="62"/>
      <c r="FOV2" s="62"/>
      <c r="FOW2" s="62"/>
      <c r="FOX2" s="62"/>
      <c r="FOY2" s="62"/>
      <c r="FOZ2" s="62"/>
      <c r="FPA2" s="62"/>
      <c r="FPB2" s="62"/>
      <c r="FPC2" s="62"/>
      <c r="FPD2" s="62"/>
      <c r="FPE2" s="62"/>
      <c r="FPF2" s="62"/>
      <c r="FPG2" s="62"/>
      <c r="FPH2" s="62"/>
      <c r="FPI2" s="62"/>
      <c r="FPJ2" s="62"/>
      <c r="FPK2" s="62"/>
      <c r="FPL2" s="62"/>
      <c r="FPM2" s="62"/>
      <c r="FPN2" s="62"/>
      <c r="FPO2" s="62"/>
      <c r="FPP2" s="62"/>
      <c r="FPQ2" s="62"/>
      <c r="FPR2" s="62"/>
      <c r="FPS2" s="62"/>
      <c r="FPT2" s="62"/>
      <c r="FPU2" s="62"/>
      <c r="FPV2" s="62"/>
      <c r="FPW2" s="62"/>
      <c r="FPX2" s="62"/>
      <c r="FPY2" s="62"/>
      <c r="FPZ2" s="62"/>
      <c r="FQA2" s="62"/>
      <c r="FQB2" s="62"/>
      <c r="FQC2" s="62"/>
      <c r="FQD2" s="62"/>
      <c r="FQE2" s="62"/>
      <c r="FQF2" s="62"/>
      <c r="FQG2" s="62"/>
      <c r="FQH2" s="62"/>
      <c r="FQI2" s="62"/>
      <c r="FQJ2" s="62"/>
      <c r="FQK2" s="62"/>
      <c r="FQL2" s="62"/>
      <c r="FQM2" s="62"/>
      <c r="FQN2" s="62"/>
      <c r="FQO2" s="62"/>
      <c r="FQP2" s="62"/>
      <c r="FQQ2" s="62"/>
      <c r="FQR2" s="62"/>
      <c r="FQS2" s="62"/>
      <c r="FQT2" s="62"/>
      <c r="FQU2" s="62"/>
      <c r="FQV2" s="62"/>
      <c r="FQW2" s="62"/>
      <c r="FQX2" s="62"/>
      <c r="FQY2" s="62"/>
      <c r="FQZ2" s="62"/>
      <c r="FRA2" s="62"/>
      <c r="FRB2" s="62"/>
      <c r="FRC2" s="62"/>
      <c r="FRD2" s="62"/>
      <c r="FRE2" s="62"/>
      <c r="FRF2" s="62"/>
      <c r="FRG2" s="62"/>
      <c r="FRH2" s="62"/>
      <c r="FRI2" s="62"/>
      <c r="FRJ2" s="62"/>
      <c r="FRK2" s="62"/>
      <c r="FRL2" s="62"/>
      <c r="FRM2" s="62"/>
      <c r="FRN2" s="62"/>
      <c r="FRO2" s="62"/>
      <c r="FRP2" s="62"/>
      <c r="FRQ2" s="62"/>
      <c r="FRR2" s="62"/>
      <c r="FRS2" s="62"/>
      <c r="FRT2" s="62"/>
      <c r="FRU2" s="62"/>
      <c r="FRV2" s="62"/>
      <c r="FRW2" s="62"/>
      <c r="FRX2" s="62"/>
      <c r="FRY2" s="62"/>
      <c r="FRZ2" s="62"/>
      <c r="FSA2" s="62"/>
      <c r="FSB2" s="62"/>
      <c r="FSC2" s="62"/>
      <c r="FSD2" s="62"/>
      <c r="FSE2" s="62"/>
      <c r="FSF2" s="62"/>
      <c r="FSG2" s="62"/>
      <c r="FSH2" s="62"/>
      <c r="FSI2" s="62"/>
      <c r="FSJ2" s="62"/>
      <c r="FSK2" s="62"/>
      <c r="FSL2" s="62"/>
      <c r="FSM2" s="62"/>
      <c r="FSN2" s="62"/>
      <c r="FSO2" s="62"/>
      <c r="FSP2" s="62"/>
      <c r="FSQ2" s="62"/>
      <c r="FSR2" s="62"/>
      <c r="FSS2" s="62"/>
      <c r="FST2" s="62"/>
      <c r="FSU2" s="62"/>
      <c r="FSV2" s="62"/>
      <c r="FSW2" s="62"/>
      <c r="FSX2" s="62"/>
      <c r="FSY2" s="62"/>
      <c r="FSZ2" s="62"/>
      <c r="FTA2" s="62"/>
      <c r="FTB2" s="62"/>
      <c r="FTC2" s="62"/>
      <c r="FTD2" s="62"/>
      <c r="FTE2" s="62"/>
      <c r="FTF2" s="62"/>
      <c r="FTG2" s="62"/>
      <c r="FTH2" s="62"/>
      <c r="FTI2" s="62"/>
      <c r="FTJ2" s="62"/>
      <c r="FTK2" s="62"/>
      <c r="FTL2" s="62"/>
      <c r="FTM2" s="62"/>
      <c r="FTN2" s="62"/>
      <c r="FTO2" s="62"/>
      <c r="FTP2" s="62"/>
      <c r="FTQ2" s="62"/>
      <c r="FTR2" s="62"/>
      <c r="FTS2" s="62"/>
      <c r="FTT2" s="62"/>
      <c r="FTU2" s="62"/>
      <c r="FTV2" s="62"/>
      <c r="FTW2" s="62"/>
      <c r="FTX2" s="62"/>
      <c r="FTY2" s="62"/>
      <c r="FTZ2" s="62"/>
      <c r="FUA2" s="62"/>
      <c r="FUB2" s="62"/>
      <c r="FUC2" s="62"/>
      <c r="FUD2" s="62"/>
      <c r="FUE2" s="62"/>
      <c r="FUF2" s="62"/>
      <c r="FUG2" s="62"/>
      <c r="FUH2" s="62"/>
      <c r="FUI2" s="62"/>
      <c r="FUJ2" s="62"/>
      <c r="FUK2" s="62"/>
      <c r="FUL2" s="62"/>
      <c r="FUM2" s="62"/>
      <c r="FUN2" s="62"/>
      <c r="FUO2" s="62"/>
      <c r="FUP2" s="62"/>
      <c r="FUQ2" s="62"/>
      <c r="FUR2" s="62"/>
      <c r="FUS2" s="62"/>
      <c r="FUT2" s="62"/>
      <c r="FUU2" s="62"/>
      <c r="FUV2" s="62"/>
      <c r="FUW2" s="62"/>
      <c r="FUX2" s="62"/>
      <c r="FUY2" s="62"/>
      <c r="FUZ2" s="62"/>
      <c r="FVA2" s="62"/>
      <c r="FVB2" s="62"/>
      <c r="FVC2" s="62"/>
      <c r="FVD2" s="62"/>
      <c r="FVE2" s="62"/>
      <c r="FVF2" s="62"/>
      <c r="FVG2" s="62"/>
      <c r="FVH2" s="62"/>
      <c r="FVI2" s="62"/>
      <c r="FVJ2" s="62"/>
      <c r="FVK2" s="62"/>
      <c r="FVL2" s="62"/>
      <c r="FVM2" s="62"/>
      <c r="FVN2" s="62"/>
      <c r="FVO2" s="62"/>
      <c r="FVP2" s="62"/>
      <c r="FVQ2" s="62"/>
      <c r="FVR2" s="62"/>
      <c r="FVS2" s="62"/>
      <c r="FVT2" s="62"/>
      <c r="FVU2" s="62"/>
      <c r="FVV2" s="62"/>
      <c r="FVW2" s="62"/>
      <c r="FVX2" s="62"/>
      <c r="FVY2" s="62"/>
      <c r="FVZ2" s="62"/>
      <c r="FWA2" s="62"/>
      <c r="FWB2" s="62"/>
      <c r="FWC2" s="62"/>
      <c r="FWD2" s="62"/>
      <c r="FWE2" s="62"/>
      <c r="FWF2" s="62"/>
      <c r="FWG2" s="62"/>
      <c r="FWH2" s="62"/>
      <c r="FWI2" s="62"/>
      <c r="FWJ2" s="62"/>
      <c r="FWK2" s="62"/>
      <c r="FWL2" s="62"/>
      <c r="FWM2" s="62"/>
      <c r="FWN2" s="62"/>
      <c r="FWO2" s="62"/>
      <c r="FWP2" s="62"/>
      <c r="FWQ2" s="62"/>
      <c r="FWR2" s="62"/>
      <c r="FWS2" s="62"/>
      <c r="FWT2" s="62"/>
      <c r="FWU2" s="62"/>
      <c r="FWV2" s="62"/>
      <c r="FWW2" s="62"/>
      <c r="FWX2" s="62"/>
      <c r="FWY2" s="62"/>
      <c r="FWZ2" s="62"/>
      <c r="FXA2" s="62"/>
      <c r="FXB2" s="62"/>
      <c r="FXC2" s="62"/>
      <c r="FXD2" s="62"/>
      <c r="FXE2" s="62"/>
      <c r="FXF2" s="62"/>
      <c r="FXG2" s="62"/>
      <c r="FXH2" s="62"/>
      <c r="FXI2" s="62"/>
      <c r="FXJ2" s="62"/>
      <c r="FXK2" s="62"/>
      <c r="FXL2" s="62"/>
      <c r="FXM2" s="62"/>
      <c r="FXN2" s="62"/>
      <c r="FXO2" s="62"/>
      <c r="FXP2" s="62"/>
      <c r="FXQ2" s="62"/>
      <c r="FXR2" s="62"/>
      <c r="FXS2" s="62"/>
      <c r="FXT2" s="62"/>
      <c r="FXU2" s="62"/>
      <c r="FXV2" s="62"/>
      <c r="FXW2" s="62"/>
      <c r="FXX2" s="62"/>
      <c r="FXY2" s="62"/>
      <c r="FXZ2" s="62"/>
      <c r="FYA2" s="62"/>
      <c r="FYB2" s="62"/>
      <c r="FYC2" s="62"/>
      <c r="FYD2" s="62"/>
      <c r="FYE2" s="62"/>
      <c r="FYF2" s="62"/>
      <c r="FYG2" s="62"/>
      <c r="FYH2" s="62"/>
      <c r="FYI2" s="62"/>
      <c r="FYJ2" s="62"/>
      <c r="FYK2" s="62"/>
      <c r="FYL2" s="62"/>
      <c r="FYM2" s="62"/>
      <c r="FYN2" s="62"/>
      <c r="FYO2" s="62"/>
      <c r="FYP2" s="62"/>
      <c r="FYQ2" s="62"/>
      <c r="FYR2" s="62"/>
      <c r="FYS2" s="62"/>
      <c r="FYT2" s="62"/>
      <c r="FYU2" s="62"/>
      <c r="FYV2" s="62"/>
      <c r="FYW2" s="62"/>
      <c r="FYX2" s="62"/>
      <c r="FYY2" s="62"/>
      <c r="FYZ2" s="62"/>
      <c r="FZA2" s="62"/>
      <c r="FZB2" s="62"/>
      <c r="FZC2" s="62"/>
      <c r="FZD2" s="62"/>
      <c r="FZE2" s="62"/>
      <c r="FZF2" s="62"/>
      <c r="FZG2" s="62"/>
      <c r="FZH2" s="62"/>
      <c r="FZI2" s="62"/>
      <c r="FZJ2" s="62"/>
      <c r="FZK2" s="62"/>
      <c r="FZL2" s="62"/>
      <c r="FZM2" s="62"/>
      <c r="FZN2" s="62"/>
      <c r="FZO2" s="62"/>
      <c r="FZP2" s="62"/>
      <c r="FZQ2" s="62"/>
      <c r="FZR2" s="62"/>
      <c r="FZS2" s="62"/>
      <c r="FZT2" s="62"/>
      <c r="FZU2" s="62"/>
      <c r="FZV2" s="62"/>
      <c r="FZW2" s="62"/>
      <c r="FZX2" s="62"/>
      <c r="FZY2" s="62"/>
      <c r="FZZ2" s="62"/>
      <c r="GAA2" s="62"/>
      <c r="GAB2" s="62"/>
      <c r="GAC2" s="62"/>
      <c r="GAD2" s="62"/>
      <c r="GAE2" s="62"/>
      <c r="GAF2" s="62"/>
      <c r="GAG2" s="62"/>
      <c r="GAH2" s="62"/>
      <c r="GAI2" s="62"/>
      <c r="GAJ2" s="62"/>
      <c r="GAK2" s="62"/>
      <c r="GAL2" s="62"/>
      <c r="GAM2" s="62"/>
      <c r="GAN2" s="62"/>
      <c r="GAO2" s="62"/>
      <c r="GAP2" s="62"/>
      <c r="GAQ2" s="62"/>
      <c r="GAR2" s="62"/>
      <c r="GAS2" s="62"/>
      <c r="GAT2" s="62"/>
      <c r="GAU2" s="62"/>
      <c r="GAV2" s="62"/>
      <c r="GAW2" s="62"/>
      <c r="GAX2" s="62"/>
      <c r="GAY2" s="62"/>
      <c r="GAZ2" s="62"/>
      <c r="GBA2" s="62"/>
      <c r="GBB2" s="62"/>
      <c r="GBC2" s="62"/>
      <c r="GBD2" s="62"/>
      <c r="GBE2" s="62"/>
      <c r="GBF2" s="62"/>
      <c r="GBG2" s="62"/>
      <c r="GBH2" s="62"/>
      <c r="GBI2" s="62"/>
      <c r="GBJ2" s="62"/>
      <c r="GBK2" s="62"/>
      <c r="GBL2" s="62"/>
      <c r="GBM2" s="62"/>
      <c r="GBN2" s="62"/>
      <c r="GBO2" s="62"/>
      <c r="GBP2" s="62"/>
      <c r="GBQ2" s="62"/>
      <c r="GBR2" s="62"/>
      <c r="GBS2" s="62"/>
      <c r="GBT2" s="62"/>
      <c r="GBU2" s="62"/>
      <c r="GBV2" s="62"/>
      <c r="GBW2" s="62"/>
      <c r="GBX2" s="62"/>
      <c r="GBY2" s="62"/>
      <c r="GBZ2" s="62"/>
      <c r="GCA2" s="62"/>
      <c r="GCB2" s="62"/>
      <c r="GCC2" s="62"/>
      <c r="GCD2" s="62"/>
      <c r="GCE2" s="62"/>
      <c r="GCF2" s="62"/>
      <c r="GCG2" s="62"/>
      <c r="GCH2" s="62"/>
      <c r="GCI2" s="62"/>
      <c r="GCJ2" s="62"/>
      <c r="GCK2" s="62"/>
      <c r="GCL2" s="62"/>
      <c r="GCM2" s="62"/>
      <c r="GCN2" s="62"/>
      <c r="GCO2" s="62"/>
      <c r="GCP2" s="62"/>
      <c r="GCQ2" s="62"/>
      <c r="GCR2" s="62"/>
      <c r="GCS2" s="62"/>
      <c r="GCT2" s="62"/>
      <c r="GCU2" s="62"/>
      <c r="GCV2" s="62"/>
      <c r="GCW2" s="62"/>
      <c r="GCX2" s="62"/>
      <c r="GCY2" s="62"/>
      <c r="GCZ2" s="62"/>
      <c r="GDA2" s="62"/>
      <c r="GDB2" s="62"/>
      <c r="GDC2" s="62"/>
      <c r="GDD2" s="62"/>
      <c r="GDE2" s="62"/>
      <c r="GDF2" s="62"/>
      <c r="GDG2" s="62"/>
      <c r="GDH2" s="62"/>
      <c r="GDI2" s="62"/>
      <c r="GDJ2" s="62"/>
      <c r="GDK2" s="62"/>
      <c r="GDL2" s="62"/>
      <c r="GDM2" s="62"/>
      <c r="GDN2" s="62"/>
      <c r="GDO2" s="62"/>
      <c r="GDP2" s="62"/>
      <c r="GDQ2" s="62"/>
      <c r="GDR2" s="62"/>
      <c r="GDS2" s="62"/>
      <c r="GDT2" s="62"/>
      <c r="GDU2" s="62"/>
      <c r="GDV2" s="62"/>
      <c r="GDW2" s="62"/>
      <c r="GDX2" s="62"/>
      <c r="GDY2" s="62"/>
      <c r="GDZ2" s="62"/>
      <c r="GEA2" s="62"/>
      <c r="GEB2" s="62"/>
      <c r="GEC2" s="62"/>
      <c r="GED2" s="62"/>
      <c r="GEE2" s="62"/>
      <c r="GEF2" s="62"/>
      <c r="GEG2" s="62"/>
      <c r="GEH2" s="62"/>
      <c r="GEI2" s="62"/>
      <c r="GEJ2" s="62"/>
      <c r="GEK2" s="62"/>
      <c r="GEL2" s="62"/>
      <c r="GEM2" s="62"/>
      <c r="GEN2" s="62"/>
      <c r="GEO2" s="62"/>
      <c r="GEP2" s="62"/>
      <c r="GEQ2" s="62"/>
      <c r="GER2" s="62"/>
      <c r="GES2" s="62"/>
      <c r="GET2" s="62"/>
      <c r="GEU2" s="62"/>
      <c r="GEV2" s="62"/>
      <c r="GEW2" s="62"/>
      <c r="GEX2" s="62"/>
      <c r="GEY2" s="62"/>
      <c r="GEZ2" s="62"/>
      <c r="GFA2" s="62"/>
      <c r="GFB2" s="62"/>
      <c r="GFC2" s="62"/>
      <c r="GFD2" s="62"/>
      <c r="GFE2" s="62"/>
      <c r="GFF2" s="62"/>
      <c r="GFG2" s="62"/>
      <c r="GFH2" s="62"/>
      <c r="GFI2" s="62"/>
      <c r="GFJ2" s="62"/>
      <c r="GFK2" s="62"/>
      <c r="GFL2" s="62"/>
      <c r="GFM2" s="62"/>
      <c r="GFN2" s="62"/>
      <c r="GFO2" s="62"/>
      <c r="GFP2" s="62"/>
      <c r="GFQ2" s="62"/>
      <c r="GFR2" s="62"/>
      <c r="GFS2" s="62"/>
      <c r="GFT2" s="62"/>
      <c r="GFU2" s="62"/>
      <c r="GFV2" s="62"/>
      <c r="GFW2" s="62"/>
      <c r="GFX2" s="62"/>
      <c r="GFY2" s="62"/>
      <c r="GFZ2" s="62"/>
      <c r="GGA2" s="62"/>
      <c r="GGB2" s="62"/>
      <c r="GGC2" s="62"/>
      <c r="GGD2" s="62"/>
      <c r="GGE2" s="62"/>
      <c r="GGF2" s="62"/>
      <c r="GGG2" s="62"/>
      <c r="GGH2" s="62"/>
      <c r="GGI2" s="62"/>
      <c r="GGJ2" s="62"/>
      <c r="GGK2" s="62"/>
      <c r="GGL2" s="62"/>
      <c r="GGM2" s="62"/>
      <c r="GGN2" s="62"/>
      <c r="GGO2" s="62"/>
      <c r="GGP2" s="62"/>
      <c r="GGQ2" s="62"/>
      <c r="GGR2" s="62"/>
      <c r="GGS2" s="62"/>
      <c r="GGT2" s="62"/>
      <c r="GGU2" s="62"/>
      <c r="GGV2" s="62"/>
      <c r="GGW2" s="62"/>
      <c r="GGX2" s="62"/>
      <c r="GGY2" s="62"/>
      <c r="GGZ2" s="62"/>
      <c r="GHA2" s="62"/>
      <c r="GHB2" s="62"/>
      <c r="GHC2" s="62"/>
      <c r="GHD2" s="62"/>
      <c r="GHE2" s="62"/>
      <c r="GHF2" s="62"/>
      <c r="GHG2" s="62"/>
      <c r="GHH2" s="62"/>
      <c r="GHI2" s="62"/>
      <c r="GHJ2" s="62"/>
      <c r="GHK2" s="62"/>
      <c r="GHL2" s="62"/>
      <c r="GHM2" s="62"/>
      <c r="GHN2" s="62"/>
      <c r="GHO2" s="62"/>
      <c r="GHP2" s="62"/>
      <c r="GHQ2" s="62"/>
      <c r="GHR2" s="62"/>
      <c r="GHS2" s="62"/>
      <c r="GHT2" s="62"/>
      <c r="GHU2" s="62"/>
      <c r="GHV2" s="62"/>
      <c r="GHW2" s="62"/>
      <c r="GHX2" s="62"/>
      <c r="GHY2" s="62"/>
      <c r="GHZ2" s="62"/>
      <c r="GIA2" s="62"/>
      <c r="GIB2" s="62"/>
      <c r="GIC2" s="62"/>
      <c r="GID2" s="62"/>
      <c r="GIE2" s="62"/>
      <c r="GIF2" s="62"/>
      <c r="GIG2" s="62"/>
      <c r="GIH2" s="62"/>
      <c r="GII2" s="62"/>
      <c r="GIJ2" s="62"/>
      <c r="GIK2" s="62"/>
      <c r="GIL2" s="62"/>
      <c r="GIM2" s="62"/>
      <c r="GIN2" s="62"/>
      <c r="GIO2" s="62"/>
      <c r="GIP2" s="62"/>
      <c r="GIQ2" s="62"/>
      <c r="GIR2" s="62"/>
      <c r="GIS2" s="62"/>
      <c r="GIT2" s="62"/>
      <c r="GIU2" s="62"/>
      <c r="GIV2" s="62"/>
      <c r="GIW2" s="62"/>
      <c r="GIX2" s="62"/>
      <c r="GIY2" s="62"/>
      <c r="GIZ2" s="62"/>
      <c r="GJA2" s="62"/>
      <c r="GJB2" s="62"/>
      <c r="GJC2" s="62"/>
      <c r="GJD2" s="62"/>
      <c r="GJE2" s="62"/>
      <c r="GJF2" s="62"/>
      <c r="GJG2" s="62"/>
      <c r="GJH2" s="62"/>
      <c r="GJI2" s="62"/>
      <c r="GJJ2" s="62"/>
      <c r="GJK2" s="62"/>
      <c r="GJL2" s="62"/>
      <c r="GJM2" s="62"/>
      <c r="GJN2" s="62"/>
      <c r="GJO2" s="62"/>
      <c r="GJP2" s="62"/>
      <c r="GJQ2" s="62"/>
      <c r="GJR2" s="62"/>
      <c r="GJS2" s="62"/>
      <c r="GJT2" s="62"/>
      <c r="GJU2" s="62"/>
      <c r="GJV2" s="62"/>
      <c r="GJW2" s="62"/>
      <c r="GJX2" s="62"/>
      <c r="GJY2" s="62"/>
      <c r="GJZ2" s="62"/>
      <c r="GKA2" s="62"/>
      <c r="GKB2" s="62"/>
      <c r="GKC2" s="62"/>
      <c r="GKD2" s="62"/>
      <c r="GKE2" s="62"/>
      <c r="GKF2" s="62"/>
      <c r="GKG2" s="62"/>
      <c r="GKH2" s="62"/>
      <c r="GKI2" s="62"/>
      <c r="GKJ2" s="62"/>
      <c r="GKK2" s="62"/>
      <c r="GKL2" s="62"/>
      <c r="GKM2" s="62"/>
      <c r="GKN2" s="62"/>
      <c r="GKO2" s="62"/>
      <c r="GKP2" s="62"/>
      <c r="GKQ2" s="62"/>
      <c r="GKR2" s="62"/>
      <c r="GKS2" s="62"/>
      <c r="GKT2" s="62"/>
      <c r="GKU2" s="62"/>
      <c r="GKV2" s="62"/>
      <c r="GKW2" s="62"/>
      <c r="GKX2" s="62"/>
      <c r="GKY2" s="62"/>
      <c r="GKZ2" s="62"/>
      <c r="GLA2" s="62"/>
      <c r="GLB2" s="62"/>
      <c r="GLC2" s="62"/>
      <c r="GLD2" s="62"/>
      <c r="GLE2" s="62"/>
      <c r="GLF2" s="62"/>
      <c r="GLG2" s="62"/>
      <c r="GLH2" s="62"/>
      <c r="GLI2" s="62"/>
      <c r="GLJ2" s="62"/>
      <c r="GLK2" s="62"/>
      <c r="GLL2" s="62"/>
      <c r="GLM2" s="62"/>
      <c r="GLN2" s="62"/>
      <c r="GLO2" s="62"/>
      <c r="GLP2" s="62"/>
      <c r="GLQ2" s="62"/>
      <c r="GLR2" s="62"/>
      <c r="GLS2" s="62"/>
      <c r="GLT2" s="62"/>
      <c r="GLU2" s="62"/>
      <c r="GLV2" s="62"/>
      <c r="GLW2" s="62"/>
      <c r="GLX2" s="62"/>
      <c r="GLY2" s="62"/>
      <c r="GLZ2" s="62"/>
      <c r="GMA2" s="62"/>
      <c r="GMB2" s="62"/>
      <c r="GMC2" s="62"/>
      <c r="GMD2" s="62"/>
      <c r="GME2" s="62"/>
      <c r="GMF2" s="62"/>
      <c r="GMG2" s="62"/>
      <c r="GMH2" s="62"/>
      <c r="GMI2" s="62"/>
      <c r="GMJ2" s="62"/>
      <c r="GMK2" s="62"/>
      <c r="GML2" s="62"/>
      <c r="GMM2" s="62"/>
      <c r="GMN2" s="62"/>
      <c r="GMO2" s="62"/>
      <c r="GMP2" s="62"/>
      <c r="GMQ2" s="62"/>
      <c r="GMR2" s="62"/>
      <c r="GMS2" s="62"/>
      <c r="GMT2" s="62"/>
      <c r="GMU2" s="62"/>
      <c r="GMV2" s="62"/>
      <c r="GMW2" s="62"/>
      <c r="GMX2" s="62"/>
      <c r="GMY2" s="62"/>
      <c r="GMZ2" s="62"/>
      <c r="GNA2" s="62"/>
      <c r="GNB2" s="62"/>
      <c r="GNC2" s="62"/>
      <c r="GND2" s="62"/>
      <c r="GNE2" s="62"/>
      <c r="GNF2" s="62"/>
      <c r="GNG2" s="62"/>
      <c r="GNH2" s="62"/>
      <c r="GNI2" s="62"/>
      <c r="GNJ2" s="62"/>
      <c r="GNK2" s="62"/>
      <c r="GNL2" s="62"/>
      <c r="GNM2" s="62"/>
      <c r="GNN2" s="62"/>
      <c r="GNO2" s="62"/>
      <c r="GNP2" s="62"/>
      <c r="GNQ2" s="62"/>
      <c r="GNR2" s="62"/>
      <c r="GNS2" s="62"/>
      <c r="GNT2" s="62"/>
      <c r="GNU2" s="62"/>
      <c r="GNV2" s="62"/>
      <c r="GNW2" s="62"/>
      <c r="GNX2" s="62"/>
      <c r="GNY2" s="62"/>
      <c r="GNZ2" s="62"/>
      <c r="GOA2" s="62"/>
      <c r="GOB2" s="62"/>
      <c r="GOC2" s="62"/>
      <c r="GOD2" s="62"/>
      <c r="GOE2" s="62"/>
      <c r="GOF2" s="62"/>
      <c r="GOG2" s="62"/>
      <c r="GOH2" s="62"/>
      <c r="GOI2" s="62"/>
      <c r="GOJ2" s="62"/>
      <c r="GOK2" s="62"/>
      <c r="GOL2" s="62"/>
      <c r="GOM2" s="62"/>
      <c r="GON2" s="62"/>
      <c r="GOO2" s="62"/>
      <c r="GOP2" s="62"/>
      <c r="GOQ2" s="62"/>
      <c r="GOR2" s="62"/>
      <c r="GOS2" s="62"/>
      <c r="GOT2" s="62"/>
      <c r="GOU2" s="62"/>
      <c r="GOV2" s="62"/>
      <c r="GOW2" s="62"/>
      <c r="GOX2" s="62"/>
      <c r="GOY2" s="62"/>
      <c r="GOZ2" s="62"/>
      <c r="GPA2" s="62"/>
      <c r="GPB2" s="62"/>
      <c r="GPC2" s="62"/>
      <c r="GPD2" s="62"/>
      <c r="GPE2" s="62"/>
      <c r="GPF2" s="62"/>
      <c r="GPG2" s="62"/>
      <c r="GPH2" s="62"/>
      <c r="GPI2" s="62"/>
      <c r="GPJ2" s="62"/>
      <c r="GPK2" s="62"/>
      <c r="GPL2" s="62"/>
      <c r="GPM2" s="62"/>
      <c r="GPN2" s="62"/>
      <c r="GPO2" s="62"/>
      <c r="GPP2" s="62"/>
      <c r="GPQ2" s="62"/>
      <c r="GPR2" s="62"/>
      <c r="GPS2" s="62"/>
      <c r="GPT2" s="62"/>
      <c r="GPU2" s="62"/>
      <c r="GPV2" s="62"/>
      <c r="GPW2" s="62"/>
      <c r="GPX2" s="62"/>
      <c r="GPY2" s="62"/>
      <c r="GPZ2" s="62"/>
      <c r="GQA2" s="62"/>
      <c r="GQB2" s="62"/>
      <c r="GQC2" s="62"/>
      <c r="GQD2" s="62"/>
      <c r="GQE2" s="62"/>
      <c r="GQF2" s="62"/>
      <c r="GQG2" s="62"/>
      <c r="GQH2" s="62"/>
      <c r="GQI2" s="62"/>
      <c r="GQJ2" s="62"/>
      <c r="GQK2" s="62"/>
      <c r="GQL2" s="62"/>
      <c r="GQM2" s="62"/>
      <c r="GQN2" s="62"/>
      <c r="GQO2" s="62"/>
      <c r="GQP2" s="62"/>
      <c r="GQQ2" s="62"/>
      <c r="GQR2" s="62"/>
      <c r="GQS2" s="62"/>
      <c r="GQT2" s="62"/>
      <c r="GQU2" s="62"/>
      <c r="GQV2" s="62"/>
      <c r="GQW2" s="62"/>
      <c r="GQX2" s="62"/>
      <c r="GQY2" s="62"/>
      <c r="GQZ2" s="62"/>
      <c r="GRA2" s="62"/>
      <c r="GRB2" s="62"/>
      <c r="GRC2" s="62"/>
      <c r="GRD2" s="62"/>
      <c r="GRE2" s="62"/>
      <c r="GRF2" s="62"/>
      <c r="GRG2" s="62"/>
      <c r="GRH2" s="62"/>
      <c r="GRI2" s="62"/>
      <c r="GRJ2" s="62"/>
      <c r="GRK2" s="62"/>
      <c r="GRL2" s="62"/>
      <c r="GRM2" s="62"/>
      <c r="GRN2" s="62"/>
      <c r="GRO2" s="62"/>
      <c r="GRP2" s="62"/>
      <c r="GRQ2" s="62"/>
      <c r="GRR2" s="62"/>
      <c r="GRS2" s="62"/>
      <c r="GRT2" s="62"/>
      <c r="GRU2" s="62"/>
      <c r="GRV2" s="62"/>
      <c r="GRW2" s="62"/>
      <c r="GRX2" s="62"/>
      <c r="GRY2" s="62"/>
      <c r="GRZ2" s="62"/>
      <c r="GSA2" s="62"/>
      <c r="GSB2" s="62"/>
      <c r="GSC2" s="62"/>
      <c r="GSD2" s="62"/>
      <c r="GSE2" s="62"/>
      <c r="GSF2" s="62"/>
      <c r="GSG2" s="62"/>
      <c r="GSH2" s="62"/>
      <c r="GSI2" s="62"/>
      <c r="GSJ2" s="62"/>
      <c r="GSK2" s="62"/>
      <c r="GSL2" s="62"/>
      <c r="GSM2" s="62"/>
      <c r="GSN2" s="62"/>
      <c r="GSO2" s="62"/>
      <c r="GSP2" s="62"/>
      <c r="GSQ2" s="62"/>
      <c r="GSR2" s="62"/>
      <c r="GSS2" s="62"/>
      <c r="GST2" s="62"/>
      <c r="GSU2" s="62"/>
      <c r="GSV2" s="62"/>
      <c r="GSW2" s="62"/>
      <c r="GSX2" s="62"/>
      <c r="GSY2" s="62"/>
      <c r="GSZ2" s="62"/>
      <c r="GTA2" s="62"/>
      <c r="GTB2" s="62"/>
      <c r="GTC2" s="62"/>
      <c r="GTD2" s="62"/>
      <c r="GTE2" s="62"/>
      <c r="GTF2" s="62"/>
      <c r="GTG2" s="62"/>
      <c r="GTH2" s="62"/>
      <c r="GTI2" s="62"/>
      <c r="GTJ2" s="62"/>
      <c r="GTK2" s="62"/>
      <c r="GTL2" s="62"/>
      <c r="GTM2" s="62"/>
      <c r="GTN2" s="62"/>
      <c r="GTO2" s="62"/>
      <c r="GTP2" s="62"/>
      <c r="GTQ2" s="62"/>
      <c r="GTR2" s="62"/>
      <c r="GTS2" s="62"/>
      <c r="GTT2" s="62"/>
      <c r="GTU2" s="62"/>
      <c r="GTV2" s="62"/>
      <c r="GTW2" s="62"/>
      <c r="GTX2" s="62"/>
      <c r="GTY2" s="62"/>
      <c r="GTZ2" s="62"/>
      <c r="GUA2" s="62"/>
      <c r="GUB2" s="62"/>
      <c r="GUC2" s="62"/>
      <c r="GUD2" s="62"/>
      <c r="GUE2" s="62"/>
      <c r="GUF2" s="62"/>
      <c r="GUG2" s="62"/>
      <c r="GUH2" s="62"/>
      <c r="GUI2" s="62"/>
      <c r="GUJ2" s="62"/>
      <c r="GUK2" s="62"/>
      <c r="GUL2" s="62"/>
      <c r="GUM2" s="62"/>
      <c r="GUN2" s="62"/>
      <c r="GUO2" s="62"/>
      <c r="GUP2" s="62"/>
      <c r="GUQ2" s="62"/>
      <c r="GUR2" s="62"/>
      <c r="GUS2" s="62"/>
      <c r="GUT2" s="62"/>
      <c r="GUU2" s="62"/>
      <c r="GUV2" s="62"/>
      <c r="GUW2" s="62"/>
      <c r="GUX2" s="62"/>
      <c r="GUY2" s="62"/>
      <c r="GUZ2" s="62"/>
      <c r="GVA2" s="62"/>
      <c r="GVB2" s="62"/>
      <c r="GVC2" s="62"/>
      <c r="GVD2" s="62"/>
      <c r="GVE2" s="62"/>
      <c r="GVF2" s="62"/>
      <c r="GVG2" s="62"/>
      <c r="GVH2" s="62"/>
      <c r="GVI2" s="62"/>
      <c r="GVJ2" s="62"/>
      <c r="GVK2" s="62"/>
      <c r="GVL2" s="62"/>
      <c r="GVM2" s="62"/>
      <c r="GVN2" s="62"/>
      <c r="GVO2" s="62"/>
      <c r="GVP2" s="62"/>
      <c r="GVQ2" s="62"/>
      <c r="GVR2" s="62"/>
      <c r="GVS2" s="62"/>
      <c r="GVT2" s="62"/>
      <c r="GVU2" s="62"/>
      <c r="GVV2" s="62"/>
      <c r="GVW2" s="62"/>
      <c r="GVX2" s="62"/>
      <c r="GVY2" s="62"/>
      <c r="GVZ2" s="62"/>
      <c r="GWA2" s="62"/>
      <c r="GWB2" s="62"/>
      <c r="GWC2" s="62"/>
      <c r="GWD2" s="62"/>
      <c r="GWE2" s="62"/>
      <c r="GWF2" s="62"/>
      <c r="GWG2" s="62"/>
      <c r="GWH2" s="62"/>
      <c r="GWI2" s="62"/>
      <c r="GWJ2" s="62"/>
      <c r="GWK2" s="62"/>
      <c r="GWL2" s="62"/>
      <c r="GWM2" s="62"/>
      <c r="GWN2" s="62"/>
      <c r="GWO2" s="62"/>
      <c r="GWP2" s="62"/>
      <c r="GWQ2" s="62"/>
      <c r="GWR2" s="62"/>
      <c r="GWS2" s="62"/>
      <c r="GWT2" s="62"/>
      <c r="GWU2" s="62"/>
      <c r="GWV2" s="62"/>
      <c r="GWW2" s="62"/>
      <c r="GWX2" s="62"/>
      <c r="GWY2" s="62"/>
      <c r="GWZ2" s="62"/>
      <c r="GXA2" s="62"/>
      <c r="GXB2" s="62"/>
      <c r="GXC2" s="62"/>
      <c r="GXD2" s="62"/>
      <c r="GXE2" s="62"/>
      <c r="GXF2" s="62"/>
      <c r="GXG2" s="62"/>
      <c r="GXH2" s="62"/>
      <c r="GXI2" s="62"/>
      <c r="GXJ2" s="62"/>
      <c r="GXK2" s="62"/>
      <c r="GXL2" s="62"/>
      <c r="GXM2" s="62"/>
      <c r="GXN2" s="62"/>
      <c r="GXO2" s="62"/>
      <c r="GXP2" s="62"/>
      <c r="GXQ2" s="62"/>
      <c r="GXR2" s="62"/>
      <c r="GXS2" s="62"/>
      <c r="GXT2" s="62"/>
      <c r="GXU2" s="62"/>
      <c r="GXV2" s="62"/>
      <c r="GXW2" s="62"/>
      <c r="GXX2" s="62"/>
      <c r="GXY2" s="62"/>
      <c r="GXZ2" s="62"/>
      <c r="GYA2" s="62"/>
      <c r="GYB2" s="62"/>
      <c r="GYC2" s="62"/>
      <c r="GYD2" s="62"/>
      <c r="GYE2" s="62"/>
      <c r="GYF2" s="62"/>
      <c r="GYG2" s="62"/>
      <c r="GYH2" s="62"/>
      <c r="GYI2" s="62"/>
      <c r="GYJ2" s="62"/>
      <c r="GYK2" s="62"/>
      <c r="GYL2" s="62"/>
      <c r="GYM2" s="62"/>
      <c r="GYN2" s="62"/>
      <c r="GYO2" s="62"/>
      <c r="GYP2" s="62"/>
      <c r="GYQ2" s="62"/>
      <c r="GYR2" s="62"/>
      <c r="GYS2" s="62"/>
      <c r="GYT2" s="62"/>
      <c r="GYU2" s="62"/>
      <c r="GYV2" s="62"/>
      <c r="GYW2" s="62"/>
      <c r="GYX2" s="62"/>
      <c r="GYY2" s="62"/>
      <c r="GYZ2" s="62"/>
      <c r="GZA2" s="62"/>
      <c r="GZB2" s="62"/>
      <c r="GZC2" s="62"/>
      <c r="GZD2" s="62"/>
      <c r="GZE2" s="62"/>
      <c r="GZF2" s="62"/>
      <c r="GZG2" s="62"/>
      <c r="GZH2" s="62"/>
      <c r="GZI2" s="62"/>
      <c r="GZJ2" s="62"/>
      <c r="GZK2" s="62"/>
      <c r="GZL2" s="62"/>
      <c r="GZM2" s="62"/>
      <c r="GZN2" s="62"/>
      <c r="GZO2" s="62"/>
      <c r="GZP2" s="62"/>
      <c r="GZQ2" s="62"/>
      <c r="GZR2" s="62"/>
      <c r="GZS2" s="62"/>
      <c r="GZT2" s="62"/>
      <c r="GZU2" s="62"/>
      <c r="GZV2" s="62"/>
      <c r="GZW2" s="62"/>
      <c r="GZX2" s="62"/>
      <c r="GZY2" s="62"/>
      <c r="GZZ2" s="62"/>
      <c r="HAA2" s="62"/>
      <c r="HAB2" s="62"/>
      <c r="HAC2" s="62"/>
      <c r="HAD2" s="62"/>
      <c r="HAE2" s="62"/>
      <c r="HAF2" s="62"/>
      <c r="HAG2" s="62"/>
      <c r="HAH2" s="62"/>
      <c r="HAI2" s="62"/>
      <c r="HAJ2" s="62"/>
      <c r="HAK2" s="62"/>
      <c r="HAL2" s="62"/>
      <c r="HAM2" s="62"/>
      <c r="HAN2" s="62"/>
      <c r="HAO2" s="62"/>
      <c r="HAP2" s="62"/>
      <c r="HAQ2" s="62"/>
      <c r="HAR2" s="62"/>
      <c r="HAS2" s="62"/>
      <c r="HAT2" s="62"/>
      <c r="HAU2" s="62"/>
      <c r="HAV2" s="62"/>
      <c r="HAW2" s="62"/>
      <c r="HAX2" s="62"/>
      <c r="HAY2" s="62"/>
      <c r="HAZ2" s="62"/>
      <c r="HBA2" s="62"/>
      <c r="HBB2" s="62"/>
      <c r="HBC2" s="62"/>
      <c r="HBD2" s="62"/>
      <c r="HBE2" s="62"/>
      <c r="HBF2" s="62"/>
      <c r="HBG2" s="62"/>
      <c r="HBH2" s="62"/>
      <c r="HBI2" s="62"/>
      <c r="HBJ2" s="62"/>
      <c r="HBK2" s="62"/>
      <c r="HBL2" s="62"/>
      <c r="HBM2" s="62"/>
      <c r="HBN2" s="62"/>
      <c r="HBO2" s="62"/>
      <c r="HBP2" s="62"/>
      <c r="HBQ2" s="62"/>
      <c r="HBR2" s="62"/>
      <c r="HBS2" s="62"/>
      <c r="HBT2" s="62"/>
      <c r="HBU2" s="62"/>
      <c r="HBV2" s="62"/>
      <c r="HBW2" s="62"/>
      <c r="HBX2" s="62"/>
      <c r="HBY2" s="62"/>
      <c r="HBZ2" s="62"/>
      <c r="HCA2" s="62"/>
      <c r="HCB2" s="62"/>
      <c r="HCC2" s="62"/>
      <c r="HCD2" s="62"/>
      <c r="HCE2" s="62"/>
      <c r="HCF2" s="62"/>
      <c r="HCG2" s="62"/>
      <c r="HCH2" s="62"/>
      <c r="HCI2" s="62"/>
      <c r="HCJ2" s="62"/>
      <c r="HCK2" s="62"/>
      <c r="HCL2" s="62"/>
      <c r="HCM2" s="62"/>
      <c r="HCN2" s="62"/>
      <c r="HCO2" s="62"/>
      <c r="HCP2" s="62"/>
      <c r="HCQ2" s="62"/>
      <c r="HCR2" s="62"/>
      <c r="HCS2" s="62"/>
      <c r="HCT2" s="62"/>
      <c r="HCU2" s="62"/>
      <c r="HCV2" s="62"/>
      <c r="HCW2" s="62"/>
      <c r="HCX2" s="62"/>
      <c r="HCY2" s="62"/>
      <c r="HCZ2" s="62"/>
      <c r="HDA2" s="62"/>
      <c r="HDB2" s="62"/>
      <c r="HDC2" s="62"/>
      <c r="HDD2" s="62"/>
      <c r="HDE2" s="62"/>
      <c r="HDF2" s="62"/>
      <c r="HDG2" s="62"/>
      <c r="HDH2" s="62"/>
      <c r="HDI2" s="62"/>
      <c r="HDJ2" s="62"/>
      <c r="HDK2" s="62"/>
      <c r="HDL2" s="62"/>
      <c r="HDM2" s="62"/>
      <c r="HDN2" s="62"/>
      <c r="HDO2" s="62"/>
      <c r="HDP2" s="62"/>
      <c r="HDQ2" s="62"/>
      <c r="HDR2" s="62"/>
      <c r="HDS2" s="62"/>
      <c r="HDT2" s="62"/>
      <c r="HDU2" s="62"/>
      <c r="HDV2" s="62"/>
      <c r="HDW2" s="62"/>
      <c r="HDX2" s="62"/>
      <c r="HDY2" s="62"/>
      <c r="HDZ2" s="62"/>
      <c r="HEA2" s="62"/>
      <c r="HEB2" s="62"/>
      <c r="HEC2" s="62"/>
      <c r="HED2" s="62"/>
      <c r="HEE2" s="62"/>
      <c r="HEF2" s="62"/>
      <c r="HEG2" s="62"/>
      <c r="HEH2" s="62"/>
      <c r="HEI2" s="62"/>
      <c r="HEJ2" s="62"/>
      <c r="HEK2" s="62"/>
      <c r="HEL2" s="62"/>
      <c r="HEM2" s="62"/>
      <c r="HEN2" s="62"/>
      <c r="HEO2" s="62"/>
      <c r="HEP2" s="62"/>
      <c r="HEQ2" s="62"/>
      <c r="HER2" s="62"/>
      <c r="HES2" s="62"/>
      <c r="HET2" s="62"/>
      <c r="HEU2" s="62"/>
      <c r="HEV2" s="62"/>
      <c r="HEW2" s="62"/>
      <c r="HEX2" s="62"/>
      <c r="HEY2" s="62"/>
      <c r="HEZ2" s="62"/>
      <c r="HFA2" s="62"/>
      <c r="HFB2" s="62"/>
      <c r="HFC2" s="62"/>
      <c r="HFD2" s="62"/>
      <c r="HFE2" s="62"/>
      <c r="HFF2" s="62"/>
      <c r="HFG2" s="62"/>
      <c r="HFH2" s="62"/>
      <c r="HFI2" s="62"/>
      <c r="HFJ2" s="62"/>
      <c r="HFK2" s="62"/>
      <c r="HFL2" s="62"/>
      <c r="HFM2" s="62"/>
      <c r="HFN2" s="62"/>
      <c r="HFO2" s="62"/>
      <c r="HFP2" s="62"/>
      <c r="HFQ2" s="62"/>
      <c r="HFR2" s="62"/>
      <c r="HFS2" s="62"/>
      <c r="HFT2" s="62"/>
      <c r="HFU2" s="62"/>
      <c r="HFV2" s="62"/>
      <c r="HFW2" s="62"/>
      <c r="HFX2" s="62"/>
      <c r="HFY2" s="62"/>
      <c r="HFZ2" s="62"/>
      <c r="HGA2" s="62"/>
      <c r="HGB2" s="62"/>
      <c r="HGC2" s="62"/>
      <c r="HGD2" s="62"/>
      <c r="HGE2" s="62"/>
      <c r="HGF2" s="62"/>
      <c r="HGG2" s="62"/>
      <c r="HGH2" s="62"/>
      <c r="HGI2" s="62"/>
      <c r="HGJ2" s="62"/>
      <c r="HGK2" s="62"/>
      <c r="HGL2" s="62"/>
      <c r="HGM2" s="62"/>
      <c r="HGN2" s="62"/>
      <c r="HGO2" s="62"/>
      <c r="HGP2" s="62"/>
      <c r="HGQ2" s="62"/>
      <c r="HGR2" s="62"/>
      <c r="HGS2" s="62"/>
      <c r="HGT2" s="62"/>
      <c r="HGU2" s="62"/>
      <c r="HGV2" s="62"/>
      <c r="HGW2" s="62"/>
      <c r="HGX2" s="62"/>
      <c r="HGY2" s="62"/>
      <c r="HGZ2" s="62"/>
      <c r="HHA2" s="62"/>
      <c r="HHB2" s="62"/>
      <c r="HHC2" s="62"/>
      <c r="HHD2" s="62"/>
      <c r="HHE2" s="62"/>
      <c r="HHF2" s="62"/>
      <c r="HHG2" s="62"/>
      <c r="HHH2" s="62"/>
      <c r="HHI2" s="62"/>
      <c r="HHJ2" s="62"/>
      <c r="HHK2" s="62"/>
      <c r="HHL2" s="62"/>
      <c r="HHM2" s="62"/>
      <c r="HHN2" s="62"/>
      <c r="HHO2" s="62"/>
      <c r="HHP2" s="62"/>
      <c r="HHQ2" s="62"/>
      <c r="HHR2" s="62"/>
      <c r="HHS2" s="62"/>
      <c r="HHT2" s="62"/>
      <c r="HHU2" s="62"/>
      <c r="HHV2" s="62"/>
      <c r="HHW2" s="62"/>
      <c r="HHX2" s="62"/>
      <c r="HHY2" s="62"/>
      <c r="HHZ2" s="62"/>
      <c r="HIA2" s="62"/>
      <c r="HIB2" s="62"/>
      <c r="HIC2" s="62"/>
      <c r="HID2" s="62"/>
      <c r="HIE2" s="62"/>
      <c r="HIF2" s="62"/>
      <c r="HIG2" s="62"/>
      <c r="HIH2" s="62"/>
      <c r="HII2" s="62"/>
      <c r="HIJ2" s="62"/>
      <c r="HIK2" s="62"/>
      <c r="HIL2" s="62"/>
      <c r="HIM2" s="62"/>
      <c r="HIN2" s="62"/>
      <c r="HIO2" s="62"/>
      <c r="HIP2" s="62"/>
      <c r="HIQ2" s="62"/>
      <c r="HIR2" s="62"/>
      <c r="HIS2" s="62"/>
      <c r="HIT2" s="62"/>
      <c r="HIU2" s="62"/>
      <c r="HIV2" s="62"/>
      <c r="HIW2" s="62"/>
      <c r="HIX2" s="62"/>
      <c r="HIY2" s="62"/>
      <c r="HIZ2" s="62"/>
      <c r="HJA2" s="62"/>
      <c r="HJB2" s="62"/>
      <c r="HJC2" s="62"/>
      <c r="HJD2" s="62"/>
      <c r="HJE2" s="62"/>
      <c r="HJF2" s="62"/>
      <c r="HJG2" s="62"/>
      <c r="HJH2" s="62"/>
      <c r="HJI2" s="62"/>
      <c r="HJJ2" s="62"/>
      <c r="HJK2" s="62"/>
      <c r="HJL2" s="62"/>
      <c r="HJM2" s="62"/>
      <c r="HJN2" s="62"/>
      <c r="HJO2" s="62"/>
      <c r="HJP2" s="62"/>
      <c r="HJQ2" s="62"/>
      <c r="HJR2" s="62"/>
      <c r="HJS2" s="62"/>
      <c r="HJT2" s="62"/>
      <c r="HJU2" s="62"/>
      <c r="HJV2" s="62"/>
      <c r="HJW2" s="62"/>
      <c r="HJX2" s="62"/>
      <c r="HJY2" s="62"/>
      <c r="HJZ2" s="62"/>
      <c r="HKA2" s="62"/>
      <c r="HKB2" s="62"/>
      <c r="HKC2" s="62"/>
      <c r="HKD2" s="62"/>
      <c r="HKE2" s="62"/>
      <c r="HKF2" s="62"/>
      <c r="HKG2" s="62"/>
      <c r="HKH2" s="62"/>
      <c r="HKI2" s="62"/>
      <c r="HKJ2" s="62"/>
      <c r="HKK2" s="62"/>
      <c r="HKL2" s="62"/>
      <c r="HKM2" s="62"/>
      <c r="HKN2" s="62"/>
      <c r="HKO2" s="62"/>
      <c r="HKP2" s="62"/>
      <c r="HKQ2" s="62"/>
      <c r="HKR2" s="62"/>
      <c r="HKS2" s="62"/>
      <c r="HKT2" s="62"/>
      <c r="HKU2" s="62"/>
      <c r="HKV2" s="62"/>
      <c r="HKW2" s="62"/>
      <c r="HKX2" s="62"/>
      <c r="HKY2" s="62"/>
      <c r="HKZ2" s="62"/>
      <c r="HLA2" s="62"/>
      <c r="HLB2" s="62"/>
      <c r="HLC2" s="62"/>
      <c r="HLD2" s="62"/>
      <c r="HLE2" s="62"/>
      <c r="HLF2" s="62"/>
      <c r="HLG2" s="62"/>
      <c r="HLH2" s="62"/>
      <c r="HLI2" s="62"/>
      <c r="HLJ2" s="62"/>
      <c r="HLK2" s="62"/>
      <c r="HLL2" s="62"/>
      <c r="HLM2" s="62"/>
      <c r="HLN2" s="62"/>
      <c r="HLO2" s="62"/>
      <c r="HLP2" s="62"/>
      <c r="HLQ2" s="62"/>
      <c r="HLR2" s="62"/>
      <c r="HLS2" s="62"/>
      <c r="HLT2" s="62"/>
      <c r="HLU2" s="62"/>
      <c r="HLV2" s="62"/>
      <c r="HLW2" s="62"/>
      <c r="HLX2" s="62"/>
      <c r="HLY2" s="62"/>
      <c r="HLZ2" s="62"/>
      <c r="HMA2" s="62"/>
      <c r="HMB2" s="62"/>
      <c r="HMC2" s="62"/>
      <c r="HMD2" s="62"/>
      <c r="HME2" s="62"/>
      <c r="HMF2" s="62"/>
      <c r="HMG2" s="62"/>
      <c r="HMH2" s="62"/>
      <c r="HMI2" s="62"/>
      <c r="HMJ2" s="62"/>
      <c r="HMK2" s="62"/>
      <c r="HML2" s="62"/>
      <c r="HMM2" s="62"/>
      <c r="HMN2" s="62"/>
      <c r="HMO2" s="62"/>
      <c r="HMP2" s="62"/>
      <c r="HMQ2" s="62"/>
      <c r="HMR2" s="62"/>
      <c r="HMS2" s="62"/>
      <c r="HMT2" s="62"/>
      <c r="HMU2" s="62"/>
      <c r="HMV2" s="62"/>
      <c r="HMW2" s="62"/>
      <c r="HMX2" s="62"/>
      <c r="HMY2" s="62"/>
      <c r="HMZ2" s="62"/>
      <c r="HNA2" s="62"/>
      <c r="HNB2" s="62"/>
      <c r="HNC2" s="62"/>
      <c r="HND2" s="62"/>
      <c r="HNE2" s="62"/>
      <c r="HNF2" s="62"/>
      <c r="HNG2" s="62"/>
      <c r="HNH2" s="62"/>
      <c r="HNI2" s="62"/>
      <c r="HNJ2" s="62"/>
      <c r="HNK2" s="62"/>
      <c r="HNL2" s="62"/>
      <c r="HNM2" s="62"/>
      <c r="HNN2" s="62"/>
      <c r="HNO2" s="62"/>
      <c r="HNP2" s="62"/>
      <c r="HNQ2" s="62"/>
      <c r="HNR2" s="62"/>
      <c r="HNS2" s="62"/>
      <c r="HNT2" s="62"/>
      <c r="HNU2" s="62"/>
      <c r="HNV2" s="62"/>
      <c r="HNW2" s="62"/>
      <c r="HNX2" s="62"/>
      <c r="HNY2" s="62"/>
      <c r="HNZ2" s="62"/>
      <c r="HOA2" s="62"/>
      <c r="HOB2" s="62"/>
      <c r="HOC2" s="62"/>
      <c r="HOD2" s="62"/>
      <c r="HOE2" s="62"/>
      <c r="HOF2" s="62"/>
      <c r="HOG2" s="62"/>
      <c r="HOH2" s="62"/>
      <c r="HOI2" s="62"/>
      <c r="HOJ2" s="62"/>
      <c r="HOK2" s="62"/>
      <c r="HOL2" s="62"/>
      <c r="HOM2" s="62"/>
      <c r="HON2" s="62"/>
      <c r="HOO2" s="62"/>
      <c r="HOP2" s="62"/>
      <c r="HOQ2" s="62"/>
      <c r="HOR2" s="62"/>
      <c r="HOS2" s="62"/>
      <c r="HOT2" s="62"/>
      <c r="HOU2" s="62"/>
      <c r="HOV2" s="62"/>
      <c r="HOW2" s="62"/>
      <c r="HOX2" s="62"/>
      <c r="HOY2" s="62"/>
      <c r="HOZ2" s="62"/>
      <c r="HPA2" s="62"/>
      <c r="HPB2" s="62"/>
      <c r="HPC2" s="62"/>
      <c r="HPD2" s="62"/>
      <c r="HPE2" s="62"/>
      <c r="HPF2" s="62"/>
      <c r="HPG2" s="62"/>
      <c r="HPH2" s="62"/>
      <c r="HPI2" s="62"/>
      <c r="HPJ2" s="62"/>
      <c r="HPK2" s="62"/>
      <c r="HPL2" s="62"/>
      <c r="HPM2" s="62"/>
      <c r="HPN2" s="62"/>
      <c r="HPO2" s="62"/>
      <c r="HPP2" s="62"/>
      <c r="HPQ2" s="62"/>
      <c r="HPR2" s="62"/>
      <c r="HPS2" s="62"/>
      <c r="HPT2" s="62"/>
      <c r="HPU2" s="62"/>
      <c r="HPV2" s="62"/>
      <c r="HPW2" s="62"/>
      <c r="HPX2" s="62"/>
      <c r="HPY2" s="62"/>
      <c r="HPZ2" s="62"/>
      <c r="HQA2" s="62"/>
      <c r="HQB2" s="62"/>
      <c r="HQC2" s="62"/>
      <c r="HQD2" s="62"/>
      <c r="HQE2" s="62"/>
      <c r="HQF2" s="62"/>
      <c r="HQG2" s="62"/>
      <c r="HQH2" s="62"/>
      <c r="HQI2" s="62"/>
      <c r="HQJ2" s="62"/>
      <c r="HQK2" s="62"/>
      <c r="HQL2" s="62"/>
      <c r="HQM2" s="62"/>
      <c r="HQN2" s="62"/>
      <c r="HQO2" s="62"/>
      <c r="HQP2" s="62"/>
      <c r="HQQ2" s="62"/>
      <c r="HQR2" s="62"/>
      <c r="HQS2" s="62"/>
      <c r="HQT2" s="62"/>
      <c r="HQU2" s="62"/>
      <c r="HQV2" s="62"/>
      <c r="HQW2" s="62"/>
      <c r="HQX2" s="62"/>
      <c r="HQY2" s="62"/>
      <c r="HQZ2" s="62"/>
      <c r="HRA2" s="62"/>
      <c r="HRB2" s="62"/>
      <c r="HRC2" s="62"/>
      <c r="HRD2" s="62"/>
      <c r="HRE2" s="62"/>
      <c r="HRF2" s="62"/>
      <c r="HRG2" s="62"/>
      <c r="HRH2" s="62"/>
      <c r="HRI2" s="62"/>
      <c r="HRJ2" s="62"/>
      <c r="HRK2" s="62"/>
      <c r="HRL2" s="62"/>
      <c r="HRM2" s="62"/>
      <c r="HRN2" s="62"/>
      <c r="HRO2" s="62"/>
      <c r="HRP2" s="62"/>
      <c r="HRQ2" s="62"/>
      <c r="HRR2" s="62"/>
      <c r="HRS2" s="62"/>
      <c r="HRT2" s="62"/>
      <c r="HRU2" s="62"/>
      <c r="HRV2" s="62"/>
      <c r="HRW2" s="62"/>
      <c r="HRX2" s="62"/>
      <c r="HRY2" s="62"/>
      <c r="HRZ2" s="62"/>
      <c r="HSA2" s="62"/>
      <c r="HSB2" s="62"/>
      <c r="HSC2" s="62"/>
      <c r="HSD2" s="62"/>
      <c r="HSE2" s="62"/>
      <c r="HSF2" s="62"/>
      <c r="HSG2" s="62"/>
      <c r="HSH2" s="62"/>
      <c r="HSI2" s="62"/>
      <c r="HSJ2" s="62"/>
      <c r="HSK2" s="62"/>
      <c r="HSL2" s="62"/>
      <c r="HSM2" s="62"/>
      <c r="HSN2" s="62"/>
      <c r="HSO2" s="62"/>
      <c r="HSP2" s="62"/>
      <c r="HSQ2" s="62"/>
      <c r="HSR2" s="62"/>
      <c r="HSS2" s="62"/>
      <c r="HST2" s="62"/>
      <c r="HSU2" s="62"/>
      <c r="HSV2" s="62"/>
      <c r="HSW2" s="62"/>
      <c r="HSX2" s="62"/>
      <c r="HSY2" s="62"/>
      <c r="HSZ2" s="62"/>
      <c r="HTA2" s="62"/>
      <c r="HTB2" s="62"/>
      <c r="HTC2" s="62"/>
      <c r="HTD2" s="62"/>
      <c r="HTE2" s="62"/>
      <c r="HTF2" s="62"/>
      <c r="HTG2" s="62"/>
      <c r="HTH2" s="62"/>
      <c r="HTI2" s="62"/>
      <c r="HTJ2" s="62"/>
      <c r="HTK2" s="62"/>
      <c r="HTL2" s="62"/>
      <c r="HTM2" s="62"/>
      <c r="HTN2" s="62"/>
      <c r="HTO2" s="62"/>
      <c r="HTP2" s="62"/>
      <c r="HTQ2" s="62"/>
      <c r="HTR2" s="62"/>
      <c r="HTS2" s="62"/>
      <c r="HTT2" s="62"/>
      <c r="HTU2" s="62"/>
      <c r="HTV2" s="62"/>
      <c r="HTW2" s="62"/>
      <c r="HTX2" s="62"/>
      <c r="HTY2" s="62"/>
      <c r="HTZ2" s="62"/>
      <c r="HUA2" s="62"/>
      <c r="HUB2" s="62"/>
      <c r="HUC2" s="62"/>
      <c r="HUD2" s="62"/>
      <c r="HUE2" s="62"/>
      <c r="HUF2" s="62"/>
      <c r="HUG2" s="62"/>
      <c r="HUH2" s="62"/>
      <c r="HUI2" s="62"/>
      <c r="HUJ2" s="62"/>
      <c r="HUK2" s="62"/>
      <c r="HUL2" s="62"/>
      <c r="HUM2" s="62"/>
      <c r="HUN2" s="62"/>
      <c r="HUO2" s="62"/>
      <c r="HUP2" s="62"/>
      <c r="HUQ2" s="62"/>
      <c r="HUR2" s="62"/>
      <c r="HUS2" s="62"/>
      <c r="HUT2" s="62"/>
      <c r="HUU2" s="62"/>
      <c r="HUV2" s="62"/>
      <c r="HUW2" s="62"/>
      <c r="HUX2" s="62"/>
      <c r="HUY2" s="62"/>
      <c r="HUZ2" s="62"/>
      <c r="HVA2" s="62"/>
      <c r="HVB2" s="62"/>
      <c r="HVC2" s="62"/>
      <c r="HVD2" s="62"/>
      <c r="HVE2" s="62"/>
      <c r="HVF2" s="62"/>
      <c r="HVG2" s="62"/>
      <c r="HVH2" s="62"/>
      <c r="HVI2" s="62"/>
      <c r="HVJ2" s="62"/>
      <c r="HVK2" s="62"/>
      <c r="HVL2" s="62"/>
      <c r="HVM2" s="62"/>
      <c r="HVN2" s="62"/>
      <c r="HVO2" s="62"/>
      <c r="HVP2" s="62"/>
      <c r="HVQ2" s="62"/>
      <c r="HVR2" s="62"/>
      <c r="HVS2" s="62"/>
      <c r="HVT2" s="62"/>
      <c r="HVU2" s="62"/>
      <c r="HVV2" s="62"/>
      <c r="HVW2" s="62"/>
      <c r="HVX2" s="62"/>
      <c r="HVY2" s="62"/>
      <c r="HVZ2" s="62"/>
      <c r="HWA2" s="62"/>
      <c r="HWB2" s="62"/>
      <c r="HWC2" s="62"/>
      <c r="HWD2" s="62"/>
      <c r="HWE2" s="62"/>
      <c r="HWF2" s="62"/>
      <c r="HWG2" s="62"/>
      <c r="HWH2" s="62"/>
      <c r="HWI2" s="62"/>
      <c r="HWJ2" s="62"/>
      <c r="HWK2" s="62"/>
      <c r="HWL2" s="62"/>
      <c r="HWM2" s="62"/>
      <c r="HWN2" s="62"/>
      <c r="HWO2" s="62"/>
      <c r="HWP2" s="62"/>
      <c r="HWQ2" s="62"/>
      <c r="HWR2" s="62"/>
      <c r="HWS2" s="62"/>
      <c r="HWT2" s="62"/>
      <c r="HWU2" s="62"/>
      <c r="HWV2" s="62"/>
      <c r="HWW2" s="62"/>
      <c r="HWX2" s="62"/>
      <c r="HWY2" s="62"/>
      <c r="HWZ2" s="62"/>
      <c r="HXA2" s="62"/>
      <c r="HXB2" s="62"/>
      <c r="HXC2" s="62"/>
      <c r="HXD2" s="62"/>
      <c r="HXE2" s="62"/>
      <c r="HXF2" s="62"/>
      <c r="HXG2" s="62"/>
      <c r="HXH2" s="62"/>
      <c r="HXI2" s="62"/>
      <c r="HXJ2" s="62"/>
      <c r="HXK2" s="62"/>
      <c r="HXL2" s="62"/>
      <c r="HXM2" s="62"/>
      <c r="HXN2" s="62"/>
      <c r="HXO2" s="62"/>
      <c r="HXP2" s="62"/>
      <c r="HXQ2" s="62"/>
      <c r="HXR2" s="62"/>
      <c r="HXS2" s="62"/>
      <c r="HXT2" s="62"/>
      <c r="HXU2" s="62"/>
      <c r="HXV2" s="62"/>
      <c r="HXW2" s="62"/>
      <c r="HXX2" s="62"/>
      <c r="HXY2" s="62"/>
      <c r="HXZ2" s="62"/>
      <c r="HYA2" s="62"/>
      <c r="HYB2" s="62"/>
      <c r="HYC2" s="62"/>
      <c r="HYD2" s="62"/>
      <c r="HYE2" s="62"/>
      <c r="HYF2" s="62"/>
      <c r="HYG2" s="62"/>
      <c r="HYH2" s="62"/>
      <c r="HYI2" s="62"/>
      <c r="HYJ2" s="62"/>
      <c r="HYK2" s="62"/>
      <c r="HYL2" s="62"/>
      <c r="HYM2" s="62"/>
      <c r="HYN2" s="62"/>
      <c r="HYO2" s="62"/>
      <c r="HYP2" s="62"/>
      <c r="HYQ2" s="62"/>
      <c r="HYR2" s="62"/>
      <c r="HYS2" s="62"/>
      <c r="HYT2" s="62"/>
      <c r="HYU2" s="62"/>
      <c r="HYV2" s="62"/>
      <c r="HYW2" s="62"/>
      <c r="HYX2" s="62"/>
      <c r="HYY2" s="62"/>
      <c r="HYZ2" s="62"/>
      <c r="HZA2" s="62"/>
      <c r="HZB2" s="62"/>
      <c r="HZC2" s="62"/>
      <c r="HZD2" s="62"/>
      <c r="HZE2" s="62"/>
      <c r="HZF2" s="62"/>
      <c r="HZG2" s="62"/>
      <c r="HZH2" s="62"/>
      <c r="HZI2" s="62"/>
      <c r="HZJ2" s="62"/>
      <c r="HZK2" s="62"/>
      <c r="HZL2" s="62"/>
      <c r="HZM2" s="62"/>
      <c r="HZN2" s="62"/>
      <c r="HZO2" s="62"/>
      <c r="HZP2" s="62"/>
      <c r="HZQ2" s="62"/>
      <c r="HZR2" s="62"/>
      <c r="HZS2" s="62"/>
      <c r="HZT2" s="62"/>
      <c r="HZU2" s="62"/>
      <c r="HZV2" s="62"/>
      <c r="HZW2" s="62"/>
      <c r="HZX2" s="62"/>
      <c r="HZY2" s="62"/>
      <c r="HZZ2" s="62"/>
      <c r="IAA2" s="62"/>
      <c r="IAB2" s="62"/>
      <c r="IAC2" s="62"/>
      <c r="IAD2" s="62"/>
      <c r="IAE2" s="62"/>
      <c r="IAF2" s="62"/>
      <c r="IAG2" s="62"/>
      <c r="IAH2" s="62"/>
      <c r="IAI2" s="62"/>
      <c r="IAJ2" s="62"/>
      <c r="IAK2" s="62"/>
      <c r="IAL2" s="62"/>
      <c r="IAM2" s="62"/>
      <c r="IAN2" s="62"/>
      <c r="IAO2" s="62"/>
      <c r="IAP2" s="62"/>
      <c r="IAQ2" s="62"/>
      <c r="IAR2" s="62"/>
      <c r="IAS2" s="62"/>
      <c r="IAT2" s="62"/>
      <c r="IAU2" s="62"/>
      <c r="IAV2" s="62"/>
      <c r="IAW2" s="62"/>
      <c r="IAX2" s="62"/>
      <c r="IAY2" s="62"/>
      <c r="IAZ2" s="62"/>
      <c r="IBA2" s="62"/>
      <c r="IBB2" s="62"/>
      <c r="IBC2" s="62"/>
      <c r="IBD2" s="62"/>
      <c r="IBE2" s="62"/>
      <c r="IBF2" s="62"/>
      <c r="IBG2" s="62"/>
      <c r="IBH2" s="62"/>
      <c r="IBI2" s="62"/>
      <c r="IBJ2" s="62"/>
      <c r="IBK2" s="62"/>
      <c r="IBL2" s="62"/>
      <c r="IBM2" s="62"/>
      <c r="IBN2" s="62"/>
      <c r="IBO2" s="62"/>
      <c r="IBP2" s="62"/>
      <c r="IBQ2" s="62"/>
      <c r="IBR2" s="62"/>
      <c r="IBS2" s="62"/>
      <c r="IBT2" s="62"/>
      <c r="IBU2" s="62"/>
      <c r="IBV2" s="62"/>
      <c r="IBW2" s="62"/>
      <c r="IBX2" s="62"/>
      <c r="IBY2" s="62"/>
      <c r="IBZ2" s="62"/>
      <c r="ICA2" s="62"/>
      <c r="ICB2" s="62"/>
      <c r="ICC2" s="62"/>
      <c r="ICD2" s="62"/>
      <c r="ICE2" s="62"/>
      <c r="ICF2" s="62"/>
      <c r="ICG2" s="62"/>
      <c r="ICH2" s="62"/>
      <c r="ICI2" s="62"/>
      <c r="ICJ2" s="62"/>
      <c r="ICK2" s="62"/>
      <c r="ICL2" s="62"/>
      <c r="ICM2" s="62"/>
      <c r="ICN2" s="62"/>
      <c r="ICO2" s="62"/>
      <c r="ICP2" s="62"/>
      <c r="ICQ2" s="62"/>
      <c r="ICR2" s="62"/>
      <c r="ICS2" s="62"/>
      <c r="ICT2" s="62"/>
      <c r="ICU2" s="62"/>
      <c r="ICV2" s="62"/>
      <c r="ICW2" s="62"/>
      <c r="ICX2" s="62"/>
      <c r="ICY2" s="62"/>
      <c r="ICZ2" s="62"/>
      <c r="IDA2" s="62"/>
      <c r="IDB2" s="62"/>
      <c r="IDC2" s="62"/>
      <c r="IDD2" s="62"/>
      <c r="IDE2" s="62"/>
      <c r="IDF2" s="62"/>
      <c r="IDG2" s="62"/>
      <c r="IDH2" s="62"/>
      <c r="IDI2" s="62"/>
      <c r="IDJ2" s="62"/>
      <c r="IDK2" s="62"/>
      <c r="IDL2" s="62"/>
      <c r="IDM2" s="62"/>
      <c r="IDN2" s="62"/>
      <c r="IDO2" s="62"/>
      <c r="IDP2" s="62"/>
      <c r="IDQ2" s="62"/>
      <c r="IDR2" s="62"/>
      <c r="IDS2" s="62"/>
      <c r="IDT2" s="62"/>
      <c r="IDU2" s="62"/>
      <c r="IDV2" s="62"/>
      <c r="IDW2" s="62"/>
      <c r="IDX2" s="62"/>
      <c r="IDY2" s="62"/>
      <c r="IDZ2" s="62"/>
      <c r="IEA2" s="62"/>
      <c r="IEB2" s="62"/>
      <c r="IEC2" s="62"/>
      <c r="IED2" s="62"/>
      <c r="IEE2" s="62"/>
      <c r="IEF2" s="62"/>
      <c r="IEG2" s="62"/>
      <c r="IEH2" s="62"/>
      <c r="IEI2" s="62"/>
      <c r="IEJ2" s="62"/>
      <c r="IEK2" s="62"/>
      <c r="IEL2" s="62"/>
      <c r="IEM2" s="62"/>
      <c r="IEN2" s="62"/>
      <c r="IEO2" s="62"/>
      <c r="IEP2" s="62"/>
      <c r="IEQ2" s="62"/>
      <c r="IER2" s="62"/>
      <c r="IES2" s="62"/>
      <c r="IET2" s="62"/>
      <c r="IEU2" s="62"/>
      <c r="IEV2" s="62"/>
      <c r="IEW2" s="62"/>
      <c r="IEX2" s="62"/>
      <c r="IEY2" s="62"/>
      <c r="IEZ2" s="62"/>
      <c r="IFA2" s="62"/>
      <c r="IFB2" s="62"/>
      <c r="IFC2" s="62"/>
      <c r="IFD2" s="62"/>
      <c r="IFE2" s="62"/>
      <c r="IFF2" s="62"/>
      <c r="IFG2" s="62"/>
      <c r="IFH2" s="62"/>
      <c r="IFI2" s="62"/>
      <c r="IFJ2" s="62"/>
      <c r="IFK2" s="62"/>
      <c r="IFL2" s="62"/>
      <c r="IFM2" s="62"/>
      <c r="IFN2" s="62"/>
      <c r="IFO2" s="62"/>
      <c r="IFP2" s="62"/>
      <c r="IFQ2" s="62"/>
      <c r="IFR2" s="62"/>
      <c r="IFS2" s="62"/>
      <c r="IFT2" s="62"/>
      <c r="IFU2" s="62"/>
      <c r="IFV2" s="62"/>
      <c r="IFW2" s="62"/>
      <c r="IFX2" s="62"/>
      <c r="IFY2" s="62"/>
      <c r="IFZ2" s="62"/>
      <c r="IGA2" s="62"/>
      <c r="IGB2" s="62"/>
      <c r="IGC2" s="62"/>
      <c r="IGD2" s="62"/>
      <c r="IGE2" s="62"/>
      <c r="IGF2" s="62"/>
      <c r="IGG2" s="62"/>
      <c r="IGH2" s="62"/>
      <c r="IGI2" s="62"/>
      <c r="IGJ2" s="62"/>
      <c r="IGK2" s="62"/>
      <c r="IGL2" s="62"/>
      <c r="IGM2" s="62"/>
      <c r="IGN2" s="62"/>
      <c r="IGO2" s="62"/>
      <c r="IGP2" s="62"/>
      <c r="IGQ2" s="62"/>
      <c r="IGR2" s="62"/>
      <c r="IGS2" s="62"/>
      <c r="IGT2" s="62"/>
      <c r="IGU2" s="62"/>
      <c r="IGV2" s="62"/>
      <c r="IGW2" s="62"/>
      <c r="IGX2" s="62"/>
      <c r="IGY2" s="62"/>
      <c r="IGZ2" s="62"/>
      <c r="IHA2" s="62"/>
      <c r="IHB2" s="62"/>
      <c r="IHC2" s="62"/>
      <c r="IHD2" s="62"/>
      <c r="IHE2" s="62"/>
      <c r="IHF2" s="62"/>
      <c r="IHG2" s="62"/>
      <c r="IHH2" s="62"/>
      <c r="IHI2" s="62"/>
      <c r="IHJ2" s="62"/>
      <c r="IHK2" s="62"/>
      <c r="IHL2" s="62"/>
      <c r="IHM2" s="62"/>
      <c r="IHN2" s="62"/>
      <c r="IHO2" s="62"/>
      <c r="IHP2" s="62"/>
      <c r="IHQ2" s="62"/>
      <c r="IHR2" s="62"/>
      <c r="IHS2" s="62"/>
      <c r="IHT2" s="62"/>
      <c r="IHU2" s="62"/>
      <c r="IHV2" s="62"/>
      <c r="IHW2" s="62"/>
      <c r="IHX2" s="62"/>
      <c r="IHY2" s="62"/>
      <c r="IHZ2" s="62"/>
      <c r="IIA2" s="62"/>
      <c r="IIB2" s="62"/>
      <c r="IIC2" s="62"/>
      <c r="IID2" s="62"/>
      <c r="IIE2" s="62"/>
      <c r="IIF2" s="62"/>
      <c r="IIG2" s="62"/>
      <c r="IIH2" s="62"/>
      <c r="III2" s="62"/>
      <c r="IIJ2" s="62"/>
      <c r="IIK2" s="62"/>
      <c r="IIL2" s="62"/>
      <c r="IIM2" s="62"/>
      <c r="IIN2" s="62"/>
      <c r="IIO2" s="62"/>
      <c r="IIP2" s="62"/>
      <c r="IIQ2" s="62"/>
      <c r="IIR2" s="62"/>
      <c r="IIS2" s="62"/>
      <c r="IIT2" s="62"/>
      <c r="IIU2" s="62"/>
      <c r="IIV2" s="62"/>
      <c r="IIW2" s="62"/>
      <c r="IIX2" s="62"/>
      <c r="IIY2" s="62"/>
      <c r="IIZ2" s="62"/>
      <c r="IJA2" s="62"/>
      <c r="IJB2" s="62"/>
      <c r="IJC2" s="62"/>
      <c r="IJD2" s="62"/>
      <c r="IJE2" s="62"/>
      <c r="IJF2" s="62"/>
      <c r="IJG2" s="62"/>
      <c r="IJH2" s="62"/>
      <c r="IJI2" s="62"/>
      <c r="IJJ2" s="62"/>
      <c r="IJK2" s="62"/>
      <c r="IJL2" s="62"/>
      <c r="IJM2" s="62"/>
      <c r="IJN2" s="62"/>
      <c r="IJO2" s="62"/>
      <c r="IJP2" s="62"/>
      <c r="IJQ2" s="62"/>
      <c r="IJR2" s="62"/>
      <c r="IJS2" s="62"/>
      <c r="IJT2" s="62"/>
      <c r="IJU2" s="62"/>
      <c r="IJV2" s="62"/>
      <c r="IJW2" s="62"/>
      <c r="IJX2" s="62"/>
      <c r="IJY2" s="62"/>
      <c r="IJZ2" s="62"/>
      <c r="IKA2" s="62"/>
      <c r="IKB2" s="62"/>
      <c r="IKC2" s="62"/>
      <c r="IKD2" s="62"/>
      <c r="IKE2" s="62"/>
      <c r="IKF2" s="62"/>
      <c r="IKG2" s="62"/>
      <c r="IKH2" s="62"/>
      <c r="IKI2" s="62"/>
      <c r="IKJ2" s="62"/>
      <c r="IKK2" s="62"/>
      <c r="IKL2" s="62"/>
      <c r="IKM2" s="62"/>
      <c r="IKN2" s="62"/>
      <c r="IKO2" s="62"/>
      <c r="IKP2" s="62"/>
      <c r="IKQ2" s="62"/>
      <c r="IKR2" s="62"/>
      <c r="IKS2" s="62"/>
      <c r="IKT2" s="62"/>
      <c r="IKU2" s="62"/>
      <c r="IKV2" s="62"/>
      <c r="IKW2" s="62"/>
      <c r="IKX2" s="62"/>
      <c r="IKY2" s="62"/>
      <c r="IKZ2" s="62"/>
      <c r="ILA2" s="62"/>
      <c r="ILB2" s="62"/>
      <c r="ILC2" s="62"/>
      <c r="ILD2" s="62"/>
      <c r="ILE2" s="62"/>
      <c r="ILF2" s="62"/>
      <c r="ILG2" s="62"/>
      <c r="ILH2" s="62"/>
      <c r="ILI2" s="62"/>
      <c r="ILJ2" s="62"/>
      <c r="ILK2" s="62"/>
      <c r="ILL2" s="62"/>
      <c r="ILM2" s="62"/>
      <c r="ILN2" s="62"/>
      <c r="ILO2" s="62"/>
      <c r="ILP2" s="62"/>
      <c r="ILQ2" s="62"/>
      <c r="ILR2" s="62"/>
      <c r="ILS2" s="62"/>
      <c r="ILT2" s="62"/>
      <c r="ILU2" s="62"/>
      <c r="ILV2" s="62"/>
      <c r="ILW2" s="62"/>
      <c r="ILX2" s="62"/>
      <c r="ILY2" s="62"/>
      <c r="ILZ2" s="62"/>
      <c r="IMA2" s="62"/>
      <c r="IMB2" s="62"/>
      <c r="IMC2" s="62"/>
      <c r="IMD2" s="62"/>
      <c r="IME2" s="62"/>
      <c r="IMF2" s="62"/>
      <c r="IMG2" s="62"/>
      <c r="IMH2" s="62"/>
      <c r="IMI2" s="62"/>
      <c r="IMJ2" s="62"/>
      <c r="IMK2" s="62"/>
      <c r="IML2" s="62"/>
      <c r="IMM2" s="62"/>
      <c r="IMN2" s="62"/>
      <c r="IMO2" s="62"/>
      <c r="IMP2" s="62"/>
      <c r="IMQ2" s="62"/>
      <c r="IMR2" s="62"/>
      <c r="IMS2" s="62"/>
      <c r="IMT2" s="62"/>
      <c r="IMU2" s="62"/>
      <c r="IMV2" s="62"/>
      <c r="IMW2" s="62"/>
      <c r="IMX2" s="62"/>
      <c r="IMY2" s="62"/>
      <c r="IMZ2" s="62"/>
      <c r="INA2" s="62"/>
      <c r="INB2" s="62"/>
      <c r="INC2" s="62"/>
      <c r="IND2" s="62"/>
      <c r="INE2" s="62"/>
      <c r="INF2" s="62"/>
      <c r="ING2" s="62"/>
      <c r="INH2" s="62"/>
      <c r="INI2" s="62"/>
      <c r="INJ2" s="62"/>
      <c r="INK2" s="62"/>
      <c r="INL2" s="62"/>
      <c r="INM2" s="62"/>
      <c r="INN2" s="62"/>
      <c r="INO2" s="62"/>
      <c r="INP2" s="62"/>
      <c r="INQ2" s="62"/>
      <c r="INR2" s="62"/>
      <c r="INS2" s="62"/>
      <c r="INT2" s="62"/>
      <c r="INU2" s="62"/>
      <c r="INV2" s="62"/>
      <c r="INW2" s="62"/>
      <c r="INX2" s="62"/>
      <c r="INY2" s="62"/>
      <c r="INZ2" s="62"/>
      <c r="IOA2" s="62"/>
      <c r="IOB2" s="62"/>
      <c r="IOC2" s="62"/>
      <c r="IOD2" s="62"/>
      <c r="IOE2" s="62"/>
      <c r="IOF2" s="62"/>
      <c r="IOG2" s="62"/>
      <c r="IOH2" s="62"/>
      <c r="IOI2" s="62"/>
      <c r="IOJ2" s="62"/>
      <c r="IOK2" s="62"/>
      <c r="IOL2" s="62"/>
      <c r="IOM2" s="62"/>
      <c r="ION2" s="62"/>
      <c r="IOO2" s="62"/>
      <c r="IOP2" s="62"/>
      <c r="IOQ2" s="62"/>
      <c r="IOR2" s="62"/>
      <c r="IOS2" s="62"/>
      <c r="IOT2" s="62"/>
      <c r="IOU2" s="62"/>
      <c r="IOV2" s="62"/>
      <c r="IOW2" s="62"/>
      <c r="IOX2" s="62"/>
      <c r="IOY2" s="62"/>
      <c r="IOZ2" s="62"/>
      <c r="IPA2" s="62"/>
      <c r="IPB2" s="62"/>
      <c r="IPC2" s="62"/>
      <c r="IPD2" s="62"/>
      <c r="IPE2" s="62"/>
      <c r="IPF2" s="62"/>
      <c r="IPG2" s="62"/>
      <c r="IPH2" s="62"/>
      <c r="IPI2" s="62"/>
      <c r="IPJ2" s="62"/>
      <c r="IPK2" s="62"/>
      <c r="IPL2" s="62"/>
      <c r="IPM2" s="62"/>
      <c r="IPN2" s="62"/>
      <c r="IPO2" s="62"/>
      <c r="IPP2" s="62"/>
      <c r="IPQ2" s="62"/>
      <c r="IPR2" s="62"/>
      <c r="IPS2" s="62"/>
      <c r="IPT2" s="62"/>
      <c r="IPU2" s="62"/>
      <c r="IPV2" s="62"/>
      <c r="IPW2" s="62"/>
      <c r="IPX2" s="62"/>
      <c r="IPY2" s="62"/>
      <c r="IPZ2" s="62"/>
      <c r="IQA2" s="62"/>
      <c r="IQB2" s="62"/>
      <c r="IQC2" s="62"/>
      <c r="IQD2" s="62"/>
      <c r="IQE2" s="62"/>
      <c r="IQF2" s="62"/>
      <c r="IQG2" s="62"/>
      <c r="IQH2" s="62"/>
      <c r="IQI2" s="62"/>
      <c r="IQJ2" s="62"/>
      <c r="IQK2" s="62"/>
      <c r="IQL2" s="62"/>
      <c r="IQM2" s="62"/>
      <c r="IQN2" s="62"/>
      <c r="IQO2" s="62"/>
      <c r="IQP2" s="62"/>
      <c r="IQQ2" s="62"/>
      <c r="IQR2" s="62"/>
      <c r="IQS2" s="62"/>
      <c r="IQT2" s="62"/>
      <c r="IQU2" s="62"/>
      <c r="IQV2" s="62"/>
      <c r="IQW2" s="62"/>
      <c r="IQX2" s="62"/>
      <c r="IQY2" s="62"/>
      <c r="IQZ2" s="62"/>
      <c r="IRA2" s="62"/>
      <c r="IRB2" s="62"/>
      <c r="IRC2" s="62"/>
      <c r="IRD2" s="62"/>
      <c r="IRE2" s="62"/>
      <c r="IRF2" s="62"/>
      <c r="IRG2" s="62"/>
      <c r="IRH2" s="62"/>
      <c r="IRI2" s="62"/>
      <c r="IRJ2" s="62"/>
      <c r="IRK2" s="62"/>
      <c r="IRL2" s="62"/>
      <c r="IRM2" s="62"/>
      <c r="IRN2" s="62"/>
      <c r="IRO2" s="62"/>
      <c r="IRP2" s="62"/>
      <c r="IRQ2" s="62"/>
      <c r="IRR2" s="62"/>
      <c r="IRS2" s="62"/>
      <c r="IRT2" s="62"/>
      <c r="IRU2" s="62"/>
      <c r="IRV2" s="62"/>
      <c r="IRW2" s="62"/>
      <c r="IRX2" s="62"/>
      <c r="IRY2" s="62"/>
      <c r="IRZ2" s="62"/>
      <c r="ISA2" s="62"/>
      <c r="ISB2" s="62"/>
      <c r="ISC2" s="62"/>
      <c r="ISD2" s="62"/>
      <c r="ISE2" s="62"/>
      <c r="ISF2" s="62"/>
      <c r="ISG2" s="62"/>
      <c r="ISH2" s="62"/>
      <c r="ISI2" s="62"/>
      <c r="ISJ2" s="62"/>
      <c r="ISK2" s="62"/>
      <c r="ISL2" s="62"/>
      <c r="ISM2" s="62"/>
      <c r="ISN2" s="62"/>
      <c r="ISO2" s="62"/>
      <c r="ISP2" s="62"/>
      <c r="ISQ2" s="62"/>
      <c r="ISR2" s="62"/>
      <c r="ISS2" s="62"/>
      <c r="IST2" s="62"/>
      <c r="ISU2" s="62"/>
      <c r="ISV2" s="62"/>
      <c r="ISW2" s="62"/>
      <c r="ISX2" s="62"/>
      <c r="ISY2" s="62"/>
      <c r="ISZ2" s="62"/>
      <c r="ITA2" s="62"/>
      <c r="ITB2" s="62"/>
      <c r="ITC2" s="62"/>
      <c r="ITD2" s="62"/>
      <c r="ITE2" s="62"/>
      <c r="ITF2" s="62"/>
      <c r="ITG2" s="62"/>
      <c r="ITH2" s="62"/>
      <c r="ITI2" s="62"/>
      <c r="ITJ2" s="62"/>
      <c r="ITK2" s="62"/>
      <c r="ITL2" s="62"/>
      <c r="ITM2" s="62"/>
      <c r="ITN2" s="62"/>
      <c r="ITO2" s="62"/>
      <c r="ITP2" s="62"/>
      <c r="ITQ2" s="62"/>
      <c r="ITR2" s="62"/>
      <c r="ITS2" s="62"/>
      <c r="ITT2" s="62"/>
      <c r="ITU2" s="62"/>
      <c r="ITV2" s="62"/>
      <c r="ITW2" s="62"/>
      <c r="ITX2" s="62"/>
      <c r="ITY2" s="62"/>
      <c r="ITZ2" s="62"/>
      <c r="IUA2" s="62"/>
      <c r="IUB2" s="62"/>
      <c r="IUC2" s="62"/>
      <c r="IUD2" s="62"/>
      <c r="IUE2" s="62"/>
      <c r="IUF2" s="62"/>
      <c r="IUG2" s="62"/>
      <c r="IUH2" s="62"/>
      <c r="IUI2" s="62"/>
      <c r="IUJ2" s="62"/>
      <c r="IUK2" s="62"/>
      <c r="IUL2" s="62"/>
      <c r="IUM2" s="62"/>
      <c r="IUN2" s="62"/>
      <c r="IUO2" s="62"/>
      <c r="IUP2" s="62"/>
      <c r="IUQ2" s="62"/>
      <c r="IUR2" s="62"/>
      <c r="IUS2" s="62"/>
      <c r="IUT2" s="62"/>
      <c r="IUU2" s="62"/>
      <c r="IUV2" s="62"/>
      <c r="IUW2" s="62"/>
      <c r="IUX2" s="62"/>
      <c r="IUY2" s="62"/>
      <c r="IUZ2" s="62"/>
      <c r="IVA2" s="62"/>
      <c r="IVB2" s="62"/>
      <c r="IVC2" s="62"/>
      <c r="IVD2" s="62"/>
      <c r="IVE2" s="62"/>
      <c r="IVF2" s="62"/>
      <c r="IVG2" s="62"/>
      <c r="IVH2" s="62"/>
      <c r="IVI2" s="62"/>
      <c r="IVJ2" s="62"/>
      <c r="IVK2" s="62"/>
      <c r="IVL2" s="62"/>
      <c r="IVM2" s="62"/>
      <c r="IVN2" s="62"/>
      <c r="IVO2" s="62"/>
      <c r="IVP2" s="62"/>
      <c r="IVQ2" s="62"/>
      <c r="IVR2" s="62"/>
      <c r="IVS2" s="62"/>
      <c r="IVT2" s="62"/>
      <c r="IVU2" s="62"/>
      <c r="IVV2" s="62"/>
      <c r="IVW2" s="62"/>
      <c r="IVX2" s="62"/>
      <c r="IVY2" s="62"/>
      <c r="IVZ2" s="62"/>
      <c r="IWA2" s="62"/>
      <c r="IWB2" s="62"/>
      <c r="IWC2" s="62"/>
      <c r="IWD2" s="62"/>
      <c r="IWE2" s="62"/>
      <c r="IWF2" s="62"/>
      <c r="IWG2" s="62"/>
      <c r="IWH2" s="62"/>
      <c r="IWI2" s="62"/>
      <c r="IWJ2" s="62"/>
      <c r="IWK2" s="62"/>
      <c r="IWL2" s="62"/>
      <c r="IWM2" s="62"/>
      <c r="IWN2" s="62"/>
      <c r="IWO2" s="62"/>
      <c r="IWP2" s="62"/>
      <c r="IWQ2" s="62"/>
      <c r="IWR2" s="62"/>
      <c r="IWS2" s="62"/>
      <c r="IWT2" s="62"/>
      <c r="IWU2" s="62"/>
      <c r="IWV2" s="62"/>
      <c r="IWW2" s="62"/>
      <c r="IWX2" s="62"/>
      <c r="IWY2" s="62"/>
      <c r="IWZ2" s="62"/>
      <c r="IXA2" s="62"/>
      <c r="IXB2" s="62"/>
      <c r="IXC2" s="62"/>
      <c r="IXD2" s="62"/>
      <c r="IXE2" s="62"/>
      <c r="IXF2" s="62"/>
      <c r="IXG2" s="62"/>
      <c r="IXH2" s="62"/>
      <c r="IXI2" s="62"/>
      <c r="IXJ2" s="62"/>
      <c r="IXK2" s="62"/>
      <c r="IXL2" s="62"/>
      <c r="IXM2" s="62"/>
      <c r="IXN2" s="62"/>
      <c r="IXO2" s="62"/>
      <c r="IXP2" s="62"/>
      <c r="IXQ2" s="62"/>
      <c r="IXR2" s="62"/>
      <c r="IXS2" s="62"/>
      <c r="IXT2" s="62"/>
      <c r="IXU2" s="62"/>
      <c r="IXV2" s="62"/>
      <c r="IXW2" s="62"/>
      <c r="IXX2" s="62"/>
      <c r="IXY2" s="62"/>
      <c r="IXZ2" s="62"/>
      <c r="IYA2" s="62"/>
      <c r="IYB2" s="62"/>
      <c r="IYC2" s="62"/>
      <c r="IYD2" s="62"/>
      <c r="IYE2" s="62"/>
      <c r="IYF2" s="62"/>
      <c r="IYG2" s="62"/>
      <c r="IYH2" s="62"/>
      <c r="IYI2" s="62"/>
      <c r="IYJ2" s="62"/>
      <c r="IYK2" s="62"/>
      <c r="IYL2" s="62"/>
      <c r="IYM2" s="62"/>
      <c r="IYN2" s="62"/>
      <c r="IYO2" s="62"/>
      <c r="IYP2" s="62"/>
      <c r="IYQ2" s="62"/>
      <c r="IYR2" s="62"/>
      <c r="IYS2" s="62"/>
      <c r="IYT2" s="62"/>
      <c r="IYU2" s="62"/>
      <c r="IYV2" s="62"/>
      <c r="IYW2" s="62"/>
      <c r="IYX2" s="62"/>
      <c r="IYY2" s="62"/>
      <c r="IYZ2" s="62"/>
      <c r="IZA2" s="62"/>
      <c r="IZB2" s="62"/>
      <c r="IZC2" s="62"/>
      <c r="IZD2" s="62"/>
      <c r="IZE2" s="62"/>
      <c r="IZF2" s="62"/>
      <c r="IZG2" s="62"/>
      <c r="IZH2" s="62"/>
      <c r="IZI2" s="62"/>
      <c r="IZJ2" s="62"/>
      <c r="IZK2" s="62"/>
      <c r="IZL2" s="62"/>
      <c r="IZM2" s="62"/>
      <c r="IZN2" s="62"/>
      <c r="IZO2" s="62"/>
      <c r="IZP2" s="62"/>
      <c r="IZQ2" s="62"/>
      <c r="IZR2" s="62"/>
      <c r="IZS2" s="62"/>
      <c r="IZT2" s="62"/>
      <c r="IZU2" s="62"/>
      <c r="IZV2" s="62"/>
      <c r="IZW2" s="62"/>
      <c r="IZX2" s="62"/>
      <c r="IZY2" s="62"/>
      <c r="IZZ2" s="62"/>
      <c r="JAA2" s="62"/>
      <c r="JAB2" s="62"/>
      <c r="JAC2" s="62"/>
      <c r="JAD2" s="62"/>
      <c r="JAE2" s="62"/>
      <c r="JAF2" s="62"/>
      <c r="JAG2" s="62"/>
      <c r="JAH2" s="62"/>
      <c r="JAI2" s="62"/>
      <c r="JAJ2" s="62"/>
      <c r="JAK2" s="62"/>
      <c r="JAL2" s="62"/>
      <c r="JAM2" s="62"/>
      <c r="JAN2" s="62"/>
      <c r="JAO2" s="62"/>
      <c r="JAP2" s="62"/>
      <c r="JAQ2" s="62"/>
      <c r="JAR2" s="62"/>
      <c r="JAS2" s="62"/>
      <c r="JAT2" s="62"/>
      <c r="JAU2" s="62"/>
      <c r="JAV2" s="62"/>
      <c r="JAW2" s="62"/>
      <c r="JAX2" s="62"/>
      <c r="JAY2" s="62"/>
      <c r="JAZ2" s="62"/>
      <c r="JBA2" s="62"/>
      <c r="JBB2" s="62"/>
      <c r="JBC2" s="62"/>
      <c r="JBD2" s="62"/>
      <c r="JBE2" s="62"/>
      <c r="JBF2" s="62"/>
      <c r="JBG2" s="62"/>
      <c r="JBH2" s="62"/>
      <c r="JBI2" s="62"/>
      <c r="JBJ2" s="62"/>
      <c r="JBK2" s="62"/>
      <c r="JBL2" s="62"/>
      <c r="JBM2" s="62"/>
      <c r="JBN2" s="62"/>
      <c r="JBO2" s="62"/>
      <c r="JBP2" s="62"/>
      <c r="JBQ2" s="62"/>
      <c r="JBR2" s="62"/>
      <c r="JBS2" s="62"/>
      <c r="JBT2" s="62"/>
      <c r="JBU2" s="62"/>
      <c r="JBV2" s="62"/>
      <c r="JBW2" s="62"/>
      <c r="JBX2" s="62"/>
      <c r="JBY2" s="62"/>
      <c r="JBZ2" s="62"/>
      <c r="JCA2" s="62"/>
      <c r="JCB2" s="62"/>
      <c r="JCC2" s="62"/>
      <c r="JCD2" s="62"/>
      <c r="JCE2" s="62"/>
      <c r="JCF2" s="62"/>
      <c r="JCG2" s="62"/>
      <c r="JCH2" s="62"/>
      <c r="JCI2" s="62"/>
      <c r="JCJ2" s="62"/>
      <c r="JCK2" s="62"/>
      <c r="JCL2" s="62"/>
      <c r="JCM2" s="62"/>
      <c r="JCN2" s="62"/>
      <c r="JCO2" s="62"/>
      <c r="JCP2" s="62"/>
      <c r="JCQ2" s="62"/>
      <c r="JCR2" s="62"/>
      <c r="JCS2" s="62"/>
      <c r="JCT2" s="62"/>
      <c r="JCU2" s="62"/>
      <c r="JCV2" s="62"/>
      <c r="JCW2" s="62"/>
      <c r="JCX2" s="62"/>
      <c r="JCY2" s="62"/>
      <c r="JCZ2" s="62"/>
      <c r="JDA2" s="62"/>
      <c r="JDB2" s="62"/>
      <c r="JDC2" s="62"/>
      <c r="JDD2" s="62"/>
      <c r="JDE2" s="62"/>
      <c r="JDF2" s="62"/>
      <c r="JDG2" s="62"/>
      <c r="JDH2" s="62"/>
      <c r="JDI2" s="62"/>
      <c r="JDJ2" s="62"/>
      <c r="JDK2" s="62"/>
      <c r="JDL2" s="62"/>
      <c r="JDM2" s="62"/>
      <c r="JDN2" s="62"/>
      <c r="JDO2" s="62"/>
      <c r="JDP2" s="62"/>
      <c r="JDQ2" s="62"/>
      <c r="JDR2" s="62"/>
      <c r="JDS2" s="62"/>
      <c r="JDT2" s="62"/>
      <c r="JDU2" s="62"/>
      <c r="JDV2" s="62"/>
      <c r="JDW2" s="62"/>
      <c r="JDX2" s="62"/>
      <c r="JDY2" s="62"/>
      <c r="JDZ2" s="62"/>
      <c r="JEA2" s="62"/>
      <c r="JEB2" s="62"/>
      <c r="JEC2" s="62"/>
      <c r="JED2" s="62"/>
      <c r="JEE2" s="62"/>
      <c r="JEF2" s="62"/>
      <c r="JEG2" s="62"/>
      <c r="JEH2" s="62"/>
      <c r="JEI2" s="62"/>
      <c r="JEJ2" s="62"/>
      <c r="JEK2" s="62"/>
      <c r="JEL2" s="62"/>
      <c r="JEM2" s="62"/>
      <c r="JEN2" s="62"/>
      <c r="JEO2" s="62"/>
      <c r="JEP2" s="62"/>
      <c r="JEQ2" s="62"/>
      <c r="JER2" s="62"/>
      <c r="JES2" s="62"/>
      <c r="JET2" s="62"/>
      <c r="JEU2" s="62"/>
      <c r="JEV2" s="62"/>
      <c r="JEW2" s="62"/>
      <c r="JEX2" s="62"/>
      <c r="JEY2" s="62"/>
      <c r="JEZ2" s="62"/>
      <c r="JFA2" s="62"/>
      <c r="JFB2" s="62"/>
      <c r="JFC2" s="62"/>
      <c r="JFD2" s="62"/>
      <c r="JFE2" s="62"/>
      <c r="JFF2" s="62"/>
      <c r="JFG2" s="62"/>
      <c r="JFH2" s="62"/>
      <c r="JFI2" s="62"/>
      <c r="JFJ2" s="62"/>
      <c r="JFK2" s="62"/>
      <c r="JFL2" s="62"/>
      <c r="JFM2" s="62"/>
      <c r="JFN2" s="62"/>
      <c r="JFO2" s="62"/>
      <c r="JFP2" s="62"/>
      <c r="JFQ2" s="62"/>
      <c r="JFR2" s="62"/>
      <c r="JFS2" s="62"/>
      <c r="JFT2" s="62"/>
      <c r="JFU2" s="62"/>
      <c r="JFV2" s="62"/>
      <c r="JFW2" s="62"/>
      <c r="JFX2" s="62"/>
      <c r="JFY2" s="62"/>
      <c r="JFZ2" s="62"/>
      <c r="JGA2" s="62"/>
      <c r="JGB2" s="62"/>
      <c r="JGC2" s="62"/>
      <c r="JGD2" s="62"/>
      <c r="JGE2" s="62"/>
      <c r="JGF2" s="62"/>
      <c r="JGG2" s="62"/>
      <c r="JGH2" s="62"/>
      <c r="JGI2" s="62"/>
      <c r="JGJ2" s="62"/>
      <c r="JGK2" s="62"/>
      <c r="JGL2" s="62"/>
      <c r="JGM2" s="62"/>
      <c r="JGN2" s="62"/>
      <c r="JGO2" s="62"/>
      <c r="JGP2" s="62"/>
      <c r="JGQ2" s="62"/>
      <c r="JGR2" s="62"/>
      <c r="JGS2" s="62"/>
      <c r="JGT2" s="62"/>
      <c r="JGU2" s="62"/>
      <c r="JGV2" s="62"/>
      <c r="JGW2" s="62"/>
      <c r="JGX2" s="62"/>
      <c r="JGY2" s="62"/>
      <c r="JGZ2" s="62"/>
      <c r="JHA2" s="62"/>
      <c r="JHB2" s="62"/>
      <c r="JHC2" s="62"/>
      <c r="JHD2" s="62"/>
      <c r="JHE2" s="62"/>
      <c r="JHF2" s="62"/>
      <c r="JHG2" s="62"/>
      <c r="JHH2" s="62"/>
      <c r="JHI2" s="62"/>
      <c r="JHJ2" s="62"/>
      <c r="JHK2" s="62"/>
      <c r="JHL2" s="62"/>
      <c r="JHM2" s="62"/>
      <c r="JHN2" s="62"/>
      <c r="JHO2" s="62"/>
      <c r="JHP2" s="62"/>
      <c r="JHQ2" s="62"/>
      <c r="JHR2" s="62"/>
      <c r="JHS2" s="62"/>
      <c r="JHT2" s="62"/>
      <c r="JHU2" s="62"/>
      <c r="JHV2" s="62"/>
      <c r="JHW2" s="62"/>
      <c r="JHX2" s="62"/>
      <c r="JHY2" s="62"/>
      <c r="JHZ2" s="62"/>
      <c r="JIA2" s="62"/>
      <c r="JIB2" s="62"/>
      <c r="JIC2" s="62"/>
      <c r="JID2" s="62"/>
      <c r="JIE2" s="62"/>
      <c r="JIF2" s="62"/>
      <c r="JIG2" s="62"/>
      <c r="JIH2" s="62"/>
      <c r="JII2" s="62"/>
      <c r="JIJ2" s="62"/>
      <c r="JIK2" s="62"/>
      <c r="JIL2" s="62"/>
      <c r="JIM2" s="62"/>
      <c r="JIN2" s="62"/>
      <c r="JIO2" s="62"/>
      <c r="JIP2" s="62"/>
      <c r="JIQ2" s="62"/>
      <c r="JIR2" s="62"/>
      <c r="JIS2" s="62"/>
      <c r="JIT2" s="62"/>
      <c r="JIU2" s="62"/>
      <c r="JIV2" s="62"/>
      <c r="JIW2" s="62"/>
      <c r="JIX2" s="62"/>
      <c r="JIY2" s="62"/>
      <c r="JIZ2" s="62"/>
      <c r="JJA2" s="62"/>
      <c r="JJB2" s="62"/>
      <c r="JJC2" s="62"/>
      <c r="JJD2" s="62"/>
      <c r="JJE2" s="62"/>
      <c r="JJF2" s="62"/>
      <c r="JJG2" s="62"/>
      <c r="JJH2" s="62"/>
      <c r="JJI2" s="62"/>
      <c r="JJJ2" s="62"/>
      <c r="JJK2" s="62"/>
      <c r="JJL2" s="62"/>
      <c r="JJM2" s="62"/>
      <c r="JJN2" s="62"/>
      <c r="JJO2" s="62"/>
      <c r="JJP2" s="62"/>
      <c r="JJQ2" s="62"/>
      <c r="JJR2" s="62"/>
      <c r="JJS2" s="62"/>
      <c r="JJT2" s="62"/>
      <c r="JJU2" s="62"/>
      <c r="JJV2" s="62"/>
      <c r="JJW2" s="62"/>
      <c r="JJX2" s="62"/>
      <c r="JJY2" s="62"/>
      <c r="JJZ2" s="62"/>
      <c r="JKA2" s="62"/>
      <c r="JKB2" s="62"/>
      <c r="JKC2" s="62"/>
      <c r="JKD2" s="62"/>
      <c r="JKE2" s="62"/>
      <c r="JKF2" s="62"/>
      <c r="JKG2" s="62"/>
      <c r="JKH2" s="62"/>
      <c r="JKI2" s="62"/>
      <c r="JKJ2" s="62"/>
      <c r="JKK2" s="62"/>
      <c r="JKL2" s="62"/>
      <c r="JKM2" s="62"/>
      <c r="JKN2" s="62"/>
      <c r="JKO2" s="62"/>
      <c r="JKP2" s="62"/>
      <c r="JKQ2" s="62"/>
      <c r="JKR2" s="62"/>
      <c r="JKS2" s="62"/>
      <c r="JKT2" s="62"/>
      <c r="JKU2" s="62"/>
      <c r="JKV2" s="62"/>
      <c r="JKW2" s="62"/>
      <c r="JKX2" s="62"/>
      <c r="JKY2" s="62"/>
      <c r="JKZ2" s="62"/>
      <c r="JLA2" s="62"/>
      <c r="JLB2" s="62"/>
      <c r="JLC2" s="62"/>
      <c r="JLD2" s="62"/>
      <c r="JLE2" s="62"/>
      <c r="JLF2" s="62"/>
      <c r="JLG2" s="62"/>
      <c r="JLH2" s="62"/>
      <c r="JLI2" s="62"/>
      <c r="JLJ2" s="62"/>
      <c r="JLK2" s="62"/>
      <c r="JLL2" s="62"/>
      <c r="JLM2" s="62"/>
      <c r="JLN2" s="62"/>
      <c r="JLO2" s="62"/>
      <c r="JLP2" s="62"/>
      <c r="JLQ2" s="62"/>
      <c r="JLR2" s="62"/>
      <c r="JLS2" s="62"/>
      <c r="JLT2" s="62"/>
      <c r="JLU2" s="62"/>
      <c r="JLV2" s="62"/>
      <c r="JLW2" s="62"/>
      <c r="JLX2" s="62"/>
      <c r="JLY2" s="62"/>
      <c r="JLZ2" s="62"/>
      <c r="JMA2" s="62"/>
      <c r="JMB2" s="62"/>
      <c r="JMC2" s="62"/>
      <c r="JMD2" s="62"/>
      <c r="JME2" s="62"/>
      <c r="JMF2" s="62"/>
      <c r="JMG2" s="62"/>
      <c r="JMH2" s="62"/>
      <c r="JMI2" s="62"/>
      <c r="JMJ2" s="62"/>
      <c r="JMK2" s="62"/>
      <c r="JML2" s="62"/>
      <c r="JMM2" s="62"/>
      <c r="JMN2" s="62"/>
      <c r="JMO2" s="62"/>
      <c r="JMP2" s="62"/>
      <c r="JMQ2" s="62"/>
      <c r="JMR2" s="62"/>
      <c r="JMS2" s="62"/>
      <c r="JMT2" s="62"/>
      <c r="JMU2" s="62"/>
      <c r="JMV2" s="62"/>
      <c r="JMW2" s="62"/>
      <c r="JMX2" s="62"/>
      <c r="JMY2" s="62"/>
      <c r="JMZ2" s="62"/>
      <c r="JNA2" s="62"/>
      <c r="JNB2" s="62"/>
      <c r="JNC2" s="62"/>
      <c r="JND2" s="62"/>
      <c r="JNE2" s="62"/>
      <c r="JNF2" s="62"/>
      <c r="JNG2" s="62"/>
      <c r="JNH2" s="62"/>
      <c r="JNI2" s="62"/>
      <c r="JNJ2" s="62"/>
      <c r="JNK2" s="62"/>
      <c r="JNL2" s="62"/>
      <c r="JNM2" s="62"/>
      <c r="JNN2" s="62"/>
      <c r="JNO2" s="62"/>
      <c r="JNP2" s="62"/>
      <c r="JNQ2" s="62"/>
      <c r="JNR2" s="62"/>
      <c r="JNS2" s="62"/>
      <c r="JNT2" s="62"/>
      <c r="JNU2" s="62"/>
      <c r="JNV2" s="62"/>
      <c r="JNW2" s="62"/>
      <c r="JNX2" s="62"/>
      <c r="JNY2" s="62"/>
      <c r="JNZ2" s="62"/>
      <c r="JOA2" s="62"/>
      <c r="JOB2" s="62"/>
      <c r="JOC2" s="62"/>
      <c r="JOD2" s="62"/>
      <c r="JOE2" s="62"/>
      <c r="JOF2" s="62"/>
      <c r="JOG2" s="62"/>
      <c r="JOH2" s="62"/>
      <c r="JOI2" s="62"/>
      <c r="JOJ2" s="62"/>
      <c r="JOK2" s="62"/>
      <c r="JOL2" s="62"/>
      <c r="JOM2" s="62"/>
      <c r="JON2" s="62"/>
      <c r="JOO2" s="62"/>
      <c r="JOP2" s="62"/>
      <c r="JOQ2" s="62"/>
      <c r="JOR2" s="62"/>
      <c r="JOS2" s="62"/>
      <c r="JOT2" s="62"/>
      <c r="JOU2" s="62"/>
      <c r="JOV2" s="62"/>
      <c r="JOW2" s="62"/>
      <c r="JOX2" s="62"/>
      <c r="JOY2" s="62"/>
      <c r="JOZ2" s="62"/>
      <c r="JPA2" s="62"/>
      <c r="JPB2" s="62"/>
      <c r="JPC2" s="62"/>
      <c r="JPD2" s="62"/>
      <c r="JPE2" s="62"/>
      <c r="JPF2" s="62"/>
      <c r="JPG2" s="62"/>
      <c r="JPH2" s="62"/>
      <c r="JPI2" s="62"/>
      <c r="JPJ2" s="62"/>
      <c r="JPK2" s="62"/>
      <c r="JPL2" s="62"/>
      <c r="JPM2" s="62"/>
      <c r="JPN2" s="62"/>
      <c r="JPO2" s="62"/>
      <c r="JPP2" s="62"/>
      <c r="JPQ2" s="62"/>
      <c r="JPR2" s="62"/>
      <c r="JPS2" s="62"/>
      <c r="JPT2" s="62"/>
      <c r="JPU2" s="62"/>
      <c r="JPV2" s="62"/>
      <c r="JPW2" s="62"/>
      <c r="JPX2" s="62"/>
      <c r="JPY2" s="62"/>
      <c r="JPZ2" s="62"/>
      <c r="JQA2" s="62"/>
      <c r="JQB2" s="62"/>
      <c r="JQC2" s="62"/>
      <c r="JQD2" s="62"/>
      <c r="JQE2" s="62"/>
      <c r="JQF2" s="62"/>
      <c r="JQG2" s="62"/>
      <c r="JQH2" s="62"/>
      <c r="JQI2" s="62"/>
      <c r="JQJ2" s="62"/>
      <c r="JQK2" s="62"/>
      <c r="JQL2" s="62"/>
      <c r="JQM2" s="62"/>
      <c r="JQN2" s="62"/>
      <c r="JQO2" s="62"/>
      <c r="JQP2" s="62"/>
      <c r="JQQ2" s="62"/>
      <c r="JQR2" s="62"/>
      <c r="JQS2" s="62"/>
      <c r="JQT2" s="62"/>
      <c r="JQU2" s="62"/>
      <c r="JQV2" s="62"/>
      <c r="JQW2" s="62"/>
      <c r="JQX2" s="62"/>
      <c r="JQY2" s="62"/>
      <c r="JQZ2" s="62"/>
      <c r="JRA2" s="62"/>
      <c r="JRB2" s="62"/>
      <c r="JRC2" s="62"/>
      <c r="JRD2" s="62"/>
      <c r="JRE2" s="62"/>
      <c r="JRF2" s="62"/>
      <c r="JRG2" s="62"/>
      <c r="JRH2" s="62"/>
      <c r="JRI2" s="62"/>
      <c r="JRJ2" s="62"/>
      <c r="JRK2" s="62"/>
      <c r="JRL2" s="62"/>
      <c r="JRM2" s="62"/>
      <c r="JRN2" s="62"/>
      <c r="JRO2" s="62"/>
      <c r="JRP2" s="62"/>
      <c r="JRQ2" s="62"/>
      <c r="JRR2" s="62"/>
      <c r="JRS2" s="62"/>
      <c r="JRT2" s="62"/>
      <c r="JRU2" s="62"/>
      <c r="JRV2" s="62"/>
      <c r="JRW2" s="62"/>
      <c r="JRX2" s="62"/>
      <c r="JRY2" s="62"/>
      <c r="JRZ2" s="62"/>
      <c r="JSA2" s="62"/>
      <c r="JSB2" s="62"/>
      <c r="JSC2" s="62"/>
      <c r="JSD2" s="62"/>
      <c r="JSE2" s="62"/>
      <c r="JSF2" s="62"/>
      <c r="JSG2" s="62"/>
      <c r="JSH2" s="62"/>
      <c r="JSI2" s="62"/>
      <c r="JSJ2" s="62"/>
      <c r="JSK2" s="62"/>
      <c r="JSL2" s="62"/>
      <c r="JSM2" s="62"/>
      <c r="JSN2" s="62"/>
      <c r="JSO2" s="62"/>
      <c r="JSP2" s="62"/>
      <c r="JSQ2" s="62"/>
      <c r="JSR2" s="62"/>
      <c r="JSS2" s="62"/>
      <c r="JST2" s="62"/>
      <c r="JSU2" s="62"/>
      <c r="JSV2" s="62"/>
      <c r="JSW2" s="62"/>
      <c r="JSX2" s="62"/>
      <c r="JSY2" s="62"/>
      <c r="JSZ2" s="62"/>
      <c r="JTA2" s="62"/>
      <c r="JTB2" s="62"/>
      <c r="JTC2" s="62"/>
      <c r="JTD2" s="62"/>
      <c r="JTE2" s="62"/>
      <c r="JTF2" s="62"/>
      <c r="JTG2" s="62"/>
      <c r="JTH2" s="62"/>
      <c r="JTI2" s="62"/>
      <c r="JTJ2" s="62"/>
      <c r="JTK2" s="62"/>
      <c r="JTL2" s="62"/>
      <c r="JTM2" s="62"/>
      <c r="JTN2" s="62"/>
      <c r="JTO2" s="62"/>
      <c r="JTP2" s="62"/>
      <c r="JTQ2" s="62"/>
      <c r="JTR2" s="62"/>
      <c r="JTS2" s="62"/>
      <c r="JTT2" s="62"/>
      <c r="JTU2" s="62"/>
      <c r="JTV2" s="62"/>
      <c r="JTW2" s="62"/>
      <c r="JTX2" s="62"/>
      <c r="JTY2" s="62"/>
      <c r="JTZ2" s="62"/>
      <c r="JUA2" s="62"/>
      <c r="JUB2" s="62"/>
      <c r="JUC2" s="62"/>
      <c r="JUD2" s="62"/>
      <c r="JUE2" s="62"/>
      <c r="JUF2" s="62"/>
      <c r="JUG2" s="62"/>
      <c r="JUH2" s="62"/>
      <c r="JUI2" s="62"/>
      <c r="JUJ2" s="62"/>
      <c r="JUK2" s="62"/>
      <c r="JUL2" s="62"/>
      <c r="JUM2" s="62"/>
      <c r="JUN2" s="62"/>
      <c r="JUO2" s="62"/>
      <c r="JUP2" s="62"/>
      <c r="JUQ2" s="62"/>
      <c r="JUR2" s="62"/>
      <c r="JUS2" s="62"/>
      <c r="JUT2" s="62"/>
      <c r="JUU2" s="62"/>
      <c r="JUV2" s="62"/>
      <c r="JUW2" s="62"/>
      <c r="JUX2" s="62"/>
      <c r="JUY2" s="62"/>
      <c r="JUZ2" s="62"/>
      <c r="JVA2" s="62"/>
      <c r="JVB2" s="62"/>
      <c r="JVC2" s="62"/>
      <c r="JVD2" s="62"/>
      <c r="JVE2" s="62"/>
      <c r="JVF2" s="62"/>
      <c r="JVG2" s="62"/>
      <c r="JVH2" s="62"/>
      <c r="JVI2" s="62"/>
      <c r="JVJ2" s="62"/>
      <c r="JVK2" s="62"/>
      <c r="JVL2" s="62"/>
      <c r="JVM2" s="62"/>
      <c r="JVN2" s="62"/>
      <c r="JVO2" s="62"/>
      <c r="JVP2" s="62"/>
      <c r="JVQ2" s="62"/>
      <c r="JVR2" s="62"/>
      <c r="JVS2" s="62"/>
      <c r="JVT2" s="62"/>
      <c r="JVU2" s="62"/>
      <c r="JVV2" s="62"/>
      <c r="JVW2" s="62"/>
      <c r="JVX2" s="62"/>
      <c r="JVY2" s="62"/>
      <c r="JVZ2" s="62"/>
      <c r="JWA2" s="62"/>
      <c r="JWB2" s="62"/>
      <c r="JWC2" s="62"/>
      <c r="JWD2" s="62"/>
      <c r="JWE2" s="62"/>
      <c r="JWF2" s="62"/>
      <c r="JWG2" s="62"/>
      <c r="JWH2" s="62"/>
      <c r="JWI2" s="62"/>
      <c r="JWJ2" s="62"/>
      <c r="JWK2" s="62"/>
      <c r="JWL2" s="62"/>
      <c r="JWM2" s="62"/>
      <c r="JWN2" s="62"/>
      <c r="JWO2" s="62"/>
      <c r="JWP2" s="62"/>
      <c r="JWQ2" s="62"/>
      <c r="JWR2" s="62"/>
      <c r="JWS2" s="62"/>
      <c r="JWT2" s="62"/>
      <c r="JWU2" s="62"/>
      <c r="JWV2" s="62"/>
      <c r="JWW2" s="62"/>
      <c r="JWX2" s="62"/>
      <c r="JWY2" s="62"/>
      <c r="JWZ2" s="62"/>
      <c r="JXA2" s="62"/>
      <c r="JXB2" s="62"/>
      <c r="JXC2" s="62"/>
      <c r="JXD2" s="62"/>
      <c r="JXE2" s="62"/>
      <c r="JXF2" s="62"/>
      <c r="JXG2" s="62"/>
      <c r="JXH2" s="62"/>
      <c r="JXI2" s="62"/>
      <c r="JXJ2" s="62"/>
      <c r="JXK2" s="62"/>
      <c r="JXL2" s="62"/>
      <c r="JXM2" s="62"/>
      <c r="JXN2" s="62"/>
      <c r="JXO2" s="62"/>
      <c r="JXP2" s="62"/>
      <c r="JXQ2" s="62"/>
      <c r="JXR2" s="62"/>
      <c r="JXS2" s="62"/>
      <c r="JXT2" s="62"/>
      <c r="JXU2" s="62"/>
      <c r="JXV2" s="62"/>
      <c r="JXW2" s="62"/>
      <c r="JXX2" s="62"/>
      <c r="JXY2" s="62"/>
      <c r="JXZ2" s="62"/>
      <c r="JYA2" s="62"/>
      <c r="JYB2" s="62"/>
      <c r="JYC2" s="62"/>
      <c r="JYD2" s="62"/>
      <c r="JYE2" s="62"/>
      <c r="JYF2" s="62"/>
      <c r="JYG2" s="62"/>
      <c r="JYH2" s="62"/>
      <c r="JYI2" s="62"/>
      <c r="JYJ2" s="62"/>
      <c r="JYK2" s="62"/>
      <c r="JYL2" s="62"/>
      <c r="JYM2" s="62"/>
      <c r="JYN2" s="62"/>
      <c r="JYO2" s="62"/>
      <c r="JYP2" s="62"/>
      <c r="JYQ2" s="62"/>
      <c r="JYR2" s="62"/>
      <c r="JYS2" s="62"/>
      <c r="JYT2" s="62"/>
      <c r="JYU2" s="62"/>
      <c r="JYV2" s="62"/>
      <c r="JYW2" s="62"/>
      <c r="JYX2" s="62"/>
      <c r="JYY2" s="62"/>
      <c r="JYZ2" s="62"/>
      <c r="JZA2" s="62"/>
      <c r="JZB2" s="62"/>
      <c r="JZC2" s="62"/>
      <c r="JZD2" s="62"/>
      <c r="JZE2" s="62"/>
      <c r="JZF2" s="62"/>
      <c r="JZG2" s="62"/>
      <c r="JZH2" s="62"/>
      <c r="JZI2" s="62"/>
      <c r="JZJ2" s="62"/>
      <c r="JZK2" s="62"/>
      <c r="JZL2" s="62"/>
      <c r="JZM2" s="62"/>
      <c r="JZN2" s="62"/>
      <c r="JZO2" s="62"/>
      <c r="JZP2" s="62"/>
      <c r="JZQ2" s="62"/>
      <c r="JZR2" s="62"/>
      <c r="JZS2" s="62"/>
      <c r="JZT2" s="62"/>
      <c r="JZU2" s="62"/>
      <c r="JZV2" s="62"/>
      <c r="JZW2" s="62"/>
      <c r="JZX2" s="62"/>
      <c r="JZY2" s="62"/>
      <c r="JZZ2" s="62"/>
      <c r="KAA2" s="62"/>
      <c r="KAB2" s="62"/>
      <c r="KAC2" s="62"/>
      <c r="KAD2" s="62"/>
      <c r="KAE2" s="62"/>
      <c r="KAF2" s="62"/>
      <c r="KAG2" s="62"/>
      <c r="KAH2" s="62"/>
      <c r="KAI2" s="62"/>
      <c r="KAJ2" s="62"/>
      <c r="KAK2" s="62"/>
      <c r="KAL2" s="62"/>
      <c r="KAM2" s="62"/>
      <c r="KAN2" s="62"/>
      <c r="KAO2" s="62"/>
      <c r="KAP2" s="62"/>
      <c r="KAQ2" s="62"/>
      <c r="KAR2" s="62"/>
      <c r="KAS2" s="62"/>
      <c r="KAT2" s="62"/>
      <c r="KAU2" s="62"/>
      <c r="KAV2" s="62"/>
      <c r="KAW2" s="62"/>
      <c r="KAX2" s="62"/>
      <c r="KAY2" s="62"/>
      <c r="KAZ2" s="62"/>
      <c r="KBA2" s="62"/>
      <c r="KBB2" s="62"/>
      <c r="KBC2" s="62"/>
      <c r="KBD2" s="62"/>
      <c r="KBE2" s="62"/>
      <c r="KBF2" s="62"/>
      <c r="KBG2" s="62"/>
      <c r="KBH2" s="62"/>
      <c r="KBI2" s="62"/>
      <c r="KBJ2" s="62"/>
      <c r="KBK2" s="62"/>
      <c r="KBL2" s="62"/>
      <c r="KBM2" s="62"/>
      <c r="KBN2" s="62"/>
      <c r="KBO2" s="62"/>
      <c r="KBP2" s="62"/>
      <c r="KBQ2" s="62"/>
      <c r="KBR2" s="62"/>
      <c r="KBS2" s="62"/>
      <c r="KBT2" s="62"/>
      <c r="KBU2" s="62"/>
      <c r="KBV2" s="62"/>
      <c r="KBW2" s="62"/>
      <c r="KBX2" s="62"/>
      <c r="KBY2" s="62"/>
      <c r="KBZ2" s="62"/>
      <c r="KCA2" s="62"/>
      <c r="KCB2" s="62"/>
      <c r="KCC2" s="62"/>
      <c r="KCD2" s="62"/>
      <c r="KCE2" s="62"/>
      <c r="KCF2" s="62"/>
      <c r="KCG2" s="62"/>
      <c r="KCH2" s="62"/>
      <c r="KCI2" s="62"/>
      <c r="KCJ2" s="62"/>
      <c r="KCK2" s="62"/>
      <c r="KCL2" s="62"/>
      <c r="KCM2" s="62"/>
      <c r="KCN2" s="62"/>
      <c r="KCO2" s="62"/>
      <c r="KCP2" s="62"/>
      <c r="KCQ2" s="62"/>
      <c r="KCR2" s="62"/>
      <c r="KCS2" s="62"/>
      <c r="KCT2" s="62"/>
      <c r="KCU2" s="62"/>
      <c r="KCV2" s="62"/>
      <c r="KCW2" s="62"/>
      <c r="KCX2" s="62"/>
      <c r="KCY2" s="62"/>
      <c r="KCZ2" s="62"/>
      <c r="KDA2" s="62"/>
      <c r="KDB2" s="62"/>
      <c r="KDC2" s="62"/>
      <c r="KDD2" s="62"/>
      <c r="KDE2" s="62"/>
      <c r="KDF2" s="62"/>
      <c r="KDG2" s="62"/>
      <c r="KDH2" s="62"/>
      <c r="KDI2" s="62"/>
      <c r="KDJ2" s="62"/>
      <c r="KDK2" s="62"/>
      <c r="KDL2" s="62"/>
      <c r="KDM2" s="62"/>
      <c r="KDN2" s="62"/>
      <c r="KDO2" s="62"/>
      <c r="KDP2" s="62"/>
      <c r="KDQ2" s="62"/>
      <c r="KDR2" s="62"/>
      <c r="KDS2" s="62"/>
      <c r="KDT2" s="62"/>
      <c r="KDU2" s="62"/>
      <c r="KDV2" s="62"/>
      <c r="KDW2" s="62"/>
      <c r="KDX2" s="62"/>
      <c r="KDY2" s="62"/>
      <c r="KDZ2" s="62"/>
      <c r="KEA2" s="62"/>
      <c r="KEB2" s="62"/>
      <c r="KEC2" s="62"/>
      <c r="KED2" s="62"/>
      <c r="KEE2" s="62"/>
      <c r="KEF2" s="62"/>
      <c r="KEG2" s="62"/>
      <c r="KEH2" s="62"/>
      <c r="KEI2" s="62"/>
      <c r="KEJ2" s="62"/>
      <c r="KEK2" s="62"/>
      <c r="KEL2" s="62"/>
      <c r="KEM2" s="62"/>
      <c r="KEN2" s="62"/>
      <c r="KEO2" s="62"/>
      <c r="KEP2" s="62"/>
      <c r="KEQ2" s="62"/>
      <c r="KER2" s="62"/>
      <c r="KES2" s="62"/>
      <c r="KET2" s="62"/>
      <c r="KEU2" s="62"/>
      <c r="KEV2" s="62"/>
      <c r="KEW2" s="62"/>
      <c r="KEX2" s="62"/>
      <c r="KEY2" s="62"/>
      <c r="KEZ2" s="62"/>
      <c r="KFA2" s="62"/>
      <c r="KFB2" s="62"/>
      <c r="KFC2" s="62"/>
      <c r="KFD2" s="62"/>
      <c r="KFE2" s="62"/>
      <c r="KFF2" s="62"/>
      <c r="KFG2" s="62"/>
      <c r="KFH2" s="62"/>
      <c r="KFI2" s="62"/>
      <c r="KFJ2" s="62"/>
      <c r="KFK2" s="62"/>
      <c r="KFL2" s="62"/>
      <c r="KFM2" s="62"/>
      <c r="KFN2" s="62"/>
      <c r="KFO2" s="62"/>
      <c r="KFP2" s="62"/>
      <c r="KFQ2" s="62"/>
      <c r="KFR2" s="62"/>
      <c r="KFS2" s="62"/>
      <c r="KFT2" s="62"/>
      <c r="KFU2" s="62"/>
      <c r="KFV2" s="62"/>
      <c r="KFW2" s="62"/>
      <c r="KFX2" s="62"/>
      <c r="KFY2" s="62"/>
      <c r="KFZ2" s="62"/>
      <c r="KGA2" s="62"/>
      <c r="KGB2" s="62"/>
      <c r="KGC2" s="62"/>
      <c r="KGD2" s="62"/>
      <c r="KGE2" s="62"/>
      <c r="KGF2" s="62"/>
      <c r="KGG2" s="62"/>
      <c r="KGH2" s="62"/>
      <c r="KGI2" s="62"/>
      <c r="KGJ2" s="62"/>
      <c r="KGK2" s="62"/>
      <c r="KGL2" s="62"/>
      <c r="KGM2" s="62"/>
      <c r="KGN2" s="62"/>
      <c r="KGO2" s="62"/>
      <c r="KGP2" s="62"/>
      <c r="KGQ2" s="62"/>
      <c r="KGR2" s="62"/>
      <c r="KGS2" s="62"/>
      <c r="KGT2" s="62"/>
      <c r="KGU2" s="62"/>
      <c r="KGV2" s="62"/>
      <c r="KGW2" s="62"/>
      <c r="KGX2" s="62"/>
      <c r="KGY2" s="62"/>
      <c r="KGZ2" s="62"/>
      <c r="KHA2" s="62"/>
      <c r="KHB2" s="62"/>
      <c r="KHC2" s="62"/>
      <c r="KHD2" s="62"/>
      <c r="KHE2" s="62"/>
      <c r="KHF2" s="62"/>
      <c r="KHG2" s="62"/>
      <c r="KHH2" s="62"/>
      <c r="KHI2" s="62"/>
      <c r="KHJ2" s="62"/>
      <c r="KHK2" s="62"/>
      <c r="KHL2" s="62"/>
      <c r="KHM2" s="62"/>
      <c r="KHN2" s="62"/>
      <c r="KHO2" s="62"/>
      <c r="KHP2" s="62"/>
      <c r="KHQ2" s="62"/>
      <c r="KHR2" s="62"/>
      <c r="KHS2" s="62"/>
      <c r="KHT2" s="62"/>
      <c r="KHU2" s="62"/>
      <c r="KHV2" s="62"/>
      <c r="KHW2" s="62"/>
      <c r="KHX2" s="62"/>
      <c r="KHY2" s="62"/>
      <c r="KHZ2" s="62"/>
      <c r="KIA2" s="62"/>
      <c r="KIB2" s="62"/>
      <c r="KIC2" s="62"/>
      <c r="KID2" s="62"/>
      <c r="KIE2" s="62"/>
      <c r="KIF2" s="62"/>
      <c r="KIG2" s="62"/>
      <c r="KIH2" s="62"/>
      <c r="KII2" s="62"/>
      <c r="KIJ2" s="62"/>
      <c r="KIK2" s="62"/>
      <c r="KIL2" s="62"/>
      <c r="KIM2" s="62"/>
      <c r="KIN2" s="62"/>
      <c r="KIO2" s="62"/>
      <c r="KIP2" s="62"/>
      <c r="KIQ2" s="62"/>
      <c r="KIR2" s="62"/>
      <c r="KIS2" s="62"/>
      <c r="KIT2" s="62"/>
      <c r="KIU2" s="62"/>
      <c r="KIV2" s="62"/>
      <c r="KIW2" s="62"/>
      <c r="KIX2" s="62"/>
      <c r="KIY2" s="62"/>
      <c r="KIZ2" s="62"/>
      <c r="KJA2" s="62"/>
      <c r="KJB2" s="62"/>
      <c r="KJC2" s="62"/>
      <c r="KJD2" s="62"/>
      <c r="KJE2" s="62"/>
      <c r="KJF2" s="62"/>
      <c r="KJG2" s="62"/>
      <c r="KJH2" s="62"/>
      <c r="KJI2" s="62"/>
      <c r="KJJ2" s="62"/>
      <c r="KJK2" s="62"/>
      <c r="KJL2" s="62"/>
      <c r="KJM2" s="62"/>
      <c r="KJN2" s="62"/>
      <c r="KJO2" s="62"/>
      <c r="KJP2" s="62"/>
      <c r="KJQ2" s="62"/>
      <c r="KJR2" s="62"/>
      <c r="KJS2" s="62"/>
      <c r="KJT2" s="62"/>
      <c r="KJU2" s="62"/>
      <c r="KJV2" s="62"/>
      <c r="KJW2" s="62"/>
      <c r="KJX2" s="62"/>
      <c r="KJY2" s="62"/>
      <c r="KJZ2" s="62"/>
      <c r="KKA2" s="62"/>
      <c r="KKB2" s="62"/>
      <c r="KKC2" s="62"/>
      <c r="KKD2" s="62"/>
      <c r="KKE2" s="62"/>
      <c r="KKF2" s="62"/>
      <c r="KKG2" s="62"/>
      <c r="KKH2" s="62"/>
      <c r="KKI2" s="62"/>
      <c r="KKJ2" s="62"/>
      <c r="KKK2" s="62"/>
      <c r="KKL2" s="62"/>
      <c r="KKM2" s="62"/>
      <c r="KKN2" s="62"/>
      <c r="KKO2" s="62"/>
      <c r="KKP2" s="62"/>
      <c r="KKQ2" s="62"/>
      <c r="KKR2" s="62"/>
      <c r="KKS2" s="62"/>
      <c r="KKT2" s="62"/>
      <c r="KKU2" s="62"/>
      <c r="KKV2" s="62"/>
      <c r="KKW2" s="62"/>
      <c r="KKX2" s="62"/>
      <c r="KKY2" s="62"/>
      <c r="KKZ2" s="62"/>
      <c r="KLA2" s="62"/>
      <c r="KLB2" s="62"/>
      <c r="KLC2" s="62"/>
      <c r="KLD2" s="62"/>
      <c r="KLE2" s="62"/>
      <c r="KLF2" s="62"/>
      <c r="KLG2" s="62"/>
      <c r="KLH2" s="62"/>
      <c r="KLI2" s="62"/>
      <c r="KLJ2" s="62"/>
      <c r="KLK2" s="62"/>
      <c r="KLL2" s="62"/>
      <c r="KLM2" s="62"/>
      <c r="KLN2" s="62"/>
      <c r="KLO2" s="62"/>
      <c r="KLP2" s="62"/>
      <c r="KLQ2" s="62"/>
      <c r="KLR2" s="62"/>
      <c r="KLS2" s="62"/>
      <c r="KLT2" s="62"/>
      <c r="KLU2" s="62"/>
      <c r="KLV2" s="62"/>
      <c r="KLW2" s="62"/>
      <c r="KLX2" s="62"/>
      <c r="KLY2" s="62"/>
      <c r="KLZ2" s="62"/>
      <c r="KMA2" s="62"/>
      <c r="KMB2" s="62"/>
      <c r="KMC2" s="62"/>
      <c r="KMD2" s="62"/>
      <c r="KME2" s="62"/>
      <c r="KMF2" s="62"/>
      <c r="KMG2" s="62"/>
      <c r="KMH2" s="62"/>
      <c r="KMI2" s="62"/>
      <c r="KMJ2" s="62"/>
      <c r="KMK2" s="62"/>
      <c r="KML2" s="62"/>
      <c r="KMM2" s="62"/>
      <c r="KMN2" s="62"/>
      <c r="KMO2" s="62"/>
      <c r="KMP2" s="62"/>
      <c r="KMQ2" s="62"/>
      <c r="KMR2" s="62"/>
      <c r="KMS2" s="62"/>
      <c r="KMT2" s="62"/>
      <c r="KMU2" s="62"/>
      <c r="KMV2" s="62"/>
      <c r="KMW2" s="62"/>
      <c r="KMX2" s="62"/>
      <c r="KMY2" s="62"/>
      <c r="KMZ2" s="62"/>
      <c r="KNA2" s="62"/>
      <c r="KNB2" s="62"/>
      <c r="KNC2" s="62"/>
      <c r="KND2" s="62"/>
      <c r="KNE2" s="62"/>
      <c r="KNF2" s="62"/>
      <c r="KNG2" s="62"/>
      <c r="KNH2" s="62"/>
      <c r="KNI2" s="62"/>
      <c r="KNJ2" s="62"/>
      <c r="KNK2" s="62"/>
      <c r="KNL2" s="62"/>
      <c r="KNM2" s="62"/>
      <c r="KNN2" s="62"/>
      <c r="KNO2" s="62"/>
      <c r="KNP2" s="62"/>
      <c r="KNQ2" s="62"/>
      <c r="KNR2" s="62"/>
      <c r="KNS2" s="62"/>
      <c r="KNT2" s="62"/>
      <c r="KNU2" s="62"/>
      <c r="KNV2" s="62"/>
      <c r="KNW2" s="62"/>
      <c r="KNX2" s="62"/>
      <c r="KNY2" s="62"/>
      <c r="KNZ2" s="62"/>
      <c r="KOA2" s="62"/>
      <c r="KOB2" s="62"/>
      <c r="KOC2" s="62"/>
      <c r="KOD2" s="62"/>
      <c r="KOE2" s="62"/>
      <c r="KOF2" s="62"/>
      <c r="KOG2" s="62"/>
      <c r="KOH2" s="62"/>
      <c r="KOI2" s="62"/>
      <c r="KOJ2" s="62"/>
      <c r="KOK2" s="62"/>
      <c r="KOL2" s="62"/>
      <c r="KOM2" s="62"/>
      <c r="KON2" s="62"/>
      <c r="KOO2" s="62"/>
      <c r="KOP2" s="62"/>
      <c r="KOQ2" s="62"/>
      <c r="KOR2" s="62"/>
      <c r="KOS2" s="62"/>
      <c r="KOT2" s="62"/>
      <c r="KOU2" s="62"/>
      <c r="KOV2" s="62"/>
      <c r="KOW2" s="62"/>
      <c r="KOX2" s="62"/>
      <c r="KOY2" s="62"/>
      <c r="KOZ2" s="62"/>
      <c r="KPA2" s="62"/>
      <c r="KPB2" s="62"/>
      <c r="KPC2" s="62"/>
      <c r="KPD2" s="62"/>
      <c r="KPE2" s="62"/>
      <c r="KPF2" s="62"/>
      <c r="KPG2" s="62"/>
      <c r="KPH2" s="62"/>
      <c r="KPI2" s="62"/>
      <c r="KPJ2" s="62"/>
      <c r="KPK2" s="62"/>
      <c r="KPL2" s="62"/>
      <c r="KPM2" s="62"/>
      <c r="KPN2" s="62"/>
      <c r="KPO2" s="62"/>
      <c r="KPP2" s="62"/>
      <c r="KPQ2" s="62"/>
      <c r="KPR2" s="62"/>
      <c r="KPS2" s="62"/>
      <c r="KPT2" s="62"/>
      <c r="KPU2" s="62"/>
      <c r="KPV2" s="62"/>
      <c r="KPW2" s="62"/>
      <c r="KPX2" s="62"/>
      <c r="KPY2" s="62"/>
      <c r="KPZ2" s="62"/>
      <c r="KQA2" s="62"/>
      <c r="KQB2" s="62"/>
      <c r="KQC2" s="62"/>
      <c r="KQD2" s="62"/>
      <c r="KQE2" s="62"/>
      <c r="KQF2" s="62"/>
      <c r="KQG2" s="62"/>
      <c r="KQH2" s="62"/>
      <c r="KQI2" s="62"/>
      <c r="KQJ2" s="62"/>
      <c r="KQK2" s="62"/>
      <c r="KQL2" s="62"/>
      <c r="KQM2" s="62"/>
      <c r="KQN2" s="62"/>
      <c r="KQO2" s="62"/>
      <c r="KQP2" s="62"/>
      <c r="KQQ2" s="62"/>
      <c r="KQR2" s="62"/>
      <c r="KQS2" s="62"/>
      <c r="KQT2" s="62"/>
      <c r="KQU2" s="62"/>
      <c r="KQV2" s="62"/>
      <c r="KQW2" s="62"/>
      <c r="KQX2" s="62"/>
      <c r="KQY2" s="62"/>
      <c r="KQZ2" s="62"/>
      <c r="KRA2" s="62"/>
      <c r="KRB2" s="62"/>
      <c r="KRC2" s="62"/>
      <c r="KRD2" s="62"/>
      <c r="KRE2" s="62"/>
      <c r="KRF2" s="62"/>
      <c r="KRG2" s="62"/>
      <c r="KRH2" s="62"/>
      <c r="KRI2" s="62"/>
      <c r="KRJ2" s="62"/>
      <c r="KRK2" s="62"/>
      <c r="KRL2" s="62"/>
      <c r="KRM2" s="62"/>
      <c r="KRN2" s="62"/>
      <c r="KRO2" s="62"/>
      <c r="KRP2" s="62"/>
      <c r="KRQ2" s="62"/>
      <c r="KRR2" s="62"/>
      <c r="KRS2" s="62"/>
      <c r="KRT2" s="62"/>
      <c r="KRU2" s="62"/>
      <c r="KRV2" s="62"/>
      <c r="KRW2" s="62"/>
      <c r="KRX2" s="62"/>
      <c r="KRY2" s="62"/>
      <c r="KRZ2" s="62"/>
      <c r="KSA2" s="62"/>
      <c r="KSB2" s="62"/>
      <c r="KSC2" s="62"/>
      <c r="KSD2" s="62"/>
      <c r="KSE2" s="62"/>
      <c r="KSF2" s="62"/>
      <c r="KSG2" s="62"/>
      <c r="KSH2" s="62"/>
      <c r="KSI2" s="62"/>
      <c r="KSJ2" s="62"/>
      <c r="KSK2" s="62"/>
      <c r="KSL2" s="62"/>
      <c r="KSM2" s="62"/>
      <c r="KSN2" s="62"/>
      <c r="KSO2" s="62"/>
      <c r="KSP2" s="62"/>
      <c r="KSQ2" s="62"/>
      <c r="KSR2" s="62"/>
      <c r="KSS2" s="62"/>
      <c r="KST2" s="62"/>
      <c r="KSU2" s="62"/>
      <c r="KSV2" s="62"/>
      <c r="KSW2" s="62"/>
      <c r="KSX2" s="62"/>
      <c r="KSY2" s="62"/>
      <c r="KSZ2" s="62"/>
      <c r="KTA2" s="62"/>
      <c r="KTB2" s="62"/>
      <c r="KTC2" s="62"/>
      <c r="KTD2" s="62"/>
      <c r="KTE2" s="62"/>
      <c r="KTF2" s="62"/>
      <c r="KTG2" s="62"/>
      <c r="KTH2" s="62"/>
      <c r="KTI2" s="62"/>
      <c r="KTJ2" s="62"/>
      <c r="KTK2" s="62"/>
      <c r="KTL2" s="62"/>
      <c r="KTM2" s="62"/>
      <c r="KTN2" s="62"/>
      <c r="KTO2" s="62"/>
      <c r="KTP2" s="62"/>
      <c r="KTQ2" s="62"/>
      <c r="KTR2" s="62"/>
      <c r="KTS2" s="62"/>
      <c r="KTT2" s="62"/>
      <c r="KTU2" s="62"/>
      <c r="KTV2" s="62"/>
      <c r="KTW2" s="62"/>
      <c r="KTX2" s="62"/>
      <c r="KTY2" s="62"/>
      <c r="KTZ2" s="62"/>
      <c r="KUA2" s="62"/>
      <c r="KUB2" s="62"/>
      <c r="KUC2" s="62"/>
      <c r="KUD2" s="62"/>
      <c r="KUE2" s="62"/>
      <c r="KUF2" s="62"/>
      <c r="KUG2" s="62"/>
      <c r="KUH2" s="62"/>
      <c r="KUI2" s="62"/>
      <c r="KUJ2" s="62"/>
      <c r="KUK2" s="62"/>
      <c r="KUL2" s="62"/>
      <c r="KUM2" s="62"/>
      <c r="KUN2" s="62"/>
      <c r="KUO2" s="62"/>
      <c r="KUP2" s="62"/>
      <c r="KUQ2" s="62"/>
      <c r="KUR2" s="62"/>
      <c r="KUS2" s="62"/>
      <c r="KUT2" s="62"/>
      <c r="KUU2" s="62"/>
      <c r="KUV2" s="62"/>
      <c r="KUW2" s="62"/>
      <c r="KUX2" s="62"/>
      <c r="KUY2" s="62"/>
      <c r="KUZ2" s="62"/>
      <c r="KVA2" s="62"/>
      <c r="KVB2" s="62"/>
      <c r="KVC2" s="62"/>
      <c r="KVD2" s="62"/>
      <c r="KVE2" s="62"/>
      <c r="KVF2" s="62"/>
      <c r="KVG2" s="62"/>
      <c r="KVH2" s="62"/>
      <c r="KVI2" s="62"/>
      <c r="KVJ2" s="62"/>
      <c r="KVK2" s="62"/>
      <c r="KVL2" s="62"/>
      <c r="KVM2" s="62"/>
      <c r="KVN2" s="62"/>
      <c r="KVO2" s="62"/>
      <c r="KVP2" s="62"/>
      <c r="KVQ2" s="62"/>
      <c r="KVR2" s="62"/>
      <c r="KVS2" s="62"/>
      <c r="KVT2" s="62"/>
      <c r="KVU2" s="62"/>
      <c r="KVV2" s="62"/>
      <c r="KVW2" s="62"/>
      <c r="KVX2" s="62"/>
      <c r="KVY2" s="62"/>
      <c r="KVZ2" s="62"/>
      <c r="KWA2" s="62"/>
      <c r="KWB2" s="62"/>
      <c r="KWC2" s="62"/>
      <c r="KWD2" s="62"/>
      <c r="KWE2" s="62"/>
      <c r="KWF2" s="62"/>
      <c r="KWG2" s="62"/>
      <c r="KWH2" s="62"/>
      <c r="KWI2" s="62"/>
      <c r="KWJ2" s="62"/>
      <c r="KWK2" s="62"/>
      <c r="KWL2" s="62"/>
      <c r="KWM2" s="62"/>
      <c r="KWN2" s="62"/>
      <c r="KWO2" s="62"/>
      <c r="KWP2" s="62"/>
      <c r="KWQ2" s="62"/>
      <c r="KWR2" s="62"/>
      <c r="KWS2" s="62"/>
      <c r="KWT2" s="62"/>
      <c r="KWU2" s="62"/>
      <c r="KWV2" s="62"/>
      <c r="KWW2" s="62"/>
      <c r="KWX2" s="62"/>
      <c r="KWY2" s="62"/>
      <c r="KWZ2" s="62"/>
      <c r="KXA2" s="62"/>
      <c r="KXB2" s="62"/>
      <c r="KXC2" s="62"/>
      <c r="KXD2" s="62"/>
      <c r="KXE2" s="62"/>
      <c r="KXF2" s="62"/>
      <c r="KXG2" s="62"/>
      <c r="KXH2" s="62"/>
      <c r="KXI2" s="62"/>
      <c r="KXJ2" s="62"/>
      <c r="KXK2" s="62"/>
      <c r="KXL2" s="62"/>
      <c r="KXM2" s="62"/>
      <c r="KXN2" s="62"/>
      <c r="KXO2" s="62"/>
      <c r="KXP2" s="62"/>
      <c r="KXQ2" s="62"/>
      <c r="KXR2" s="62"/>
      <c r="KXS2" s="62"/>
      <c r="KXT2" s="62"/>
      <c r="KXU2" s="62"/>
      <c r="KXV2" s="62"/>
      <c r="KXW2" s="62"/>
      <c r="KXX2" s="62"/>
      <c r="KXY2" s="62"/>
      <c r="KXZ2" s="62"/>
      <c r="KYA2" s="62"/>
      <c r="KYB2" s="62"/>
      <c r="KYC2" s="62"/>
      <c r="KYD2" s="62"/>
      <c r="KYE2" s="62"/>
      <c r="KYF2" s="62"/>
      <c r="KYG2" s="62"/>
      <c r="KYH2" s="62"/>
      <c r="KYI2" s="62"/>
      <c r="KYJ2" s="62"/>
      <c r="KYK2" s="62"/>
      <c r="KYL2" s="62"/>
      <c r="KYM2" s="62"/>
      <c r="KYN2" s="62"/>
      <c r="KYO2" s="62"/>
      <c r="KYP2" s="62"/>
      <c r="KYQ2" s="62"/>
      <c r="KYR2" s="62"/>
      <c r="KYS2" s="62"/>
      <c r="KYT2" s="62"/>
      <c r="KYU2" s="62"/>
      <c r="KYV2" s="62"/>
      <c r="KYW2" s="62"/>
      <c r="KYX2" s="62"/>
      <c r="KYY2" s="62"/>
      <c r="KYZ2" s="62"/>
      <c r="KZA2" s="62"/>
      <c r="KZB2" s="62"/>
      <c r="KZC2" s="62"/>
      <c r="KZD2" s="62"/>
      <c r="KZE2" s="62"/>
      <c r="KZF2" s="62"/>
      <c r="KZG2" s="62"/>
      <c r="KZH2" s="62"/>
      <c r="KZI2" s="62"/>
      <c r="KZJ2" s="62"/>
      <c r="KZK2" s="62"/>
      <c r="KZL2" s="62"/>
      <c r="KZM2" s="62"/>
      <c r="KZN2" s="62"/>
      <c r="KZO2" s="62"/>
      <c r="KZP2" s="62"/>
      <c r="KZQ2" s="62"/>
      <c r="KZR2" s="62"/>
      <c r="KZS2" s="62"/>
      <c r="KZT2" s="62"/>
      <c r="KZU2" s="62"/>
      <c r="KZV2" s="62"/>
      <c r="KZW2" s="62"/>
      <c r="KZX2" s="62"/>
      <c r="KZY2" s="62"/>
      <c r="KZZ2" s="62"/>
      <c r="LAA2" s="62"/>
      <c r="LAB2" s="62"/>
      <c r="LAC2" s="62"/>
      <c r="LAD2" s="62"/>
      <c r="LAE2" s="62"/>
      <c r="LAF2" s="62"/>
      <c r="LAG2" s="62"/>
      <c r="LAH2" s="62"/>
      <c r="LAI2" s="62"/>
      <c r="LAJ2" s="62"/>
      <c r="LAK2" s="62"/>
      <c r="LAL2" s="62"/>
      <c r="LAM2" s="62"/>
      <c r="LAN2" s="62"/>
      <c r="LAO2" s="62"/>
      <c r="LAP2" s="62"/>
      <c r="LAQ2" s="62"/>
      <c r="LAR2" s="62"/>
      <c r="LAS2" s="62"/>
      <c r="LAT2" s="62"/>
      <c r="LAU2" s="62"/>
      <c r="LAV2" s="62"/>
      <c r="LAW2" s="62"/>
      <c r="LAX2" s="62"/>
      <c r="LAY2" s="62"/>
      <c r="LAZ2" s="62"/>
      <c r="LBA2" s="62"/>
      <c r="LBB2" s="62"/>
      <c r="LBC2" s="62"/>
      <c r="LBD2" s="62"/>
      <c r="LBE2" s="62"/>
      <c r="LBF2" s="62"/>
      <c r="LBG2" s="62"/>
      <c r="LBH2" s="62"/>
      <c r="LBI2" s="62"/>
      <c r="LBJ2" s="62"/>
      <c r="LBK2" s="62"/>
      <c r="LBL2" s="62"/>
      <c r="LBM2" s="62"/>
      <c r="LBN2" s="62"/>
      <c r="LBO2" s="62"/>
      <c r="LBP2" s="62"/>
      <c r="LBQ2" s="62"/>
      <c r="LBR2" s="62"/>
      <c r="LBS2" s="62"/>
      <c r="LBT2" s="62"/>
      <c r="LBU2" s="62"/>
      <c r="LBV2" s="62"/>
      <c r="LBW2" s="62"/>
      <c r="LBX2" s="62"/>
      <c r="LBY2" s="62"/>
      <c r="LBZ2" s="62"/>
      <c r="LCA2" s="62"/>
      <c r="LCB2" s="62"/>
      <c r="LCC2" s="62"/>
      <c r="LCD2" s="62"/>
      <c r="LCE2" s="62"/>
      <c r="LCF2" s="62"/>
      <c r="LCG2" s="62"/>
      <c r="LCH2" s="62"/>
      <c r="LCI2" s="62"/>
      <c r="LCJ2" s="62"/>
      <c r="LCK2" s="62"/>
      <c r="LCL2" s="62"/>
      <c r="LCM2" s="62"/>
      <c r="LCN2" s="62"/>
      <c r="LCO2" s="62"/>
      <c r="LCP2" s="62"/>
      <c r="LCQ2" s="62"/>
      <c r="LCR2" s="62"/>
      <c r="LCS2" s="62"/>
      <c r="LCT2" s="62"/>
      <c r="LCU2" s="62"/>
      <c r="LCV2" s="62"/>
      <c r="LCW2" s="62"/>
      <c r="LCX2" s="62"/>
      <c r="LCY2" s="62"/>
      <c r="LCZ2" s="62"/>
      <c r="LDA2" s="62"/>
      <c r="LDB2" s="62"/>
      <c r="LDC2" s="62"/>
      <c r="LDD2" s="62"/>
      <c r="LDE2" s="62"/>
      <c r="LDF2" s="62"/>
      <c r="LDG2" s="62"/>
      <c r="LDH2" s="62"/>
      <c r="LDI2" s="62"/>
      <c r="LDJ2" s="62"/>
      <c r="LDK2" s="62"/>
      <c r="LDL2" s="62"/>
      <c r="LDM2" s="62"/>
      <c r="LDN2" s="62"/>
      <c r="LDO2" s="62"/>
      <c r="LDP2" s="62"/>
      <c r="LDQ2" s="62"/>
      <c r="LDR2" s="62"/>
      <c r="LDS2" s="62"/>
      <c r="LDT2" s="62"/>
      <c r="LDU2" s="62"/>
      <c r="LDV2" s="62"/>
      <c r="LDW2" s="62"/>
      <c r="LDX2" s="62"/>
      <c r="LDY2" s="62"/>
      <c r="LDZ2" s="62"/>
      <c r="LEA2" s="62"/>
      <c r="LEB2" s="62"/>
      <c r="LEC2" s="62"/>
      <c r="LED2" s="62"/>
      <c r="LEE2" s="62"/>
      <c r="LEF2" s="62"/>
      <c r="LEG2" s="62"/>
      <c r="LEH2" s="62"/>
      <c r="LEI2" s="62"/>
      <c r="LEJ2" s="62"/>
      <c r="LEK2" s="62"/>
      <c r="LEL2" s="62"/>
      <c r="LEM2" s="62"/>
      <c r="LEN2" s="62"/>
      <c r="LEO2" s="62"/>
      <c r="LEP2" s="62"/>
      <c r="LEQ2" s="62"/>
      <c r="LER2" s="62"/>
      <c r="LES2" s="62"/>
      <c r="LET2" s="62"/>
      <c r="LEU2" s="62"/>
      <c r="LEV2" s="62"/>
      <c r="LEW2" s="62"/>
      <c r="LEX2" s="62"/>
      <c r="LEY2" s="62"/>
      <c r="LEZ2" s="62"/>
      <c r="LFA2" s="62"/>
      <c r="LFB2" s="62"/>
      <c r="LFC2" s="62"/>
      <c r="LFD2" s="62"/>
      <c r="LFE2" s="62"/>
      <c r="LFF2" s="62"/>
      <c r="LFG2" s="62"/>
      <c r="LFH2" s="62"/>
      <c r="LFI2" s="62"/>
      <c r="LFJ2" s="62"/>
      <c r="LFK2" s="62"/>
      <c r="LFL2" s="62"/>
      <c r="LFM2" s="62"/>
      <c r="LFN2" s="62"/>
      <c r="LFO2" s="62"/>
      <c r="LFP2" s="62"/>
      <c r="LFQ2" s="62"/>
      <c r="LFR2" s="62"/>
      <c r="LFS2" s="62"/>
      <c r="LFT2" s="62"/>
      <c r="LFU2" s="62"/>
      <c r="LFV2" s="62"/>
      <c r="LFW2" s="62"/>
      <c r="LFX2" s="62"/>
      <c r="LFY2" s="62"/>
      <c r="LFZ2" s="62"/>
      <c r="LGA2" s="62"/>
      <c r="LGB2" s="62"/>
      <c r="LGC2" s="62"/>
      <c r="LGD2" s="62"/>
      <c r="LGE2" s="62"/>
      <c r="LGF2" s="62"/>
      <c r="LGG2" s="62"/>
      <c r="LGH2" s="62"/>
      <c r="LGI2" s="62"/>
      <c r="LGJ2" s="62"/>
      <c r="LGK2" s="62"/>
      <c r="LGL2" s="62"/>
      <c r="LGM2" s="62"/>
      <c r="LGN2" s="62"/>
      <c r="LGO2" s="62"/>
      <c r="LGP2" s="62"/>
      <c r="LGQ2" s="62"/>
      <c r="LGR2" s="62"/>
      <c r="LGS2" s="62"/>
      <c r="LGT2" s="62"/>
      <c r="LGU2" s="62"/>
      <c r="LGV2" s="62"/>
      <c r="LGW2" s="62"/>
      <c r="LGX2" s="62"/>
      <c r="LGY2" s="62"/>
      <c r="LGZ2" s="62"/>
      <c r="LHA2" s="62"/>
      <c r="LHB2" s="62"/>
      <c r="LHC2" s="62"/>
      <c r="LHD2" s="62"/>
      <c r="LHE2" s="62"/>
      <c r="LHF2" s="62"/>
      <c r="LHG2" s="62"/>
      <c r="LHH2" s="62"/>
      <c r="LHI2" s="62"/>
      <c r="LHJ2" s="62"/>
      <c r="LHK2" s="62"/>
      <c r="LHL2" s="62"/>
      <c r="LHM2" s="62"/>
      <c r="LHN2" s="62"/>
      <c r="LHO2" s="62"/>
      <c r="LHP2" s="62"/>
      <c r="LHQ2" s="62"/>
      <c r="LHR2" s="62"/>
      <c r="LHS2" s="62"/>
      <c r="LHT2" s="62"/>
      <c r="LHU2" s="62"/>
      <c r="LHV2" s="62"/>
      <c r="LHW2" s="62"/>
      <c r="LHX2" s="62"/>
      <c r="LHY2" s="62"/>
      <c r="LHZ2" s="62"/>
      <c r="LIA2" s="62"/>
      <c r="LIB2" s="62"/>
      <c r="LIC2" s="62"/>
      <c r="LID2" s="62"/>
      <c r="LIE2" s="62"/>
      <c r="LIF2" s="62"/>
      <c r="LIG2" s="62"/>
      <c r="LIH2" s="62"/>
      <c r="LII2" s="62"/>
      <c r="LIJ2" s="62"/>
      <c r="LIK2" s="62"/>
      <c r="LIL2" s="62"/>
      <c r="LIM2" s="62"/>
      <c r="LIN2" s="62"/>
      <c r="LIO2" s="62"/>
      <c r="LIP2" s="62"/>
      <c r="LIQ2" s="62"/>
      <c r="LIR2" s="62"/>
      <c r="LIS2" s="62"/>
      <c r="LIT2" s="62"/>
      <c r="LIU2" s="62"/>
      <c r="LIV2" s="62"/>
      <c r="LIW2" s="62"/>
      <c r="LIX2" s="62"/>
      <c r="LIY2" s="62"/>
      <c r="LIZ2" s="62"/>
      <c r="LJA2" s="62"/>
      <c r="LJB2" s="62"/>
      <c r="LJC2" s="62"/>
      <c r="LJD2" s="62"/>
      <c r="LJE2" s="62"/>
      <c r="LJF2" s="62"/>
      <c r="LJG2" s="62"/>
      <c r="LJH2" s="62"/>
      <c r="LJI2" s="62"/>
      <c r="LJJ2" s="62"/>
      <c r="LJK2" s="62"/>
      <c r="LJL2" s="62"/>
      <c r="LJM2" s="62"/>
      <c r="LJN2" s="62"/>
      <c r="LJO2" s="62"/>
      <c r="LJP2" s="62"/>
      <c r="LJQ2" s="62"/>
      <c r="LJR2" s="62"/>
      <c r="LJS2" s="62"/>
      <c r="LJT2" s="62"/>
      <c r="LJU2" s="62"/>
      <c r="LJV2" s="62"/>
      <c r="LJW2" s="62"/>
      <c r="LJX2" s="62"/>
      <c r="LJY2" s="62"/>
      <c r="LJZ2" s="62"/>
      <c r="LKA2" s="62"/>
      <c r="LKB2" s="62"/>
      <c r="LKC2" s="62"/>
      <c r="LKD2" s="62"/>
      <c r="LKE2" s="62"/>
      <c r="LKF2" s="62"/>
      <c r="LKG2" s="62"/>
      <c r="LKH2" s="62"/>
      <c r="LKI2" s="62"/>
      <c r="LKJ2" s="62"/>
      <c r="LKK2" s="62"/>
      <c r="LKL2" s="62"/>
      <c r="LKM2" s="62"/>
      <c r="LKN2" s="62"/>
      <c r="LKO2" s="62"/>
      <c r="LKP2" s="62"/>
      <c r="LKQ2" s="62"/>
      <c r="LKR2" s="62"/>
      <c r="LKS2" s="62"/>
      <c r="LKT2" s="62"/>
      <c r="LKU2" s="62"/>
      <c r="LKV2" s="62"/>
      <c r="LKW2" s="62"/>
      <c r="LKX2" s="62"/>
      <c r="LKY2" s="62"/>
      <c r="LKZ2" s="62"/>
      <c r="LLA2" s="62"/>
      <c r="LLB2" s="62"/>
      <c r="LLC2" s="62"/>
      <c r="LLD2" s="62"/>
      <c r="LLE2" s="62"/>
      <c r="LLF2" s="62"/>
      <c r="LLG2" s="62"/>
      <c r="LLH2" s="62"/>
      <c r="LLI2" s="62"/>
      <c r="LLJ2" s="62"/>
      <c r="LLK2" s="62"/>
      <c r="LLL2" s="62"/>
      <c r="LLM2" s="62"/>
      <c r="LLN2" s="62"/>
      <c r="LLO2" s="62"/>
      <c r="LLP2" s="62"/>
      <c r="LLQ2" s="62"/>
      <c r="LLR2" s="62"/>
      <c r="LLS2" s="62"/>
      <c r="LLT2" s="62"/>
      <c r="LLU2" s="62"/>
      <c r="LLV2" s="62"/>
      <c r="LLW2" s="62"/>
      <c r="LLX2" s="62"/>
      <c r="LLY2" s="62"/>
      <c r="LLZ2" s="62"/>
      <c r="LMA2" s="62"/>
      <c r="LMB2" s="62"/>
      <c r="LMC2" s="62"/>
      <c r="LMD2" s="62"/>
      <c r="LME2" s="62"/>
      <c r="LMF2" s="62"/>
      <c r="LMG2" s="62"/>
      <c r="LMH2" s="62"/>
      <c r="LMI2" s="62"/>
      <c r="LMJ2" s="62"/>
      <c r="LMK2" s="62"/>
      <c r="LML2" s="62"/>
      <c r="LMM2" s="62"/>
      <c r="LMN2" s="62"/>
      <c r="LMO2" s="62"/>
      <c r="LMP2" s="62"/>
      <c r="LMQ2" s="62"/>
      <c r="LMR2" s="62"/>
      <c r="LMS2" s="62"/>
      <c r="LMT2" s="62"/>
      <c r="LMU2" s="62"/>
      <c r="LMV2" s="62"/>
      <c r="LMW2" s="62"/>
      <c r="LMX2" s="62"/>
      <c r="LMY2" s="62"/>
      <c r="LMZ2" s="62"/>
      <c r="LNA2" s="62"/>
      <c r="LNB2" s="62"/>
      <c r="LNC2" s="62"/>
      <c r="LND2" s="62"/>
      <c r="LNE2" s="62"/>
      <c r="LNF2" s="62"/>
      <c r="LNG2" s="62"/>
      <c r="LNH2" s="62"/>
      <c r="LNI2" s="62"/>
      <c r="LNJ2" s="62"/>
      <c r="LNK2" s="62"/>
      <c r="LNL2" s="62"/>
      <c r="LNM2" s="62"/>
      <c r="LNN2" s="62"/>
      <c r="LNO2" s="62"/>
      <c r="LNP2" s="62"/>
      <c r="LNQ2" s="62"/>
      <c r="LNR2" s="62"/>
      <c r="LNS2" s="62"/>
      <c r="LNT2" s="62"/>
      <c r="LNU2" s="62"/>
      <c r="LNV2" s="62"/>
      <c r="LNW2" s="62"/>
      <c r="LNX2" s="62"/>
      <c r="LNY2" s="62"/>
      <c r="LNZ2" s="62"/>
      <c r="LOA2" s="62"/>
      <c r="LOB2" s="62"/>
      <c r="LOC2" s="62"/>
      <c r="LOD2" s="62"/>
      <c r="LOE2" s="62"/>
      <c r="LOF2" s="62"/>
      <c r="LOG2" s="62"/>
      <c r="LOH2" s="62"/>
      <c r="LOI2" s="62"/>
      <c r="LOJ2" s="62"/>
      <c r="LOK2" s="62"/>
      <c r="LOL2" s="62"/>
      <c r="LOM2" s="62"/>
      <c r="LON2" s="62"/>
      <c r="LOO2" s="62"/>
      <c r="LOP2" s="62"/>
      <c r="LOQ2" s="62"/>
      <c r="LOR2" s="62"/>
      <c r="LOS2" s="62"/>
      <c r="LOT2" s="62"/>
      <c r="LOU2" s="62"/>
      <c r="LOV2" s="62"/>
      <c r="LOW2" s="62"/>
      <c r="LOX2" s="62"/>
      <c r="LOY2" s="62"/>
      <c r="LOZ2" s="62"/>
      <c r="LPA2" s="62"/>
      <c r="LPB2" s="62"/>
      <c r="LPC2" s="62"/>
      <c r="LPD2" s="62"/>
      <c r="LPE2" s="62"/>
      <c r="LPF2" s="62"/>
      <c r="LPG2" s="62"/>
      <c r="LPH2" s="62"/>
      <c r="LPI2" s="62"/>
      <c r="LPJ2" s="62"/>
      <c r="LPK2" s="62"/>
      <c r="LPL2" s="62"/>
      <c r="LPM2" s="62"/>
      <c r="LPN2" s="62"/>
      <c r="LPO2" s="62"/>
      <c r="LPP2" s="62"/>
      <c r="LPQ2" s="62"/>
      <c r="LPR2" s="62"/>
      <c r="LPS2" s="62"/>
      <c r="LPT2" s="62"/>
      <c r="LPU2" s="62"/>
      <c r="LPV2" s="62"/>
      <c r="LPW2" s="62"/>
      <c r="LPX2" s="62"/>
      <c r="LPY2" s="62"/>
      <c r="LPZ2" s="62"/>
      <c r="LQA2" s="62"/>
      <c r="LQB2" s="62"/>
      <c r="LQC2" s="62"/>
      <c r="LQD2" s="62"/>
      <c r="LQE2" s="62"/>
      <c r="LQF2" s="62"/>
      <c r="LQG2" s="62"/>
      <c r="LQH2" s="62"/>
      <c r="LQI2" s="62"/>
      <c r="LQJ2" s="62"/>
      <c r="LQK2" s="62"/>
      <c r="LQL2" s="62"/>
      <c r="LQM2" s="62"/>
      <c r="LQN2" s="62"/>
      <c r="LQO2" s="62"/>
      <c r="LQP2" s="62"/>
      <c r="LQQ2" s="62"/>
      <c r="LQR2" s="62"/>
      <c r="LQS2" s="62"/>
      <c r="LQT2" s="62"/>
      <c r="LQU2" s="62"/>
      <c r="LQV2" s="62"/>
      <c r="LQW2" s="62"/>
      <c r="LQX2" s="62"/>
      <c r="LQY2" s="62"/>
      <c r="LQZ2" s="62"/>
      <c r="LRA2" s="62"/>
      <c r="LRB2" s="62"/>
      <c r="LRC2" s="62"/>
      <c r="LRD2" s="62"/>
      <c r="LRE2" s="62"/>
      <c r="LRF2" s="62"/>
      <c r="LRG2" s="62"/>
      <c r="LRH2" s="62"/>
      <c r="LRI2" s="62"/>
      <c r="LRJ2" s="62"/>
      <c r="LRK2" s="62"/>
      <c r="LRL2" s="62"/>
      <c r="LRM2" s="62"/>
      <c r="LRN2" s="62"/>
      <c r="LRO2" s="62"/>
      <c r="LRP2" s="62"/>
      <c r="LRQ2" s="62"/>
      <c r="LRR2" s="62"/>
      <c r="LRS2" s="62"/>
      <c r="LRT2" s="62"/>
      <c r="LRU2" s="62"/>
      <c r="LRV2" s="62"/>
      <c r="LRW2" s="62"/>
      <c r="LRX2" s="62"/>
      <c r="LRY2" s="62"/>
      <c r="LRZ2" s="62"/>
      <c r="LSA2" s="62"/>
      <c r="LSB2" s="62"/>
      <c r="LSC2" s="62"/>
      <c r="LSD2" s="62"/>
      <c r="LSE2" s="62"/>
      <c r="LSF2" s="62"/>
      <c r="LSG2" s="62"/>
      <c r="LSH2" s="62"/>
      <c r="LSI2" s="62"/>
      <c r="LSJ2" s="62"/>
      <c r="LSK2" s="62"/>
      <c r="LSL2" s="62"/>
      <c r="LSM2" s="62"/>
      <c r="LSN2" s="62"/>
      <c r="LSO2" s="62"/>
      <c r="LSP2" s="62"/>
      <c r="LSQ2" s="62"/>
      <c r="LSR2" s="62"/>
      <c r="LSS2" s="62"/>
      <c r="LST2" s="62"/>
      <c r="LSU2" s="62"/>
      <c r="LSV2" s="62"/>
      <c r="LSW2" s="62"/>
      <c r="LSX2" s="62"/>
      <c r="LSY2" s="62"/>
      <c r="LSZ2" s="62"/>
      <c r="LTA2" s="62"/>
      <c r="LTB2" s="62"/>
      <c r="LTC2" s="62"/>
      <c r="LTD2" s="62"/>
      <c r="LTE2" s="62"/>
      <c r="LTF2" s="62"/>
      <c r="LTG2" s="62"/>
      <c r="LTH2" s="62"/>
      <c r="LTI2" s="62"/>
      <c r="LTJ2" s="62"/>
      <c r="LTK2" s="62"/>
      <c r="LTL2" s="62"/>
      <c r="LTM2" s="62"/>
      <c r="LTN2" s="62"/>
      <c r="LTO2" s="62"/>
      <c r="LTP2" s="62"/>
      <c r="LTQ2" s="62"/>
      <c r="LTR2" s="62"/>
      <c r="LTS2" s="62"/>
      <c r="LTT2" s="62"/>
      <c r="LTU2" s="62"/>
      <c r="LTV2" s="62"/>
      <c r="LTW2" s="62"/>
      <c r="LTX2" s="62"/>
      <c r="LTY2" s="62"/>
      <c r="LTZ2" s="62"/>
      <c r="LUA2" s="62"/>
      <c r="LUB2" s="62"/>
      <c r="LUC2" s="62"/>
      <c r="LUD2" s="62"/>
      <c r="LUE2" s="62"/>
      <c r="LUF2" s="62"/>
      <c r="LUG2" s="62"/>
      <c r="LUH2" s="62"/>
      <c r="LUI2" s="62"/>
      <c r="LUJ2" s="62"/>
      <c r="LUK2" s="62"/>
      <c r="LUL2" s="62"/>
      <c r="LUM2" s="62"/>
      <c r="LUN2" s="62"/>
      <c r="LUO2" s="62"/>
      <c r="LUP2" s="62"/>
      <c r="LUQ2" s="62"/>
      <c r="LUR2" s="62"/>
      <c r="LUS2" s="62"/>
      <c r="LUT2" s="62"/>
      <c r="LUU2" s="62"/>
      <c r="LUV2" s="62"/>
      <c r="LUW2" s="62"/>
      <c r="LUX2" s="62"/>
      <c r="LUY2" s="62"/>
      <c r="LUZ2" s="62"/>
      <c r="LVA2" s="62"/>
      <c r="LVB2" s="62"/>
      <c r="LVC2" s="62"/>
      <c r="LVD2" s="62"/>
      <c r="LVE2" s="62"/>
      <c r="LVF2" s="62"/>
      <c r="LVG2" s="62"/>
      <c r="LVH2" s="62"/>
      <c r="LVI2" s="62"/>
      <c r="LVJ2" s="62"/>
      <c r="LVK2" s="62"/>
      <c r="LVL2" s="62"/>
      <c r="LVM2" s="62"/>
      <c r="LVN2" s="62"/>
      <c r="LVO2" s="62"/>
      <c r="LVP2" s="62"/>
      <c r="LVQ2" s="62"/>
      <c r="LVR2" s="62"/>
      <c r="LVS2" s="62"/>
      <c r="LVT2" s="62"/>
      <c r="LVU2" s="62"/>
      <c r="LVV2" s="62"/>
      <c r="LVW2" s="62"/>
      <c r="LVX2" s="62"/>
      <c r="LVY2" s="62"/>
      <c r="LVZ2" s="62"/>
      <c r="LWA2" s="62"/>
      <c r="LWB2" s="62"/>
      <c r="LWC2" s="62"/>
      <c r="LWD2" s="62"/>
      <c r="LWE2" s="62"/>
      <c r="LWF2" s="62"/>
      <c r="LWG2" s="62"/>
      <c r="LWH2" s="62"/>
      <c r="LWI2" s="62"/>
      <c r="LWJ2" s="62"/>
      <c r="LWK2" s="62"/>
      <c r="LWL2" s="62"/>
      <c r="LWM2" s="62"/>
      <c r="LWN2" s="62"/>
      <c r="LWO2" s="62"/>
      <c r="LWP2" s="62"/>
      <c r="LWQ2" s="62"/>
      <c r="LWR2" s="62"/>
      <c r="LWS2" s="62"/>
      <c r="LWT2" s="62"/>
      <c r="LWU2" s="62"/>
      <c r="LWV2" s="62"/>
      <c r="LWW2" s="62"/>
      <c r="LWX2" s="62"/>
      <c r="LWY2" s="62"/>
      <c r="LWZ2" s="62"/>
      <c r="LXA2" s="62"/>
      <c r="LXB2" s="62"/>
      <c r="LXC2" s="62"/>
      <c r="LXD2" s="62"/>
      <c r="LXE2" s="62"/>
      <c r="LXF2" s="62"/>
      <c r="LXG2" s="62"/>
      <c r="LXH2" s="62"/>
      <c r="LXI2" s="62"/>
      <c r="LXJ2" s="62"/>
      <c r="LXK2" s="62"/>
      <c r="LXL2" s="62"/>
      <c r="LXM2" s="62"/>
      <c r="LXN2" s="62"/>
      <c r="LXO2" s="62"/>
      <c r="LXP2" s="62"/>
      <c r="LXQ2" s="62"/>
      <c r="LXR2" s="62"/>
      <c r="LXS2" s="62"/>
      <c r="LXT2" s="62"/>
      <c r="LXU2" s="62"/>
      <c r="LXV2" s="62"/>
      <c r="LXW2" s="62"/>
      <c r="LXX2" s="62"/>
      <c r="LXY2" s="62"/>
      <c r="LXZ2" s="62"/>
      <c r="LYA2" s="62"/>
      <c r="LYB2" s="62"/>
      <c r="LYC2" s="62"/>
      <c r="LYD2" s="62"/>
      <c r="LYE2" s="62"/>
      <c r="LYF2" s="62"/>
      <c r="LYG2" s="62"/>
      <c r="LYH2" s="62"/>
      <c r="LYI2" s="62"/>
      <c r="LYJ2" s="62"/>
      <c r="LYK2" s="62"/>
      <c r="LYL2" s="62"/>
      <c r="LYM2" s="62"/>
      <c r="LYN2" s="62"/>
      <c r="LYO2" s="62"/>
      <c r="LYP2" s="62"/>
      <c r="LYQ2" s="62"/>
      <c r="LYR2" s="62"/>
      <c r="LYS2" s="62"/>
      <c r="LYT2" s="62"/>
      <c r="LYU2" s="62"/>
      <c r="LYV2" s="62"/>
      <c r="LYW2" s="62"/>
      <c r="LYX2" s="62"/>
      <c r="LYY2" s="62"/>
      <c r="LYZ2" s="62"/>
      <c r="LZA2" s="62"/>
      <c r="LZB2" s="62"/>
      <c r="LZC2" s="62"/>
      <c r="LZD2" s="62"/>
      <c r="LZE2" s="62"/>
      <c r="LZF2" s="62"/>
      <c r="LZG2" s="62"/>
      <c r="LZH2" s="62"/>
      <c r="LZI2" s="62"/>
      <c r="LZJ2" s="62"/>
      <c r="LZK2" s="62"/>
      <c r="LZL2" s="62"/>
      <c r="LZM2" s="62"/>
      <c r="LZN2" s="62"/>
      <c r="LZO2" s="62"/>
      <c r="LZP2" s="62"/>
      <c r="LZQ2" s="62"/>
      <c r="LZR2" s="62"/>
      <c r="LZS2" s="62"/>
      <c r="LZT2" s="62"/>
      <c r="LZU2" s="62"/>
      <c r="LZV2" s="62"/>
      <c r="LZW2" s="62"/>
      <c r="LZX2" s="62"/>
      <c r="LZY2" s="62"/>
      <c r="LZZ2" s="62"/>
      <c r="MAA2" s="62"/>
      <c r="MAB2" s="62"/>
      <c r="MAC2" s="62"/>
      <c r="MAD2" s="62"/>
      <c r="MAE2" s="62"/>
      <c r="MAF2" s="62"/>
      <c r="MAG2" s="62"/>
      <c r="MAH2" s="62"/>
      <c r="MAI2" s="62"/>
      <c r="MAJ2" s="62"/>
      <c r="MAK2" s="62"/>
      <c r="MAL2" s="62"/>
      <c r="MAM2" s="62"/>
      <c r="MAN2" s="62"/>
      <c r="MAO2" s="62"/>
      <c r="MAP2" s="62"/>
      <c r="MAQ2" s="62"/>
      <c r="MAR2" s="62"/>
      <c r="MAS2" s="62"/>
      <c r="MAT2" s="62"/>
      <c r="MAU2" s="62"/>
      <c r="MAV2" s="62"/>
      <c r="MAW2" s="62"/>
      <c r="MAX2" s="62"/>
      <c r="MAY2" s="62"/>
      <c r="MAZ2" s="62"/>
      <c r="MBA2" s="62"/>
      <c r="MBB2" s="62"/>
      <c r="MBC2" s="62"/>
      <c r="MBD2" s="62"/>
      <c r="MBE2" s="62"/>
      <c r="MBF2" s="62"/>
      <c r="MBG2" s="62"/>
      <c r="MBH2" s="62"/>
      <c r="MBI2" s="62"/>
      <c r="MBJ2" s="62"/>
      <c r="MBK2" s="62"/>
      <c r="MBL2" s="62"/>
      <c r="MBM2" s="62"/>
      <c r="MBN2" s="62"/>
      <c r="MBO2" s="62"/>
      <c r="MBP2" s="62"/>
      <c r="MBQ2" s="62"/>
      <c r="MBR2" s="62"/>
      <c r="MBS2" s="62"/>
      <c r="MBT2" s="62"/>
      <c r="MBU2" s="62"/>
      <c r="MBV2" s="62"/>
      <c r="MBW2" s="62"/>
      <c r="MBX2" s="62"/>
      <c r="MBY2" s="62"/>
      <c r="MBZ2" s="62"/>
      <c r="MCA2" s="62"/>
      <c r="MCB2" s="62"/>
      <c r="MCC2" s="62"/>
      <c r="MCD2" s="62"/>
      <c r="MCE2" s="62"/>
      <c r="MCF2" s="62"/>
      <c r="MCG2" s="62"/>
      <c r="MCH2" s="62"/>
      <c r="MCI2" s="62"/>
      <c r="MCJ2" s="62"/>
      <c r="MCK2" s="62"/>
      <c r="MCL2" s="62"/>
      <c r="MCM2" s="62"/>
      <c r="MCN2" s="62"/>
      <c r="MCO2" s="62"/>
      <c r="MCP2" s="62"/>
      <c r="MCQ2" s="62"/>
      <c r="MCR2" s="62"/>
      <c r="MCS2" s="62"/>
      <c r="MCT2" s="62"/>
      <c r="MCU2" s="62"/>
      <c r="MCV2" s="62"/>
      <c r="MCW2" s="62"/>
      <c r="MCX2" s="62"/>
      <c r="MCY2" s="62"/>
      <c r="MCZ2" s="62"/>
      <c r="MDA2" s="62"/>
      <c r="MDB2" s="62"/>
      <c r="MDC2" s="62"/>
      <c r="MDD2" s="62"/>
      <c r="MDE2" s="62"/>
      <c r="MDF2" s="62"/>
      <c r="MDG2" s="62"/>
      <c r="MDH2" s="62"/>
      <c r="MDI2" s="62"/>
      <c r="MDJ2" s="62"/>
      <c r="MDK2" s="62"/>
      <c r="MDL2" s="62"/>
      <c r="MDM2" s="62"/>
      <c r="MDN2" s="62"/>
      <c r="MDO2" s="62"/>
      <c r="MDP2" s="62"/>
      <c r="MDQ2" s="62"/>
      <c r="MDR2" s="62"/>
      <c r="MDS2" s="62"/>
      <c r="MDT2" s="62"/>
      <c r="MDU2" s="62"/>
      <c r="MDV2" s="62"/>
      <c r="MDW2" s="62"/>
      <c r="MDX2" s="62"/>
      <c r="MDY2" s="62"/>
      <c r="MDZ2" s="62"/>
      <c r="MEA2" s="62"/>
      <c r="MEB2" s="62"/>
      <c r="MEC2" s="62"/>
      <c r="MED2" s="62"/>
      <c r="MEE2" s="62"/>
      <c r="MEF2" s="62"/>
      <c r="MEG2" s="62"/>
      <c r="MEH2" s="62"/>
      <c r="MEI2" s="62"/>
      <c r="MEJ2" s="62"/>
      <c r="MEK2" s="62"/>
      <c r="MEL2" s="62"/>
      <c r="MEM2" s="62"/>
      <c r="MEN2" s="62"/>
      <c r="MEO2" s="62"/>
      <c r="MEP2" s="62"/>
      <c r="MEQ2" s="62"/>
      <c r="MER2" s="62"/>
      <c r="MES2" s="62"/>
      <c r="MET2" s="62"/>
      <c r="MEU2" s="62"/>
      <c r="MEV2" s="62"/>
      <c r="MEW2" s="62"/>
      <c r="MEX2" s="62"/>
      <c r="MEY2" s="62"/>
      <c r="MEZ2" s="62"/>
      <c r="MFA2" s="62"/>
      <c r="MFB2" s="62"/>
      <c r="MFC2" s="62"/>
      <c r="MFD2" s="62"/>
      <c r="MFE2" s="62"/>
      <c r="MFF2" s="62"/>
      <c r="MFG2" s="62"/>
      <c r="MFH2" s="62"/>
      <c r="MFI2" s="62"/>
      <c r="MFJ2" s="62"/>
      <c r="MFK2" s="62"/>
      <c r="MFL2" s="62"/>
      <c r="MFM2" s="62"/>
      <c r="MFN2" s="62"/>
      <c r="MFO2" s="62"/>
      <c r="MFP2" s="62"/>
      <c r="MFQ2" s="62"/>
      <c r="MFR2" s="62"/>
      <c r="MFS2" s="62"/>
      <c r="MFT2" s="62"/>
      <c r="MFU2" s="62"/>
      <c r="MFV2" s="62"/>
      <c r="MFW2" s="62"/>
      <c r="MFX2" s="62"/>
      <c r="MFY2" s="62"/>
      <c r="MFZ2" s="62"/>
      <c r="MGA2" s="62"/>
      <c r="MGB2" s="62"/>
      <c r="MGC2" s="62"/>
      <c r="MGD2" s="62"/>
      <c r="MGE2" s="62"/>
      <c r="MGF2" s="62"/>
      <c r="MGG2" s="62"/>
      <c r="MGH2" s="62"/>
      <c r="MGI2" s="62"/>
      <c r="MGJ2" s="62"/>
      <c r="MGK2" s="62"/>
      <c r="MGL2" s="62"/>
      <c r="MGM2" s="62"/>
      <c r="MGN2" s="62"/>
      <c r="MGO2" s="62"/>
      <c r="MGP2" s="62"/>
      <c r="MGQ2" s="62"/>
      <c r="MGR2" s="62"/>
      <c r="MGS2" s="62"/>
      <c r="MGT2" s="62"/>
      <c r="MGU2" s="62"/>
      <c r="MGV2" s="62"/>
      <c r="MGW2" s="62"/>
      <c r="MGX2" s="62"/>
      <c r="MGY2" s="62"/>
      <c r="MGZ2" s="62"/>
      <c r="MHA2" s="62"/>
      <c r="MHB2" s="62"/>
      <c r="MHC2" s="62"/>
      <c r="MHD2" s="62"/>
      <c r="MHE2" s="62"/>
      <c r="MHF2" s="62"/>
      <c r="MHG2" s="62"/>
      <c r="MHH2" s="62"/>
      <c r="MHI2" s="62"/>
      <c r="MHJ2" s="62"/>
      <c r="MHK2" s="62"/>
      <c r="MHL2" s="62"/>
      <c r="MHM2" s="62"/>
      <c r="MHN2" s="62"/>
      <c r="MHO2" s="62"/>
      <c r="MHP2" s="62"/>
      <c r="MHQ2" s="62"/>
      <c r="MHR2" s="62"/>
      <c r="MHS2" s="62"/>
      <c r="MHT2" s="62"/>
      <c r="MHU2" s="62"/>
      <c r="MHV2" s="62"/>
      <c r="MHW2" s="62"/>
      <c r="MHX2" s="62"/>
      <c r="MHY2" s="62"/>
      <c r="MHZ2" s="62"/>
      <c r="MIA2" s="62"/>
      <c r="MIB2" s="62"/>
      <c r="MIC2" s="62"/>
      <c r="MID2" s="62"/>
      <c r="MIE2" s="62"/>
      <c r="MIF2" s="62"/>
      <c r="MIG2" s="62"/>
      <c r="MIH2" s="62"/>
      <c r="MII2" s="62"/>
      <c r="MIJ2" s="62"/>
      <c r="MIK2" s="62"/>
      <c r="MIL2" s="62"/>
      <c r="MIM2" s="62"/>
      <c r="MIN2" s="62"/>
      <c r="MIO2" s="62"/>
      <c r="MIP2" s="62"/>
      <c r="MIQ2" s="62"/>
      <c r="MIR2" s="62"/>
      <c r="MIS2" s="62"/>
      <c r="MIT2" s="62"/>
      <c r="MIU2" s="62"/>
      <c r="MIV2" s="62"/>
      <c r="MIW2" s="62"/>
      <c r="MIX2" s="62"/>
      <c r="MIY2" s="62"/>
      <c r="MIZ2" s="62"/>
      <c r="MJA2" s="62"/>
      <c r="MJB2" s="62"/>
      <c r="MJC2" s="62"/>
      <c r="MJD2" s="62"/>
      <c r="MJE2" s="62"/>
      <c r="MJF2" s="62"/>
      <c r="MJG2" s="62"/>
      <c r="MJH2" s="62"/>
      <c r="MJI2" s="62"/>
      <c r="MJJ2" s="62"/>
      <c r="MJK2" s="62"/>
      <c r="MJL2" s="62"/>
      <c r="MJM2" s="62"/>
      <c r="MJN2" s="62"/>
      <c r="MJO2" s="62"/>
      <c r="MJP2" s="62"/>
      <c r="MJQ2" s="62"/>
      <c r="MJR2" s="62"/>
      <c r="MJS2" s="62"/>
      <c r="MJT2" s="62"/>
      <c r="MJU2" s="62"/>
      <c r="MJV2" s="62"/>
      <c r="MJW2" s="62"/>
      <c r="MJX2" s="62"/>
      <c r="MJY2" s="62"/>
      <c r="MJZ2" s="62"/>
      <c r="MKA2" s="62"/>
      <c r="MKB2" s="62"/>
      <c r="MKC2" s="62"/>
      <c r="MKD2" s="62"/>
      <c r="MKE2" s="62"/>
      <c r="MKF2" s="62"/>
      <c r="MKG2" s="62"/>
      <c r="MKH2" s="62"/>
      <c r="MKI2" s="62"/>
      <c r="MKJ2" s="62"/>
      <c r="MKK2" s="62"/>
      <c r="MKL2" s="62"/>
      <c r="MKM2" s="62"/>
      <c r="MKN2" s="62"/>
      <c r="MKO2" s="62"/>
      <c r="MKP2" s="62"/>
      <c r="MKQ2" s="62"/>
      <c r="MKR2" s="62"/>
      <c r="MKS2" s="62"/>
      <c r="MKT2" s="62"/>
      <c r="MKU2" s="62"/>
      <c r="MKV2" s="62"/>
      <c r="MKW2" s="62"/>
      <c r="MKX2" s="62"/>
      <c r="MKY2" s="62"/>
      <c r="MKZ2" s="62"/>
      <c r="MLA2" s="62"/>
      <c r="MLB2" s="62"/>
      <c r="MLC2" s="62"/>
      <c r="MLD2" s="62"/>
      <c r="MLE2" s="62"/>
      <c r="MLF2" s="62"/>
      <c r="MLG2" s="62"/>
      <c r="MLH2" s="62"/>
      <c r="MLI2" s="62"/>
      <c r="MLJ2" s="62"/>
      <c r="MLK2" s="62"/>
      <c r="MLL2" s="62"/>
      <c r="MLM2" s="62"/>
      <c r="MLN2" s="62"/>
      <c r="MLO2" s="62"/>
      <c r="MLP2" s="62"/>
      <c r="MLQ2" s="62"/>
      <c r="MLR2" s="62"/>
      <c r="MLS2" s="62"/>
      <c r="MLT2" s="62"/>
      <c r="MLU2" s="62"/>
      <c r="MLV2" s="62"/>
      <c r="MLW2" s="62"/>
      <c r="MLX2" s="62"/>
      <c r="MLY2" s="62"/>
      <c r="MLZ2" s="62"/>
      <c r="MMA2" s="62"/>
      <c r="MMB2" s="62"/>
      <c r="MMC2" s="62"/>
      <c r="MMD2" s="62"/>
      <c r="MME2" s="62"/>
      <c r="MMF2" s="62"/>
      <c r="MMG2" s="62"/>
      <c r="MMH2" s="62"/>
      <c r="MMI2" s="62"/>
      <c r="MMJ2" s="62"/>
      <c r="MMK2" s="62"/>
      <c r="MML2" s="62"/>
      <c r="MMM2" s="62"/>
      <c r="MMN2" s="62"/>
      <c r="MMO2" s="62"/>
      <c r="MMP2" s="62"/>
      <c r="MMQ2" s="62"/>
      <c r="MMR2" s="62"/>
      <c r="MMS2" s="62"/>
      <c r="MMT2" s="62"/>
      <c r="MMU2" s="62"/>
      <c r="MMV2" s="62"/>
      <c r="MMW2" s="62"/>
      <c r="MMX2" s="62"/>
      <c r="MMY2" s="62"/>
      <c r="MMZ2" s="62"/>
      <c r="MNA2" s="62"/>
      <c r="MNB2" s="62"/>
      <c r="MNC2" s="62"/>
      <c r="MND2" s="62"/>
      <c r="MNE2" s="62"/>
      <c r="MNF2" s="62"/>
      <c r="MNG2" s="62"/>
      <c r="MNH2" s="62"/>
      <c r="MNI2" s="62"/>
      <c r="MNJ2" s="62"/>
      <c r="MNK2" s="62"/>
      <c r="MNL2" s="62"/>
      <c r="MNM2" s="62"/>
      <c r="MNN2" s="62"/>
      <c r="MNO2" s="62"/>
      <c r="MNP2" s="62"/>
      <c r="MNQ2" s="62"/>
      <c r="MNR2" s="62"/>
      <c r="MNS2" s="62"/>
      <c r="MNT2" s="62"/>
      <c r="MNU2" s="62"/>
      <c r="MNV2" s="62"/>
      <c r="MNW2" s="62"/>
      <c r="MNX2" s="62"/>
      <c r="MNY2" s="62"/>
      <c r="MNZ2" s="62"/>
      <c r="MOA2" s="62"/>
      <c r="MOB2" s="62"/>
      <c r="MOC2" s="62"/>
      <c r="MOD2" s="62"/>
      <c r="MOE2" s="62"/>
      <c r="MOF2" s="62"/>
      <c r="MOG2" s="62"/>
      <c r="MOH2" s="62"/>
      <c r="MOI2" s="62"/>
      <c r="MOJ2" s="62"/>
      <c r="MOK2" s="62"/>
      <c r="MOL2" s="62"/>
      <c r="MOM2" s="62"/>
      <c r="MON2" s="62"/>
      <c r="MOO2" s="62"/>
      <c r="MOP2" s="62"/>
      <c r="MOQ2" s="62"/>
      <c r="MOR2" s="62"/>
      <c r="MOS2" s="62"/>
      <c r="MOT2" s="62"/>
      <c r="MOU2" s="62"/>
      <c r="MOV2" s="62"/>
      <c r="MOW2" s="62"/>
      <c r="MOX2" s="62"/>
      <c r="MOY2" s="62"/>
      <c r="MOZ2" s="62"/>
      <c r="MPA2" s="62"/>
      <c r="MPB2" s="62"/>
      <c r="MPC2" s="62"/>
      <c r="MPD2" s="62"/>
      <c r="MPE2" s="62"/>
      <c r="MPF2" s="62"/>
      <c r="MPG2" s="62"/>
      <c r="MPH2" s="62"/>
      <c r="MPI2" s="62"/>
      <c r="MPJ2" s="62"/>
      <c r="MPK2" s="62"/>
      <c r="MPL2" s="62"/>
      <c r="MPM2" s="62"/>
      <c r="MPN2" s="62"/>
      <c r="MPO2" s="62"/>
      <c r="MPP2" s="62"/>
      <c r="MPQ2" s="62"/>
      <c r="MPR2" s="62"/>
      <c r="MPS2" s="62"/>
      <c r="MPT2" s="62"/>
      <c r="MPU2" s="62"/>
      <c r="MPV2" s="62"/>
      <c r="MPW2" s="62"/>
      <c r="MPX2" s="62"/>
      <c r="MPY2" s="62"/>
      <c r="MPZ2" s="62"/>
      <c r="MQA2" s="62"/>
      <c r="MQB2" s="62"/>
      <c r="MQC2" s="62"/>
      <c r="MQD2" s="62"/>
      <c r="MQE2" s="62"/>
      <c r="MQF2" s="62"/>
      <c r="MQG2" s="62"/>
      <c r="MQH2" s="62"/>
      <c r="MQI2" s="62"/>
      <c r="MQJ2" s="62"/>
      <c r="MQK2" s="62"/>
      <c r="MQL2" s="62"/>
      <c r="MQM2" s="62"/>
      <c r="MQN2" s="62"/>
      <c r="MQO2" s="62"/>
      <c r="MQP2" s="62"/>
      <c r="MQQ2" s="62"/>
      <c r="MQR2" s="62"/>
      <c r="MQS2" s="62"/>
      <c r="MQT2" s="62"/>
      <c r="MQU2" s="62"/>
      <c r="MQV2" s="62"/>
      <c r="MQW2" s="62"/>
      <c r="MQX2" s="62"/>
      <c r="MQY2" s="62"/>
      <c r="MQZ2" s="62"/>
      <c r="MRA2" s="62"/>
      <c r="MRB2" s="62"/>
      <c r="MRC2" s="62"/>
      <c r="MRD2" s="62"/>
      <c r="MRE2" s="62"/>
      <c r="MRF2" s="62"/>
      <c r="MRG2" s="62"/>
      <c r="MRH2" s="62"/>
      <c r="MRI2" s="62"/>
      <c r="MRJ2" s="62"/>
      <c r="MRK2" s="62"/>
      <c r="MRL2" s="62"/>
      <c r="MRM2" s="62"/>
      <c r="MRN2" s="62"/>
      <c r="MRO2" s="62"/>
      <c r="MRP2" s="62"/>
      <c r="MRQ2" s="62"/>
      <c r="MRR2" s="62"/>
      <c r="MRS2" s="62"/>
      <c r="MRT2" s="62"/>
      <c r="MRU2" s="62"/>
      <c r="MRV2" s="62"/>
      <c r="MRW2" s="62"/>
      <c r="MRX2" s="62"/>
      <c r="MRY2" s="62"/>
      <c r="MRZ2" s="62"/>
      <c r="MSA2" s="62"/>
      <c r="MSB2" s="62"/>
      <c r="MSC2" s="62"/>
      <c r="MSD2" s="62"/>
      <c r="MSE2" s="62"/>
      <c r="MSF2" s="62"/>
      <c r="MSG2" s="62"/>
      <c r="MSH2" s="62"/>
      <c r="MSI2" s="62"/>
      <c r="MSJ2" s="62"/>
      <c r="MSK2" s="62"/>
      <c r="MSL2" s="62"/>
      <c r="MSM2" s="62"/>
      <c r="MSN2" s="62"/>
      <c r="MSO2" s="62"/>
      <c r="MSP2" s="62"/>
      <c r="MSQ2" s="62"/>
      <c r="MSR2" s="62"/>
      <c r="MSS2" s="62"/>
      <c r="MST2" s="62"/>
      <c r="MSU2" s="62"/>
      <c r="MSV2" s="62"/>
      <c r="MSW2" s="62"/>
      <c r="MSX2" s="62"/>
      <c r="MSY2" s="62"/>
      <c r="MSZ2" s="62"/>
      <c r="MTA2" s="62"/>
      <c r="MTB2" s="62"/>
      <c r="MTC2" s="62"/>
      <c r="MTD2" s="62"/>
      <c r="MTE2" s="62"/>
      <c r="MTF2" s="62"/>
      <c r="MTG2" s="62"/>
      <c r="MTH2" s="62"/>
      <c r="MTI2" s="62"/>
      <c r="MTJ2" s="62"/>
      <c r="MTK2" s="62"/>
      <c r="MTL2" s="62"/>
      <c r="MTM2" s="62"/>
      <c r="MTN2" s="62"/>
      <c r="MTO2" s="62"/>
      <c r="MTP2" s="62"/>
      <c r="MTQ2" s="62"/>
      <c r="MTR2" s="62"/>
      <c r="MTS2" s="62"/>
      <c r="MTT2" s="62"/>
      <c r="MTU2" s="62"/>
      <c r="MTV2" s="62"/>
      <c r="MTW2" s="62"/>
      <c r="MTX2" s="62"/>
      <c r="MTY2" s="62"/>
      <c r="MTZ2" s="62"/>
      <c r="MUA2" s="62"/>
      <c r="MUB2" s="62"/>
      <c r="MUC2" s="62"/>
      <c r="MUD2" s="62"/>
      <c r="MUE2" s="62"/>
      <c r="MUF2" s="62"/>
      <c r="MUG2" s="62"/>
      <c r="MUH2" s="62"/>
      <c r="MUI2" s="62"/>
      <c r="MUJ2" s="62"/>
      <c r="MUK2" s="62"/>
      <c r="MUL2" s="62"/>
      <c r="MUM2" s="62"/>
      <c r="MUN2" s="62"/>
      <c r="MUO2" s="62"/>
      <c r="MUP2" s="62"/>
      <c r="MUQ2" s="62"/>
      <c r="MUR2" s="62"/>
      <c r="MUS2" s="62"/>
      <c r="MUT2" s="62"/>
      <c r="MUU2" s="62"/>
      <c r="MUV2" s="62"/>
      <c r="MUW2" s="62"/>
      <c r="MUX2" s="62"/>
      <c r="MUY2" s="62"/>
      <c r="MUZ2" s="62"/>
      <c r="MVA2" s="62"/>
      <c r="MVB2" s="62"/>
      <c r="MVC2" s="62"/>
      <c r="MVD2" s="62"/>
      <c r="MVE2" s="62"/>
      <c r="MVF2" s="62"/>
      <c r="MVG2" s="62"/>
      <c r="MVH2" s="62"/>
      <c r="MVI2" s="62"/>
      <c r="MVJ2" s="62"/>
      <c r="MVK2" s="62"/>
      <c r="MVL2" s="62"/>
      <c r="MVM2" s="62"/>
      <c r="MVN2" s="62"/>
      <c r="MVO2" s="62"/>
      <c r="MVP2" s="62"/>
      <c r="MVQ2" s="62"/>
      <c r="MVR2" s="62"/>
      <c r="MVS2" s="62"/>
      <c r="MVT2" s="62"/>
      <c r="MVU2" s="62"/>
      <c r="MVV2" s="62"/>
      <c r="MVW2" s="62"/>
      <c r="MVX2" s="62"/>
      <c r="MVY2" s="62"/>
      <c r="MVZ2" s="62"/>
      <c r="MWA2" s="62"/>
      <c r="MWB2" s="62"/>
      <c r="MWC2" s="62"/>
      <c r="MWD2" s="62"/>
      <c r="MWE2" s="62"/>
      <c r="MWF2" s="62"/>
      <c r="MWG2" s="62"/>
      <c r="MWH2" s="62"/>
      <c r="MWI2" s="62"/>
      <c r="MWJ2" s="62"/>
      <c r="MWK2" s="62"/>
      <c r="MWL2" s="62"/>
      <c r="MWM2" s="62"/>
      <c r="MWN2" s="62"/>
      <c r="MWO2" s="62"/>
      <c r="MWP2" s="62"/>
      <c r="MWQ2" s="62"/>
      <c r="MWR2" s="62"/>
      <c r="MWS2" s="62"/>
      <c r="MWT2" s="62"/>
      <c r="MWU2" s="62"/>
      <c r="MWV2" s="62"/>
      <c r="MWW2" s="62"/>
      <c r="MWX2" s="62"/>
      <c r="MWY2" s="62"/>
      <c r="MWZ2" s="62"/>
      <c r="MXA2" s="62"/>
      <c r="MXB2" s="62"/>
      <c r="MXC2" s="62"/>
      <c r="MXD2" s="62"/>
      <c r="MXE2" s="62"/>
      <c r="MXF2" s="62"/>
      <c r="MXG2" s="62"/>
      <c r="MXH2" s="62"/>
      <c r="MXI2" s="62"/>
      <c r="MXJ2" s="62"/>
      <c r="MXK2" s="62"/>
      <c r="MXL2" s="62"/>
      <c r="MXM2" s="62"/>
      <c r="MXN2" s="62"/>
      <c r="MXO2" s="62"/>
      <c r="MXP2" s="62"/>
      <c r="MXQ2" s="62"/>
      <c r="MXR2" s="62"/>
      <c r="MXS2" s="62"/>
      <c r="MXT2" s="62"/>
      <c r="MXU2" s="62"/>
      <c r="MXV2" s="62"/>
      <c r="MXW2" s="62"/>
      <c r="MXX2" s="62"/>
      <c r="MXY2" s="62"/>
      <c r="MXZ2" s="62"/>
      <c r="MYA2" s="62"/>
      <c r="MYB2" s="62"/>
      <c r="MYC2" s="62"/>
      <c r="MYD2" s="62"/>
      <c r="MYE2" s="62"/>
      <c r="MYF2" s="62"/>
      <c r="MYG2" s="62"/>
      <c r="MYH2" s="62"/>
      <c r="MYI2" s="62"/>
      <c r="MYJ2" s="62"/>
      <c r="MYK2" s="62"/>
      <c r="MYL2" s="62"/>
      <c r="MYM2" s="62"/>
      <c r="MYN2" s="62"/>
      <c r="MYO2" s="62"/>
      <c r="MYP2" s="62"/>
      <c r="MYQ2" s="62"/>
      <c r="MYR2" s="62"/>
      <c r="MYS2" s="62"/>
      <c r="MYT2" s="62"/>
      <c r="MYU2" s="62"/>
      <c r="MYV2" s="62"/>
      <c r="MYW2" s="62"/>
      <c r="MYX2" s="62"/>
      <c r="MYY2" s="62"/>
      <c r="MYZ2" s="62"/>
      <c r="MZA2" s="62"/>
      <c r="MZB2" s="62"/>
      <c r="MZC2" s="62"/>
      <c r="MZD2" s="62"/>
      <c r="MZE2" s="62"/>
      <c r="MZF2" s="62"/>
      <c r="MZG2" s="62"/>
      <c r="MZH2" s="62"/>
      <c r="MZI2" s="62"/>
      <c r="MZJ2" s="62"/>
      <c r="MZK2" s="62"/>
      <c r="MZL2" s="62"/>
      <c r="MZM2" s="62"/>
      <c r="MZN2" s="62"/>
      <c r="MZO2" s="62"/>
      <c r="MZP2" s="62"/>
      <c r="MZQ2" s="62"/>
      <c r="MZR2" s="62"/>
      <c r="MZS2" s="62"/>
      <c r="MZT2" s="62"/>
      <c r="MZU2" s="62"/>
      <c r="MZV2" s="62"/>
      <c r="MZW2" s="62"/>
      <c r="MZX2" s="62"/>
      <c r="MZY2" s="62"/>
      <c r="MZZ2" s="62"/>
      <c r="NAA2" s="62"/>
      <c r="NAB2" s="62"/>
      <c r="NAC2" s="62"/>
      <c r="NAD2" s="62"/>
      <c r="NAE2" s="62"/>
      <c r="NAF2" s="62"/>
      <c r="NAG2" s="62"/>
      <c r="NAH2" s="62"/>
      <c r="NAI2" s="62"/>
      <c r="NAJ2" s="62"/>
      <c r="NAK2" s="62"/>
      <c r="NAL2" s="62"/>
      <c r="NAM2" s="62"/>
      <c r="NAN2" s="62"/>
      <c r="NAO2" s="62"/>
      <c r="NAP2" s="62"/>
      <c r="NAQ2" s="62"/>
      <c r="NAR2" s="62"/>
      <c r="NAS2" s="62"/>
      <c r="NAT2" s="62"/>
      <c r="NAU2" s="62"/>
      <c r="NAV2" s="62"/>
      <c r="NAW2" s="62"/>
      <c r="NAX2" s="62"/>
      <c r="NAY2" s="62"/>
      <c r="NAZ2" s="62"/>
      <c r="NBA2" s="62"/>
      <c r="NBB2" s="62"/>
      <c r="NBC2" s="62"/>
      <c r="NBD2" s="62"/>
      <c r="NBE2" s="62"/>
      <c r="NBF2" s="62"/>
      <c r="NBG2" s="62"/>
      <c r="NBH2" s="62"/>
      <c r="NBI2" s="62"/>
      <c r="NBJ2" s="62"/>
      <c r="NBK2" s="62"/>
      <c r="NBL2" s="62"/>
      <c r="NBM2" s="62"/>
      <c r="NBN2" s="62"/>
      <c r="NBO2" s="62"/>
      <c r="NBP2" s="62"/>
      <c r="NBQ2" s="62"/>
      <c r="NBR2" s="62"/>
      <c r="NBS2" s="62"/>
      <c r="NBT2" s="62"/>
      <c r="NBU2" s="62"/>
      <c r="NBV2" s="62"/>
      <c r="NBW2" s="62"/>
      <c r="NBX2" s="62"/>
      <c r="NBY2" s="62"/>
      <c r="NBZ2" s="62"/>
      <c r="NCA2" s="62"/>
      <c r="NCB2" s="62"/>
      <c r="NCC2" s="62"/>
      <c r="NCD2" s="62"/>
      <c r="NCE2" s="62"/>
      <c r="NCF2" s="62"/>
      <c r="NCG2" s="62"/>
      <c r="NCH2" s="62"/>
      <c r="NCI2" s="62"/>
      <c r="NCJ2" s="62"/>
      <c r="NCK2" s="62"/>
      <c r="NCL2" s="62"/>
      <c r="NCM2" s="62"/>
      <c r="NCN2" s="62"/>
      <c r="NCO2" s="62"/>
      <c r="NCP2" s="62"/>
      <c r="NCQ2" s="62"/>
      <c r="NCR2" s="62"/>
      <c r="NCS2" s="62"/>
      <c r="NCT2" s="62"/>
      <c r="NCU2" s="62"/>
      <c r="NCV2" s="62"/>
      <c r="NCW2" s="62"/>
      <c r="NCX2" s="62"/>
      <c r="NCY2" s="62"/>
      <c r="NCZ2" s="62"/>
      <c r="NDA2" s="62"/>
      <c r="NDB2" s="62"/>
      <c r="NDC2" s="62"/>
      <c r="NDD2" s="62"/>
      <c r="NDE2" s="62"/>
      <c r="NDF2" s="62"/>
      <c r="NDG2" s="62"/>
      <c r="NDH2" s="62"/>
      <c r="NDI2" s="62"/>
      <c r="NDJ2" s="62"/>
      <c r="NDK2" s="62"/>
      <c r="NDL2" s="62"/>
      <c r="NDM2" s="62"/>
      <c r="NDN2" s="62"/>
      <c r="NDO2" s="62"/>
      <c r="NDP2" s="62"/>
      <c r="NDQ2" s="62"/>
      <c r="NDR2" s="62"/>
      <c r="NDS2" s="62"/>
      <c r="NDT2" s="62"/>
      <c r="NDU2" s="62"/>
      <c r="NDV2" s="62"/>
      <c r="NDW2" s="62"/>
      <c r="NDX2" s="62"/>
      <c r="NDY2" s="62"/>
      <c r="NDZ2" s="62"/>
      <c r="NEA2" s="62"/>
      <c r="NEB2" s="62"/>
      <c r="NEC2" s="62"/>
      <c r="NED2" s="62"/>
      <c r="NEE2" s="62"/>
      <c r="NEF2" s="62"/>
      <c r="NEG2" s="62"/>
      <c r="NEH2" s="62"/>
      <c r="NEI2" s="62"/>
      <c r="NEJ2" s="62"/>
      <c r="NEK2" s="62"/>
      <c r="NEL2" s="62"/>
      <c r="NEM2" s="62"/>
      <c r="NEN2" s="62"/>
      <c r="NEO2" s="62"/>
      <c r="NEP2" s="62"/>
      <c r="NEQ2" s="62"/>
      <c r="NER2" s="62"/>
      <c r="NES2" s="62"/>
      <c r="NET2" s="62"/>
      <c r="NEU2" s="62"/>
      <c r="NEV2" s="62"/>
      <c r="NEW2" s="62"/>
      <c r="NEX2" s="62"/>
      <c r="NEY2" s="62"/>
      <c r="NEZ2" s="62"/>
      <c r="NFA2" s="62"/>
      <c r="NFB2" s="62"/>
      <c r="NFC2" s="62"/>
      <c r="NFD2" s="62"/>
      <c r="NFE2" s="62"/>
      <c r="NFF2" s="62"/>
      <c r="NFG2" s="62"/>
      <c r="NFH2" s="62"/>
      <c r="NFI2" s="62"/>
      <c r="NFJ2" s="62"/>
      <c r="NFK2" s="62"/>
      <c r="NFL2" s="62"/>
      <c r="NFM2" s="62"/>
      <c r="NFN2" s="62"/>
      <c r="NFO2" s="62"/>
      <c r="NFP2" s="62"/>
      <c r="NFQ2" s="62"/>
      <c r="NFR2" s="62"/>
      <c r="NFS2" s="62"/>
      <c r="NFT2" s="62"/>
      <c r="NFU2" s="62"/>
      <c r="NFV2" s="62"/>
      <c r="NFW2" s="62"/>
      <c r="NFX2" s="62"/>
      <c r="NFY2" s="62"/>
      <c r="NFZ2" s="62"/>
      <c r="NGA2" s="62"/>
      <c r="NGB2" s="62"/>
      <c r="NGC2" s="62"/>
      <c r="NGD2" s="62"/>
      <c r="NGE2" s="62"/>
      <c r="NGF2" s="62"/>
      <c r="NGG2" s="62"/>
      <c r="NGH2" s="62"/>
      <c r="NGI2" s="62"/>
      <c r="NGJ2" s="62"/>
      <c r="NGK2" s="62"/>
      <c r="NGL2" s="62"/>
      <c r="NGM2" s="62"/>
      <c r="NGN2" s="62"/>
      <c r="NGO2" s="62"/>
      <c r="NGP2" s="62"/>
      <c r="NGQ2" s="62"/>
      <c r="NGR2" s="62"/>
      <c r="NGS2" s="62"/>
      <c r="NGT2" s="62"/>
      <c r="NGU2" s="62"/>
      <c r="NGV2" s="62"/>
      <c r="NGW2" s="62"/>
      <c r="NGX2" s="62"/>
      <c r="NGY2" s="62"/>
      <c r="NGZ2" s="62"/>
      <c r="NHA2" s="62"/>
      <c r="NHB2" s="62"/>
      <c r="NHC2" s="62"/>
      <c r="NHD2" s="62"/>
      <c r="NHE2" s="62"/>
      <c r="NHF2" s="62"/>
      <c r="NHG2" s="62"/>
      <c r="NHH2" s="62"/>
      <c r="NHI2" s="62"/>
      <c r="NHJ2" s="62"/>
      <c r="NHK2" s="62"/>
      <c r="NHL2" s="62"/>
      <c r="NHM2" s="62"/>
      <c r="NHN2" s="62"/>
      <c r="NHO2" s="62"/>
      <c r="NHP2" s="62"/>
      <c r="NHQ2" s="62"/>
      <c r="NHR2" s="62"/>
      <c r="NHS2" s="62"/>
      <c r="NHT2" s="62"/>
      <c r="NHU2" s="62"/>
      <c r="NHV2" s="62"/>
      <c r="NHW2" s="62"/>
      <c r="NHX2" s="62"/>
      <c r="NHY2" s="62"/>
      <c r="NHZ2" s="62"/>
      <c r="NIA2" s="62"/>
      <c r="NIB2" s="62"/>
      <c r="NIC2" s="62"/>
      <c r="NID2" s="62"/>
      <c r="NIE2" s="62"/>
      <c r="NIF2" s="62"/>
      <c r="NIG2" s="62"/>
      <c r="NIH2" s="62"/>
      <c r="NII2" s="62"/>
      <c r="NIJ2" s="62"/>
      <c r="NIK2" s="62"/>
      <c r="NIL2" s="62"/>
      <c r="NIM2" s="62"/>
      <c r="NIN2" s="62"/>
      <c r="NIO2" s="62"/>
      <c r="NIP2" s="62"/>
      <c r="NIQ2" s="62"/>
      <c r="NIR2" s="62"/>
      <c r="NIS2" s="62"/>
      <c r="NIT2" s="62"/>
      <c r="NIU2" s="62"/>
      <c r="NIV2" s="62"/>
      <c r="NIW2" s="62"/>
      <c r="NIX2" s="62"/>
      <c r="NIY2" s="62"/>
      <c r="NIZ2" s="62"/>
      <c r="NJA2" s="62"/>
      <c r="NJB2" s="62"/>
      <c r="NJC2" s="62"/>
      <c r="NJD2" s="62"/>
      <c r="NJE2" s="62"/>
      <c r="NJF2" s="62"/>
      <c r="NJG2" s="62"/>
      <c r="NJH2" s="62"/>
      <c r="NJI2" s="62"/>
      <c r="NJJ2" s="62"/>
      <c r="NJK2" s="62"/>
      <c r="NJL2" s="62"/>
      <c r="NJM2" s="62"/>
      <c r="NJN2" s="62"/>
      <c r="NJO2" s="62"/>
      <c r="NJP2" s="62"/>
      <c r="NJQ2" s="62"/>
      <c r="NJR2" s="62"/>
      <c r="NJS2" s="62"/>
      <c r="NJT2" s="62"/>
      <c r="NJU2" s="62"/>
      <c r="NJV2" s="62"/>
      <c r="NJW2" s="62"/>
      <c r="NJX2" s="62"/>
      <c r="NJY2" s="62"/>
      <c r="NJZ2" s="62"/>
      <c r="NKA2" s="62"/>
      <c r="NKB2" s="62"/>
      <c r="NKC2" s="62"/>
      <c r="NKD2" s="62"/>
      <c r="NKE2" s="62"/>
      <c r="NKF2" s="62"/>
      <c r="NKG2" s="62"/>
      <c r="NKH2" s="62"/>
      <c r="NKI2" s="62"/>
      <c r="NKJ2" s="62"/>
      <c r="NKK2" s="62"/>
      <c r="NKL2" s="62"/>
      <c r="NKM2" s="62"/>
      <c r="NKN2" s="62"/>
      <c r="NKO2" s="62"/>
      <c r="NKP2" s="62"/>
      <c r="NKQ2" s="62"/>
      <c r="NKR2" s="62"/>
      <c r="NKS2" s="62"/>
      <c r="NKT2" s="62"/>
      <c r="NKU2" s="62"/>
      <c r="NKV2" s="62"/>
      <c r="NKW2" s="62"/>
      <c r="NKX2" s="62"/>
      <c r="NKY2" s="62"/>
      <c r="NKZ2" s="62"/>
      <c r="NLA2" s="62"/>
      <c r="NLB2" s="62"/>
      <c r="NLC2" s="62"/>
      <c r="NLD2" s="62"/>
      <c r="NLE2" s="62"/>
      <c r="NLF2" s="62"/>
      <c r="NLG2" s="62"/>
      <c r="NLH2" s="62"/>
      <c r="NLI2" s="62"/>
      <c r="NLJ2" s="62"/>
      <c r="NLK2" s="62"/>
      <c r="NLL2" s="62"/>
      <c r="NLM2" s="62"/>
      <c r="NLN2" s="62"/>
      <c r="NLO2" s="62"/>
      <c r="NLP2" s="62"/>
      <c r="NLQ2" s="62"/>
      <c r="NLR2" s="62"/>
      <c r="NLS2" s="62"/>
      <c r="NLT2" s="62"/>
      <c r="NLU2" s="62"/>
      <c r="NLV2" s="62"/>
      <c r="NLW2" s="62"/>
      <c r="NLX2" s="62"/>
      <c r="NLY2" s="62"/>
      <c r="NLZ2" s="62"/>
      <c r="NMA2" s="62"/>
      <c r="NMB2" s="62"/>
      <c r="NMC2" s="62"/>
      <c r="NMD2" s="62"/>
      <c r="NME2" s="62"/>
      <c r="NMF2" s="62"/>
      <c r="NMG2" s="62"/>
      <c r="NMH2" s="62"/>
      <c r="NMI2" s="62"/>
      <c r="NMJ2" s="62"/>
      <c r="NMK2" s="62"/>
      <c r="NML2" s="62"/>
      <c r="NMM2" s="62"/>
      <c r="NMN2" s="62"/>
      <c r="NMO2" s="62"/>
      <c r="NMP2" s="62"/>
      <c r="NMQ2" s="62"/>
      <c r="NMR2" s="62"/>
      <c r="NMS2" s="62"/>
      <c r="NMT2" s="62"/>
      <c r="NMU2" s="62"/>
      <c r="NMV2" s="62"/>
      <c r="NMW2" s="62"/>
      <c r="NMX2" s="62"/>
      <c r="NMY2" s="62"/>
      <c r="NMZ2" s="62"/>
      <c r="NNA2" s="62"/>
      <c r="NNB2" s="62"/>
      <c r="NNC2" s="62"/>
      <c r="NND2" s="62"/>
      <c r="NNE2" s="62"/>
      <c r="NNF2" s="62"/>
      <c r="NNG2" s="62"/>
      <c r="NNH2" s="62"/>
      <c r="NNI2" s="62"/>
      <c r="NNJ2" s="62"/>
      <c r="NNK2" s="62"/>
      <c r="NNL2" s="62"/>
      <c r="NNM2" s="62"/>
      <c r="NNN2" s="62"/>
      <c r="NNO2" s="62"/>
      <c r="NNP2" s="62"/>
      <c r="NNQ2" s="62"/>
      <c r="NNR2" s="62"/>
      <c r="NNS2" s="62"/>
      <c r="NNT2" s="62"/>
      <c r="NNU2" s="62"/>
      <c r="NNV2" s="62"/>
      <c r="NNW2" s="62"/>
      <c r="NNX2" s="62"/>
      <c r="NNY2" s="62"/>
      <c r="NNZ2" s="62"/>
      <c r="NOA2" s="62"/>
      <c r="NOB2" s="62"/>
      <c r="NOC2" s="62"/>
      <c r="NOD2" s="62"/>
      <c r="NOE2" s="62"/>
      <c r="NOF2" s="62"/>
      <c r="NOG2" s="62"/>
      <c r="NOH2" s="62"/>
      <c r="NOI2" s="62"/>
      <c r="NOJ2" s="62"/>
      <c r="NOK2" s="62"/>
      <c r="NOL2" s="62"/>
      <c r="NOM2" s="62"/>
      <c r="NON2" s="62"/>
      <c r="NOO2" s="62"/>
      <c r="NOP2" s="62"/>
      <c r="NOQ2" s="62"/>
      <c r="NOR2" s="62"/>
      <c r="NOS2" s="62"/>
      <c r="NOT2" s="62"/>
      <c r="NOU2" s="62"/>
      <c r="NOV2" s="62"/>
      <c r="NOW2" s="62"/>
      <c r="NOX2" s="62"/>
      <c r="NOY2" s="62"/>
      <c r="NOZ2" s="62"/>
      <c r="NPA2" s="62"/>
      <c r="NPB2" s="62"/>
      <c r="NPC2" s="62"/>
      <c r="NPD2" s="62"/>
      <c r="NPE2" s="62"/>
      <c r="NPF2" s="62"/>
      <c r="NPG2" s="62"/>
      <c r="NPH2" s="62"/>
      <c r="NPI2" s="62"/>
      <c r="NPJ2" s="62"/>
      <c r="NPK2" s="62"/>
      <c r="NPL2" s="62"/>
      <c r="NPM2" s="62"/>
      <c r="NPN2" s="62"/>
      <c r="NPO2" s="62"/>
      <c r="NPP2" s="62"/>
      <c r="NPQ2" s="62"/>
      <c r="NPR2" s="62"/>
      <c r="NPS2" s="62"/>
      <c r="NPT2" s="62"/>
      <c r="NPU2" s="62"/>
      <c r="NPV2" s="62"/>
      <c r="NPW2" s="62"/>
      <c r="NPX2" s="62"/>
      <c r="NPY2" s="62"/>
      <c r="NPZ2" s="62"/>
      <c r="NQA2" s="62"/>
      <c r="NQB2" s="62"/>
      <c r="NQC2" s="62"/>
      <c r="NQD2" s="62"/>
      <c r="NQE2" s="62"/>
      <c r="NQF2" s="62"/>
      <c r="NQG2" s="62"/>
      <c r="NQH2" s="62"/>
      <c r="NQI2" s="62"/>
      <c r="NQJ2" s="62"/>
      <c r="NQK2" s="62"/>
      <c r="NQL2" s="62"/>
      <c r="NQM2" s="62"/>
      <c r="NQN2" s="62"/>
      <c r="NQO2" s="62"/>
      <c r="NQP2" s="62"/>
      <c r="NQQ2" s="62"/>
      <c r="NQR2" s="62"/>
      <c r="NQS2" s="62"/>
      <c r="NQT2" s="62"/>
      <c r="NQU2" s="62"/>
      <c r="NQV2" s="62"/>
      <c r="NQW2" s="62"/>
      <c r="NQX2" s="62"/>
      <c r="NQY2" s="62"/>
      <c r="NQZ2" s="62"/>
      <c r="NRA2" s="62"/>
      <c r="NRB2" s="62"/>
      <c r="NRC2" s="62"/>
      <c r="NRD2" s="62"/>
      <c r="NRE2" s="62"/>
      <c r="NRF2" s="62"/>
      <c r="NRG2" s="62"/>
      <c r="NRH2" s="62"/>
      <c r="NRI2" s="62"/>
      <c r="NRJ2" s="62"/>
      <c r="NRK2" s="62"/>
      <c r="NRL2" s="62"/>
      <c r="NRM2" s="62"/>
      <c r="NRN2" s="62"/>
      <c r="NRO2" s="62"/>
      <c r="NRP2" s="62"/>
      <c r="NRQ2" s="62"/>
      <c r="NRR2" s="62"/>
      <c r="NRS2" s="62"/>
      <c r="NRT2" s="62"/>
      <c r="NRU2" s="62"/>
      <c r="NRV2" s="62"/>
      <c r="NRW2" s="62"/>
      <c r="NRX2" s="62"/>
      <c r="NRY2" s="62"/>
      <c r="NRZ2" s="62"/>
      <c r="NSA2" s="62"/>
      <c r="NSB2" s="62"/>
      <c r="NSC2" s="62"/>
      <c r="NSD2" s="62"/>
      <c r="NSE2" s="62"/>
      <c r="NSF2" s="62"/>
      <c r="NSG2" s="62"/>
      <c r="NSH2" s="62"/>
      <c r="NSI2" s="62"/>
      <c r="NSJ2" s="62"/>
      <c r="NSK2" s="62"/>
      <c r="NSL2" s="62"/>
      <c r="NSM2" s="62"/>
      <c r="NSN2" s="62"/>
      <c r="NSO2" s="62"/>
      <c r="NSP2" s="62"/>
      <c r="NSQ2" s="62"/>
      <c r="NSR2" s="62"/>
      <c r="NSS2" s="62"/>
      <c r="NST2" s="62"/>
      <c r="NSU2" s="62"/>
      <c r="NSV2" s="62"/>
      <c r="NSW2" s="62"/>
      <c r="NSX2" s="62"/>
      <c r="NSY2" s="62"/>
      <c r="NSZ2" s="62"/>
      <c r="NTA2" s="62"/>
      <c r="NTB2" s="62"/>
      <c r="NTC2" s="62"/>
      <c r="NTD2" s="62"/>
      <c r="NTE2" s="62"/>
      <c r="NTF2" s="62"/>
      <c r="NTG2" s="62"/>
      <c r="NTH2" s="62"/>
      <c r="NTI2" s="62"/>
      <c r="NTJ2" s="62"/>
      <c r="NTK2" s="62"/>
      <c r="NTL2" s="62"/>
      <c r="NTM2" s="62"/>
      <c r="NTN2" s="62"/>
      <c r="NTO2" s="62"/>
      <c r="NTP2" s="62"/>
      <c r="NTQ2" s="62"/>
      <c r="NTR2" s="62"/>
      <c r="NTS2" s="62"/>
      <c r="NTT2" s="62"/>
      <c r="NTU2" s="62"/>
      <c r="NTV2" s="62"/>
      <c r="NTW2" s="62"/>
      <c r="NTX2" s="62"/>
      <c r="NTY2" s="62"/>
      <c r="NTZ2" s="62"/>
      <c r="NUA2" s="62"/>
      <c r="NUB2" s="62"/>
      <c r="NUC2" s="62"/>
      <c r="NUD2" s="62"/>
      <c r="NUE2" s="62"/>
      <c r="NUF2" s="62"/>
      <c r="NUG2" s="62"/>
      <c r="NUH2" s="62"/>
      <c r="NUI2" s="62"/>
      <c r="NUJ2" s="62"/>
      <c r="NUK2" s="62"/>
      <c r="NUL2" s="62"/>
      <c r="NUM2" s="62"/>
      <c r="NUN2" s="62"/>
      <c r="NUO2" s="62"/>
      <c r="NUP2" s="62"/>
      <c r="NUQ2" s="62"/>
      <c r="NUR2" s="62"/>
      <c r="NUS2" s="62"/>
      <c r="NUT2" s="62"/>
      <c r="NUU2" s="62"/>
      <c r="NUV2" s="62"/>
      <c r="NUW2" s="62"/>
      <c r="NUX2" s="62"/>
      <c r="NUY2" s="62"/>
      <c r="NUZ2" s="62"/>
      <c r="NVA2" s="62"/>
      <c r="NVB2" s="62"/>
      <c r="NVC2" s="62"/>
      <c r="NVD2" s="62"/>
      <c r="NVE2" s="62"/>
      <c r="NVF2" s="62"/>
      <c r="NVG2" s="62"/>
      <c r="NVH2" s="62"/>
      <c r="NVI2" s="62"/>
      <c r="NVJ2" s="62"/>
      <c r="NVK2" s="62"/>
      <c r="NVL2" s="62"/>
      <c r="NVM2" s="62"/>
      <c r="NVN2" s="62"/>
      <c r="NVO2" s="62"/>
      <c r="NVP2" s="62"/>
      <c r="NVQ2" s="62"/>
      <c r="NVR2" s="62"/>
      <c r="NVS2" s="62"/>
      <c r="NVT2" s="62"/>
      <c r="NVU2" s="62"/>
      <c r="NVV2" s="62"/>
      <c r="NVW2" s="62"/>
      <c r="NVX2" s="62"/>
      <c r="NVY2" s="62"/>
      <c r="NVZ2" s="62"/>
      <c r="NWA2" s="62"/>
      <c r="NWB2" s="62"/>
      <c r="NWC2" s="62"/>
      <c r="NWD2" s="62"/>
      <c r="NWE2" s="62"/>
      <c r="NWF2" s="62"/>
      <c r="NWG2" s="62"/>
      <c r="NWH2" s="62"/>
      <c r="NWI2" s="62"/>
      <c r="NWJ2" s="62"/>
      <c r="NWK2" s="62"/>
      <c r="NWL2" s="62"/>
      <c r="NWM2" s="62"/>
      <c r="NWN2" s="62"/>
      <c r="NWO2" s="62"/>
      <c r="NWP2" s="62"/>
      <c r="NWQ2" s="62"/>
      <c r="NWR2" s="62"/>
      <c r="NWS2" s="62"/>
      <c r="NWT2" s="62"/>
      <c r="NWU2" s="62"/>
      <c r="NWV2" s="62"/>
      <c r="NWW2" s="62"/>
      <c r="NWX2" s="62"/>
      <c r="NWY2" s="62"/>
      <c r="NWZ2" s="62"/>
      <c r="NXA2" s="62"/>
      <c r="NXB2" s="62"/>
      <c r="NXC2" s="62"/>
      <c r="NXD2" s="62"/>
      <c r="NXE2" s="62"/>
      <c r="NXF2" s="62"/>
      <c r="NXG2" s="62"/>
      <c r="NXH2" s="62"/>
      <c r="NXI2" s="62"/>
      <c r="NXJ2" s="62"/>
      <c r="NXK2" s="62"/>
      <c r="NXL2" s="62"/>
      <c r="NXM2" s="62"/>
      <c r="NXN2" s="62"/>
      <c r="NXO2" s="62"/>
      <c r="NXP2" s="62"/>
      <c r="NXQ2" s="62"/>
      <c r="NXR2" s="62"/>
      <c r="NXS2" s="62"/>
      <c r="NXT2" s="62"/>
      <c r="NXU2" s="62"/>
      <c r="NXV2" s="62"/>
      <c r="NXW2" s="62"/>
      <c r="NXX2" s="62"/>
      <c r="NXY2" s="62"/>
      <c r="NXZ2" s="62"/>
      <c r="NYA2" s="62"/>
      <c r="NYB2" s="62"/>
      <c r="NYC2" s="62"/>
      <c r="NYD2" s="62"/>
      <c r="NYE2" s="62"/>
      <c r="NYF2" s="62"/>
      <c r="NYG2" s="62"/>
      <c r="NYH2" s="62"/>
      <c r="NYI2" s="62"/>
      <c r="NYJ2" s="62"/>
      <c r="NYK2" s="62"/>
      <c r="NYL2" s="62"/>
      <c r="NYM2" s="62"/>
      <c r="NYN2" s="62"/>
      <c r="NYO2" s="62"/>
      <c r="NYP2" s="62"/>
      <c r="NYQ2" s="62"/>
      <c r="NYR2" s="62"/>
      <c r="NYS2" s="62"/>
      <c r="NYT2" s="62"/>
      <c r="NYU2" s="62"/>
      <c r="NYV2" s="62"/>
      <c r="NYW2" s="62"/>
      <c r="NYX2" s="62"/>
      <c r="NYY2" s="62"/>
      <c r="NYZ2" s="62"/>
      <c r="NZA2" s="62"/>
      <c r="NZB2" s="62"/>
      <c r="NZC2" s="62"/>
      <c r="NZD2" s="62"/>
      <c r="NZE2" s="62"/>
      <c r="NZF2" s="62"/>
      <c r="NZG2" s="62"/>
      <c r="NZH2" s="62"/>
      <c r="NZI2" s="62"/>
      <c r="NZJ2" s="62"/>
      <c r="NZK2" s="62"/>
      <c r="NZL2" s="62"/>
      <c r="NZM2" s="62"/>
      <c r="NZN2" s="62"/>
      <c r="NZO2" s="62"/>
      <c r="NZP2" s="62"/>
      <c r="NZQ2" s="62"/>
      <c r="NZR2" s="62"/>
      <c r="NZS2" s="62"/>
      <c r="NZT2" s="62"/>
      <c r="NZU2" s="62"/>
      <c r="NZV2" s="62"/>
      <c r="NZW2" s="62"/>
      <c r="NZX2" s="62"/>
      <c r="NZY2" s="62"/>
      <c r="NZZ2" s="62"/>
      <c r="OAA2" s="62"/>
      <c r="OAB2" s="62"/>
      <c r="OAC2" s="62"/>
      <c r="OAD2" s="62"/>
      <c r="OAE2" s="62"/>
      <c r="OAF2" s="62"/>
      <c r="OAG2" s="62"/>
      <c r="OAH2" s="62"/>
      <c r="OAI2" s="62"/>
      <c r="OAJ2" s="62"/>
      <c r="OAK2" s="62"/>
      <c r="OAL2" s="62"/>
      <c r="OAM2" s="62"/>
      <c r="OAN2" s="62"/>
      <c r="OAO2" s="62"/>
      <c r="OAP2" s="62"/>
      <c r="OAQ2" s="62"/>
      <c r="OAR2" s="62"/>
      <c r="OAS2" s="62"/>
      <c r="OAT2" s="62"/>
      <c r="OAU2" s="62"/>
      <c r="OAV2" s="62"/>
      <c r="OAW2" s="62"/>
      <c r="OAX2" s="62"/>
      <c r="OAY2" s="62"/>
      <c r="OAZ2" s="62"/>
      <c r="OBA2" s="62"/>
      <c r="OBB2" s="62"/>
      <c r="OBC2" s="62"/>
      <c r="OBD2" s="62"/>
      <c r="OBE2" s="62"/>
      <c r="OBF2" s="62"/>
      <c r="OBG2" s="62"/>
      <c r="OBH2" s="62"/>
      <c r="OBI2" s="62"/>
      <c r="OBJ2" s="62"/>
      <c r="OBK2" s="62"/>
      <c r="OBL2" s="62"/>
      <c r="OBM2" s="62"/>
      <c r="OBN2" s="62"/>
      <c r="OBO2" s="62"/>
      <c r="OBP2" s="62"/>
      <c r="OBQ2" s="62"/>
      <c r="OBR2" s="62"/>
      <c r="OBS2" s="62"/>
      <c r="OBT2" s="62"/>
      <c r="OBU2" s="62"/>
      <c r="OBV2" s="62"/>
      <c r="OBW2" s="62"/>
      <c r="OBX2" s="62"/>
      <c r="OBY2" s="62"/>
      <c r="OBZ2" s="62"/>
      <c r="OCA2" s="62"/>
      <c r="OCB2" s="62"/>
      <c r="OCC2" s="62"/>
      <c r="OCD2" s="62"/>
      <c r="OCE2" s="62"/>
      <c r="OCF2" s="62"/>
      <c r="OCG2" s="62"/>
      <c r="OCH2" s="62"/>
      <c r="OCI2" s="62"/>
      <c r="OCJ2" s="62"/>
      <c r="OCK2" s="62"/>
      <c r="OCL2" s="62"/>
      <c r="OCM2" s="62"/>
      <c r="OCN2" s="62"/>
      <c r="OCO2" s="62"/>
      <c r="OCP2" s="62"/>
      <c r="OCQ2" s="62"/>
      <c r="OCR2" s="62"/>
      <c r="OCS2" s="62"/>
      <c r="OCT2" s="62"/>
      <c r="OCU2" s="62"/>
      <c r="OCV2" s="62"/>
      <c r="OCW2" s="62"/>
      <c r="OCX2" s="62"/>
      <c r="OCY2" s="62"/>
      <c r="OCZ2" s="62"/>
      <c r="ODA2" s="62"/>
      <c r="ODB2" s="62"/>
      <c r="ODC2" s="62"/>
      <c r="ODD2" s="62"/>
      <c r="ODE2" s="62"/>
      <c r="ODF2" s="62"/>
      <c r="ODG2" s="62"/>
      <c r="ODH2" s="62"/>
      <c r="ODI2" s="62"/>
      <c r="ODJ2" s="62"/>
      <c r="ODK2" s="62"/>
      <c r="ODL2" s="62"/>
      <c r="ODM2" s="62"/>
      <c r="ODN2" s="62"/>
      <c r="ODO2" s="62"/>
      <c r="ODP2" s="62"/>
      <c r="ODQ2" s="62"/>
      <c r="ODR2" s="62"/>
      <c r="ODS2" s="62"/>
      <c r="ODT2" s="62"/>
      <c r="ODU2" s="62"/>
      <c r="ODV2" s="62"/>
      <c r="ODW2" s="62"/>
      <c r="ODX2" s="62"/>
      <c r="ODY2" s="62"/>
      <c r="ODZ2" s="62"/>
      <c r="OEA2" s="62"/>
      <c r="OEB2" s="62"/>
      <c r="OEC2" s="62"/>
      <c r="OED2" s="62"/>
      <c r="OEE2" s="62"/>
      <c r="OEF2" s="62"/>
      <c r="OEG2" s="62"/>
      <c r="OEH2" s="62"/>
      <c r="OEI2" s="62"/>
      <c r="OEJ2" s="62"/>
      <c r="OEK2" s="62"/>
      <c r="OEL2" s="62"/>
      <c r="OEM2" s="62"/>
      <c r="OEN2" s="62"/>
      <c r="OEO2" s="62"/>
      <c r="OEP2" s="62"/>
      <c r="OEQ2" s="62"/>
      <c r="OER2" s="62"/>
      <c r="OES2" s="62"/>
      <c r="OET2" s="62"/>
      <c r="OEU2" s="62"/>
      <c r="OEV2" s="62"/>
      <c r="OEW2" s="62"/>
      <c r="OEX2" s="62"/>
      <c r="OEY2" s="62"/>
      <c r="OEZ2" s="62"/>
      <c r="OFA2" s="62"/>
      <c r="OFB2" s="62"/>
      <c r="OFC2" s="62"/>
      <c r="OFD2" s="62"/>
      <c r="OFE2" s="62"/>
      <c r="OFF2" s="62"/>
      <c r="OFG2" s="62"/>
      <c r="OFH2" s="62"/>
      <c r="OFI2" s="62"/>
      <c r="OFJ2" s="62"/>
      <c r="OFK2" s="62"/>
      <c r="OFL2" s="62"/>
      <c r="OFM2" s="62"/>
      <c r="OFN2" s="62"/>
      <c r="OFO2" s="62"/>
      <c r="OFP2" s="62"/>
      <c r="OFQ2" s="62"/>
      <c r="OFR2" s="62"/>
      <c r="OFS2" s="62"/>
      <c r="OFT2" s="62"/>
      <c r="OFU2" s="62"/>
      <c r="OFV2" s="62"/>
      <c r="OFW2" s="62"/>
      <c r="OFX2" s="62"/>
      <c r="OFY2" s="62"/>
      <c r="OFZ2" s="62"/>
      <c r="OGA2" s="62"/>
      <c r="OGB2" s="62"/>
      <c r="OGC2" s="62"/>
      <c r="OGD2" s="62"/>
      <c r="OGE2" s="62"/>
      <c r="OGF2" s="62"/>
      <c r="OGG2" s="62"/>
      <c r="OGH2" s="62"/>
      <c r="OGI2" s="62"/>
      <c r="OGJ2" s="62"/>
      <c r="OGK2" s="62"/>
      <c r="OGL2" s="62"/>
      <c r="OGM2" s="62"/>
      <c r="OGN2" s="62"/>
      <c r="OGO2" s="62"/>
      <c r="OGP2" s="62"/>
      <c r="OGQ2" s="62"/>
      <c r="OGR2" s="62"/>
      <c r="OGS2" s="62"/>
      <c r="OGT2" s="62"/>
      <c r="OGU2" s="62"/>
      <c r="OGV2" s="62"/>
      <c r="OGW2" s="62"/>
      <c r="OGX2" s="62"/>
      <c r="OGY2" s="62"/>
      <c r="OGZ2" s="62"/>
      <c r="OHA2" s="62"/>
      <c r="OHB2" s="62"/>
      <c r="OHC2" s="62"/>
      <c r="OHD2" s="62"/>
      <c r="OHE2" s="62"/>
      <c r="OHF2" s="62"/>
      <c r="OHG2" s="62"/>
      <c r="OHH2" s="62"/>
      <c r="OHI2" s="62"/>
      <c r="OHJ2" s="62"/>
      <c r="OHK2" s="62"/>
      <c r="OHL2" s="62"/>
      <c r="OHM2" s="62"/>
      <c r="OHN2" s="62"/>
      <c r="OHO2" s="62"/>
      <c r="OHP2" s="62"/>
      <c r="OHQ2" s="62"/>
      <c r="OHR2" s="62"/>
      <c r="OHS2" s="62"/>
      <c r="OHT2" s="62"/>
      <c r="OHU2" s="62"/>
      <c r="OHV2" s="62"/>
      <c r="OHW2" s="62"/>
      <c r="OHX2" s="62"/>
      <c r="OHY2" s="62"/>
      <c r="OHZ2" s="62"/>
      <c r="OIA2" s="62"/>
      <c r="OIB2" s="62"/>
      <c r="OIC2" s="62"/>
      <c r="OID2" s="62"/>
      <c r="OIE2" s="62"/>
      <c r="OIF2" s="62"/>
      <c r="OIG2" s="62"/>
      <c r="OIH2" s="62"/>
      <c r="OII2" s="62"/>
      <c r="OIJ2" s="62"/>
      <c r="OIK2" s="62"/>
      <c r="OIL2" s="62"/>
      <c r="OIM2" s="62"/>
      <c r="OIN2" s="62"/>
      <c r="OIO2" s="62"/>
      <c r="OIP2" s="62"/>
      <c r="OIQ2" s="62"/>
      <c r="OIR2" s="62"/>
      <c r="OIS2" s="62"/>
      <c r="OIT2" s="62"/>
      <c r="OIU2" s="62"/>
      <c r="OIV2" s="62"/>
      <c r="OIW2" s="62"/>
      <c r="OIX2" s="62"/>
      <c r="OIY2" s="62"/>
      <c r="OIZ2" s="62"/>
      <c r="OJA2" s="62"/>
      <c r="OJB2" s="62"/>
      <c r="OJC2" s="62"/>
      <c r="OJD2" s="62"/>
      <c r="OJE2" s="62"/>
      <c r="OJF2" s="62"/>
      <c r="OJG2" s="62"/>
      <c r="OJH2" s="62"/>
      <c r="OJI2" s="62"/>
      <c r="OJJ2" s="62"/>
      <c r="OJK2" s="62"/>
      <c r="OJL2" s="62"/>
      <c r="OJM2" s="62"/>
      <c r="OJN2" s="62"/>
      <c r="OJO2" s="62"/>
      <c r="OJP2" s="62"/>
      <c r="OJQ2" s="62"/>
      <c r="OJR2" s="62"/>
      <c r="OJS2" s="62"/>
      <c r="OJT2" s="62"/>
      <c r="OJU2" s="62"/>
      <c r="OJV2" s="62"/>
      <c r="OJW2" s="62"/>
      <c r="OJX2" s="62"/>
      <c r="OJY2" s="62"/>
      <c r="OJZ2" s="62"/>
      <c r="OKA2" s="62"/>
      <c r="OKB2" s="62"/>
      <c r="OKC2" s="62"/>
      <c r="OKD2" s="62"/>
      <c r="OKE2" s="62"/>
      <c r="OKF2" s="62"/>
      <c r="OKG2" s="62"/>
      <c r="OKH2" s="62"/>
      <c r="OKI2" s="62"/>
      <c r="OKJ2" s="62"/>
      <c r="OKK2" s="62"/>
      <c r="OKL2" s="62"/>
      <c r="OKM2" s="62"/>
      <c r="OKN2" s="62"/>
      <c r="OKO2" s="62"/>
      <c r="OKP2" s="62"/>
      <c r="OKQ2" s="62"/>
      <c r="OKR2" s="62"/>
      <c r="OKS2" s="62"/>
      <c r="OKT2" s="62"/>
      <c r="OKU2" s="62"/>
      <c r="OKV2" s="62"/>
      <c r="OKW2" s="62"/>
      <c r="OKX2" s="62"/>
      <c r="OKY2" s="62"/>
      <c r="OKZ2" s="62"/>
      <c r="OLA2" s="62"/>
      <c r="OLB2" s="62"/>
      <c r="OLC2" s="62"/>
      <c r="OLD2" s="62"/>
      <c r="OLE2" s="62"/>
      <c r="OLF2" s="62"/>
      <c r="OLG2" s="62"/>
      <c r="OLH2" s="62"/>
      <c r="OLI2" s="62"/>
      <c r="OLJ2" s="62"/>
      <c r="OLK2" s="62"/>
      <c r="OLL2" s="62"/>
      <c r="OLM2" s="62"/>
      <c r="OLN2" s="62"/>
      <c r="OLO2" s="62"/>
      <c r="OLP2" s="62"/>
      <c r="OLQ2" s="62"/>
      <c r="OLR2" s="62"/>
      <c r="OLS2" s="62"/>
      <c r="OLT2" s="62"/>
      <c r="OLU2" s="62"/>
      <c r="OLV2" s="62"/>
      <c r="OLW2" s="62"/>
      <c r="OLX2" s="62"/>
      <c r="OLY2" s="62"/>
      <c r="OLZ2" s="62"/>
      <c r="OMA2" s="62"/>
      <c r="OMB2" s="62"/>
      <c r="OMC2" s="62"/>
      <c r="OMD2" s="62"/>
      <c r="OME2" s="62"/>
      <c r="OMF2" s="62"/>
      <c r="OMG2" s="62"/>
      <c r="OMH2" s="62"/>
      <c r="OMI2" s="62"/>
      <c r="OMJ2" s="62"/>
      <c r="OMK2" s="62"/>
      <c r="OML2" s="62"/>
      <c r="OMM2" s="62"/>
      <c r="OMN2" s="62"/>
      <c r="OMO2" s="62"/>
      <c r="OMP2" s="62"/>
      <c r="OMQ2" s="62"/>
      <c r="OMR2" s="62"/>
      <c r="OMS2" s="62"/>
      <c r="OMT2" s="62"/>
      <c r="OMU2" s="62"/>
      <c r="OMV2" s="62"/>
      <c r="OMW2" s="62"/>
      <c r="OMX2" s="62"/>
      <c r="OMY2" s="62"/>
      <c r="OMZ2" s="62"/>
      <c r="ONA2" s="62"/>
      <c r="ONB2" s="62"/>
      <c r="ONC2" s="62"/>
      <c r="OND2" s="62"/>
      <c r="ONE2" s="62"/>
      <c r="ONF2" s="62"/>
      <c r="ONG2" s="62"/>
      <c r="ONH2" s="62"/>
      <c r="ONI2" s="62"/>
      <c r="ONJ2" s="62"/>
      <c r="ONK2" s="62"/>
      <c r="ONL2" s="62"/>
      <c r="ONM2" s="62"/>
      <c r="ONN2" s="62"/>
      <c r="ONO2" s="62"/>
      <c r="ONP2" s="62"/>
      <c r="ONQ2" s="62"/>
      <c r="ONR2" s="62"/>
      <c r="ONS2" s="62"/>
      <c r="ONT2" s="62"/>
      <c r="ONU2" s="62"/>
      <c r="ONV2" s="62"/>
      <c r="ONW2" s="62"/>
      <c r="ONX2" s="62"/>
      <c r="ONY2" s="62"/>
      <c r="ONZ2" s="62"/>
      <c r="OOA2" s="62"/>
      <c r="OOB2" s="62"/>
      <c r="OOC2" s="62"/>
      <c r="OOD2" s="62"/>
      <c r="OOE2" s="62"/>
      <c r="OOF2" s="62"/>
      <c r="OOG2" s="62"/>
      <c r="OOH2" s="62"/>
      <c r="OOI2" s="62"/>
      <c r="OOJ2" s="62"/>
      <c r="OOK2" s="62"/>
      <c r="OOL2" s="62"/>
      <c r="OOM2" s="62"/>
      <c r="OON2" s="62"/>
      <c r="OOO2" s="62"/>
      <c r="OOP2" s="62"/>
      <c r="OOQ2" s="62"/>
      <c r="OOR2" s="62"/>
      <c r="OOS2" s="62"/>
      <c r="OOT2" s="62"/>
      <c r="OOU2" s="62"/>
      <c r="OOV2" s="62"/>
      <c r="OOW2" s="62"/>
      <c r="OOX2" s="62"/>
      <c r="OOY2" s="62"/>
      <c r="OOZ2" s="62"/>
      <c r="OPA2" s="62"/>
      <c r="OPB2" s="62"/>
      <c r="OPC2" s="62"/>
      <c r="OPD2" s="62"/>
      <c r="OPE2" s="62"/>
      <c r="OPF2" s="62"/>
      <c r="OPG2" s="62"/>
      <c r="OPH2" s="62"/>
      <c r="OPI2" s="62"/>
      <c r="OPJ2" s="62"/>
      <c r="OPK2" s="62"/>
      <c r="OPL2" s="62"/>
      <c r="OPM2" s="62"/>
      <c r="OPN2" s="62"/>
      <c r="OPO2" s="62"/>
      <c r="OPP2" s="62"/>
      <c r="OPQ2" s="62"/>
      <c r="OPR2" s="62"/>
      <c r="OPS2" s="62"/>
      <c r="OPT2" s="62"/>
      <c r="OPU2" s="62"/>
      <c r="OPV2" s="62"/>
      <c r="OPW2" s="62"/>
      <c r="OPX2" s="62"/>
      <c r="OPY2" s="62"/>
      <c r="OPZ2" s="62"/>
      <c r="OQA2" s="62"/>
      <c r="OQB2" s="62"/>
      <c r="OQC2" s="62"/>
      <c r="OQD2" s="62"/>
      <c r="OQE2" s="62"/>
      <c r="OQF2" s="62"/>
      <c r="OQG2" s="62"/>
      <c r="OQH2" s="62"/>
      <c r="OQI2" s="62"/>
      <c r="OQJ2" s="62"/>
      <c r="OQK2" s="62"/>
      <c r="OQL2" s="62"/>
      <c r="OQM2" s="62"/>
      <c r="OQN2" s="62"/>
      <c r="OQO2" s="62"/>
      <c r="OQP2" s="62"/>
      <c r="OQQ2" s="62"/>
      <c r="OQR2" s="62"/>
      <c r="OQS2" s="62"/>
      <c r="OQT2" s="62"/>
      <c r="OQU2" s="62"/>
      <c r="OQV2" s="62"/>
      <c r="OQW2" s="62"/>
      <c r="OQX2" s="62"/>
      <c r="OQY2" s="62"/>
      <c r="OQZ2" s="62"/>
      <c r="ORA2" s="62"/>
      <c r="ORB2" s="62"/>
      <c r="ORC2" s="62"/>
      <c r="ORD2" s="62"/>
      <c r="ORE2" s="62"/>
      <c r="ORF2" s="62"/>
      <c r="ORG2" s="62"/>
      <c r="ORH2" s="62"/>
      <c r="ORI2" s="62"/>
      <c r="ORJ2" s="62"/>
      <c r="ORK2" s="62"/>
      <c r="ORL2" s="62"/>
      <c r="ORM2" s="62"/>
      <c r="ORN2" s="62"/>
      <c r="ORO2" s="62"/>
      <c r="ORP2" s="62"/>
      <c r="ORQ2" s="62"/>
      <c r="ORR2" s="62"/>
      <c r="ORS2" s="62"/>
      <c r="ORT2" s="62"/>
      <c r="ORU2" s="62"/>
      <c r="ORV2" s="62"/>
      <c r="ORW2" s="62"/>
      <c r="ORX2" s="62"/>
      <c r="ORY2" s="62"/>
      <c r="ORZ2" s="62"/>
      <c r="OSA2" s="62"/>
      <c r="OSB2" s="62"/>
      <c r="OSC2" s="62"/>
      <c r="OSD2" s="62"/>
      <c r="OSE2" s="62"/>
      <c r="OSF2" s="62"/>
      <c r="OSG2" s="62"/>
      <c r="OSH2" s="62"/>
      <c r="OSI2" s="62"/>
      <c r="OSJ2" s="62"/>
      <c r="OSK2" s="62"/>
      <c r="OSL2" s="62"/>
      <c r="OSM2" s="62"/>
      <c r="OSN2" s="62"/>
      <c r="OSO2" s="62"/>
      <c r="OSP2" s="62"/>
      <c r="OSQ2" s="62"/>
      <c r="OSR2" s="62"/>
      <c r="OSS2" s="62"/>
      <c r="OST2" s="62"/>
      <c r="OSU2" s="62"/>
      <c r="OSV2" s="62"/>
      <c r="OSW2" s="62"/>
      <c r="OSX2" s="62"/>
      <c r="OSY2" s="62"/>
      <c r="OSZ2" s="62"/>
      <c r="OTA2" s="62"/>
      <c r="OTB2" s="62"/>
      <c r="OTC2" s="62"/>
      <c r="OTD2" s="62"/>
      <c r="OTE2" s="62"/>
      <c r="OTF2" s="62"/>
      <c r="OTG2" s="62"/>
      <c r="OTH2" s="62"/>
      <c r="OTI2" s="62"/>
      <c r="OTJ2" s="62"/>
      <c r="OTK2" s="62"/>
      <c r="OTL2" s="62"/>
      <c r="OTM2" s="62"/>
      <c r="OTN2" s="62"/>
      <c r="OTO2" s="62"/>
      <c r="OTP2" s="62"/>
      <c r="OTQ2" s="62"/>
      <c r="OTR2" s="62"/>
      <c r="OTS2" s="62"/>
      <c r="OTT2" s="62"/>
      <c r="OTU2" s="62"/>
      <c r="OTV2" s="62"/>
      <c r="OTW2" s="62"/>
      <c r="OTX2" s="62"/>
      <c r="OTY2" s="62"/>
      <c r="OTZ2" s="62"/>
      <c r="OUA2" s="62"/>
      <c r="OUB2" s="62"/>
      <c r="OUC2" s="62"/>
      <c r="OUD2" s="62"/>
      <c r="OUE2" s="62"/>
      <c r="OUF2" s="62"/>
      <c r="OUG2" s="62"/>
      <c r="OUH2" s="62"/>
      <c r="OUI2" s="62"/>
      <c r="OUJ2" s="62"/>
      <c r="OUK2" s="62"/>
      <c r="OUL2" s="62"/>
      <c r="OUM2" s="62"/>
      <c r="OUN2" s="62"/>
      <c r="OUO2" s="62"/>
      <c r="OUP2" s="62"/>
      <c r="OUQ2" s="62"/>
      <c r="OUR2" s="62"/>
      <c r="OUS2" s="62"/>
      <c r="OUT2" s="62"/>
      <c r="OUU2" s="62"/>
      <c r="OUV2" s="62"/>
      <c r="OUW2" s="62"/>
      <c r="OUX2" s="62"/>
      <c r="OUY2" s="62"/>
      <c r="OUZ2" s="62"/>
      <c r="OVA2" s="62"/>
      <c r="OVB2" s="62"/>
      <c r="OVC2" s="62"/>
      <c r="OVD2" s="62"/>
      <c r="OVE2" s="62"/>
      <c r="OVF2" s="62"/>
      <c r="OVG2" s="62"/>
      <c r="OVH2" s="62"/>
      <c r="OVI2" s="62"/>
      <c r="OVJ2" s="62"/>
      <c r="OVK2" s="62"/>
      <c r="OVL2" s="62"/>
      <c r="OVM2" s="62"/>
      <c r="OVN2" s="62"/>
      <c r="OVO2" s="62"/>
      <c r="OVP2" s="62"/>
      <c r="OVQ2" s="62"/>
      <c r="OVR2" s="62"/>
      <c r="OVS2" s="62"/>
      <c r="OVT2" s="62"/>
      <c r="OVU2" s="62"/>
      <c r="OVV2" s="62"/>
      <c r="OVW2" s="62"/>
      <c r="OVX2" s="62"/>
      <c r="OVY2" s="62"/>
      <c r="OVZ2" s="62"/>
      <c r="OWA2" s="62"/>
      <c r="OWB2" s="62"/>
      <c r="OWC2" s="62"/>
      <c r="OWD2" s="62"/>
      <c r="OWE2" s="62"/>
      <c r="OWF2" s="62"/>
      <c r="OWG2" s="62"/>
      <c r="OWH2" s="62"/>
      <c r="OWI2" s="62"/>
      <c r="OWJ2" s="62"/>
      <c r="OWK2" s="62"/>
      <c r="OWL2" s="62"/>
      <c r="OWM2" s="62"/>
      <c r="OWN2" s="62"/>
      <c r="OWO2" s="62"/>
      <c r="OWP2" s="62"/>
      <c r="OWQ2" s="62"/>
      <c r="OWR2" s="62"/>
      <c r="OWS2" s="62"/>
      <c r="OWT2" s="62"/>
      <c r="OWU2" s="62"/>
      <c r="OWV2" s="62"/>
      <c r="OWW2" s="62"/>
      <c r="OWX2" s="62"/>
      <c r="OWY2" s="62"/>
      <c r="OWZ2" s="62"/>
      <c r="OXA2" s="62"/>
      <c r="OXB2" s="62"/>
      <c r="OXC2" s="62"/>
      <c r="OXD2" s="62"/>
      <c r="OXE2" s="62"/>
      <c r="OXF2" s="62"/>
      <c r="OXG2" s="62"/>
      <c r="OXH2" s="62"/>
      <c r="OXI2" s="62"/>
      <c r="OXJ2" s="62"/>
      <c r="OXK2" s="62"/>
      <c r="OXL2" s="62"/>
      <c r="OXM2" s="62"/>
      <c r="OXN2" s="62"/>
      <c r="OXO2" s="62"/>
      <c r="OXP2" s="62"/>
      <c r="OXQ2" s="62"/>
      <c r="OXR2" s="62"/>
      <c r="OXS2" s="62"/>
      <c r="OXT2" s="62"/>
      <c r="OXU2" s="62"/>
      <c r="OXV2" s="62"/>
      <c r="OXW2" s="62"/>
      <c r="OXX2" s="62"/>
      <c r="OXY2" s="62"/>
      <c r="OXZ2" s="62"/>
      <c r="OYA2" s="62"/>
      <c r="OYB2" s="62"/>
      <c r="OYC2" s="62"/>
      <c r="OYD2" s="62"/>
      <c r="OYE2" s="62"/>
      <c r="OYF2" s="62"/>
      <c r="OYG2" s="62"/>
      <c r="OYH2" s="62"/>
      <c r="OYI2" s="62"/>
      <c r="OYJ2" s="62"/>
      <c r="OYK2" s="62"/>
      <c r="OYL2" s="62"/>
      <c r="OYM2" s="62"/>
      <c r="OYN2" s="62"/>
      <c r="OYO2" s="62"/>
      <c r="OYP2" s="62"/>
      <c r="OYQ2" s="62"/>
      <c r="OYR2" s="62"/>
      <c r="OYS2" s="62"/>
      <c r="OYT2" s="62"/>
      <c r="OYU2" s="62"/>
      <c r="OYV2" s="62"/>
      <c r="OYW2" s="62"/>
      <c r="OYX2" s="62"/>
      <c r="OYY2" s="62"/>
      <c r="OYZ2" s="62"/>
      <c r="OZA2" s="62"/>
      <c r="OZB2" s="62"/>
      <c r="OZC2" s="62"/>
      <c r="OZD2" s="62"/>
      <c r="OZE2" s="62"/>
      <c r="OZF2" s="62"/>
      <c r="OZG2" s="62"/>
      <c r="OZH2" s="62"/>
      <c r="OZI2" s="62"/>
      <c r="OZJ2" s="62"/>
      <c r="OZK2" s="62"/>
      <c r="OZL2" s="62"/>
      <c r="OZM2" s="62"/>
      <c r="OZN2" s="62"/>
      <c r="OZO2" s="62"/>
      <c r="OZP2" s="62"/>
      <c r="OZQ2" s="62"/>
      <c r="OZR2" s="62"/>
      <c r="OZS2" s="62"/>
      <c r="OZT2" s="62"/>
      <c r="OZU2" s="62"/>
      <c r="OZV2" s="62"/>
      <c r="OZW2" s="62"/>
      <c r="OZX2" s="62"/>
      <c r="OZY2" s="62"/>
      <c r="OZZ2" s="62"/>
      <c r="PAA2" s="62"/>
      <c r="PAB2" s="62"/>
      <c r="PAC2" s="62"/>
      <c r="PAD2" s="62"/>
      <c r="PAE2" s="62"/>
      <c r="PAF2" s="62"/>
      <c r="PAG2" s="62"/>
      <c r="PAH2" s="62"/>
      <c r="PAI2" s="62"/>
      <c r="PAJ2" s="62"/>
      <c r="PAK2" s="62"/>
      <c r="PAL2" s="62"/>
      <c r="PAM2" s="62"/>
      <c r="PAN2" s="62"/>
      <c r="PAO2" s="62"/>
      <c r="PAP2" s="62"/>
      <c r="PAQ2" s="62"/>
      <c r="PAR2" s="62"/>
      <c r="PAS2" s="62"/>
      <c r="PAT2" s="62"/>
      <c r="PAU2" s="62"/>
      <c r="PAV2" s="62"/>
      <c r="PAW2" s="62"/>
      <c r="PAX2" s="62"/>
      <c r="PAY2" s="62"/>
      <c r="PAZ2" s="62"/>
      <c r="PBA2" s="62"/>
      <c r="PBB2" s="62"/>
      <c r="PBC2" s="62"/>
      <c r="PBD2" s="62"/>
      <c r="PBE2" s="62"/>
      <c r="PBF2" s="62"/>
      <c r="PBG2" s="62"/>
      <c r="PBH2" s="62"/>
      <c r="PBI2" s="62"/>
      <c r="PBJ2" s="62"/>
      <c r="PBK2" s="62"/>
      <c r="PBL2" s="62"/>
      <c r="PBM2" s="62"/>
      <c r="PBN2" s="62"/>
      <c r="PBO2" s="62"/>
      <c r="PBP2" s="62"/>
      <c r="PBQ2" s="62"/>
      <c r="PBR2" s="62"/>
      <c r="PBS2" s="62"/>
      <c r="PBT2" s="62"/>
      <c r="PBU2" s="62"/>
      <c r="PBV2" s="62"/>
      <c r="PBW2" s="62"/>
      <c r="PBX2" s="62"/>
      <c r="PBY2" s="62"/>
      <c r="PBZ2" s="62"/>
      <c r="PCA2" s="62"/>
      <c r="PCB2" s="62"/>
      <c r="PCC2" s="62"/>
      <c r="PCD2" s="62"/>
      <c r="PCE2" s="62"/>
      <c r="PCF2" s="62"/>
      <c r="PCG2" s="62"/>
      <c r="PCH2" s="62"/>
      <c r="PCI2" s="62"/>
      <c r="PCJ2" s="62"/>
      <c r="PCK2" s="62"/>
      <c r="PCL2" s="62"/>
      <c r="PCM2" s="62"/>
      <c r="PCN2" s="62"/>
      <c r="PCO2" s="62"/>
      <c r="PCP2" s="62"/>
      <c r="PCQ2" s="62"/>
      <c r="PCR2" s="62"/>
      <c r="PCS2" s="62"/>
      <c r="PCT2" s="62"/>
      <c r="PCU2" s="62"/>
      <c r="PCV2" s="62"/>
      <c r="PCW2" s="62"/>
      <c r="PCX2" s="62"/>
      <c r="PCY2" s="62"/>
      <c r="PCZ2" s="62"/>
      <c r="PDA2" s="62"/>
      <c r="PDB2" s="62"/>
      <c r="PDC2" s="62"/>
      <c r="PDD2" s="62"/>
      <c r="PDE2" s="62"/>
      <c r="PDF2" s="62"/>
      <c r="PDG2" s="62"/>
      <c r="PDH2" s="62"/>
      <c r="PDI2" s="62"/>
      <c r="PDJ2" s="62"/>
      <c r="PDK2" s="62"/>
      <c r="PDL2" s="62"/>
      <c r="PDM2" s="62"/>
      <c r="PDN2" s="62"/>
      <c r="PDO2" s="62"/>
      <c r="PDP2" s="62"/>
      <c r="PDQ2" s="62"/>
      <c r="PDR2" s="62"/>
      <c r="PDS2" s="62"/>
      <c r="PDT2" s="62"/>
      <c r="PDU2" s="62"/>
      <c r="PDV2" s="62"/>
      <c r="PDW2" s="62"/>
      <c r="PDX2" s="62"/>
      <c r="PDY2" s="62"/>
      <c r="PDZ2" s="62"/>
      <c r="PEA2" s="62"/>
      <c r="PEB2" s="62"/>
      <c r="PEC2" s="62"/>
      <c r="PED2" s="62"/>
      <c r="PEE2" s="62"/>
      <c r="PEF2" s="62"/>
      <c r="PEG2" s="62"/>
      <c r="PEH2" s="62"/>
      <c r="PEI2" s="62"/>
      <c r="PEJ2" s="62"/>
      <c r="PEK2" s="62"/>
      <c r="PEL2" s="62"/>
      <c r="PEM2" s="62"/>
      <c r="PEN2" s="62"/>
      <c r="PEO2" s="62"/>
      <c r="PEP2" s="62"/>
      <c r="PEQ2" s="62"/>
      <c r="PER2" s="62"/>
      <c r="PES2" s="62"/>
      <c r="PET2" s="62"/>
      <c r="PEU2" s="62"/>
      <c r="PEV2" s="62"/>
      <c r="PEW2" s="62"/>
      <c r="PEX2" s="62"/>
      <c r="PEY2" s="62"/>
      <c r="PEZ2" s="62"/>
      <c r="PFA2" s="62"/>
      <c r="PFB2" s="62"/>
      <c r="PFC2" s="62"/>
      <c r="PFD2" s="62"/>
      <c r="PFE2" s="62"/>
      <c r="PFF2" s="62"/>
      <c r="PFG2" s="62"/>
      <c r="PFH2" s="62"/>
      <c r="PFI2" s="62"/>
      <c r="PFJ2" s="62"/>
      <c r="PFK2" s="62"/>
      <c r="PFL2" s="62"/>
      <c r="PFM2" s="62"/>
      <c r="PFN2" s="62"/>
      <c r="PFO2" s="62"/>
      <c r="PFP2" s="62"/>
      <c r="PFQ2" s="62"/>
      <c r="PFR2" s="62"/>
      <c r="PFS2" s="62"/>
      <c r="PFT2" s="62"/>
      <c r="PFU2" s="62"/>
      <c r="PFV2" s="62"/>
      <c r="PFW2" s="62"/>
      <c r="PFX2" s="62"/>
      <c r="PFY2" s="62"/>
      <c r="PFZ2" s="62"/>
      <c r="PGA2" s="62"/>
      <c r="PGB2" s="62"/>
      <c r="PGC2" s="62"/>
      <c r="PGD2" s="62"/>
      <c r="PGE2" s="62"/>
      <c r="PGF2" s="62"/>
      <c r="PGG2" s="62"/>
      <c r="PGH2" s="62"/>
      <c r="PGI2" s="62"/>
      <c r="PGJ2" s="62"/>
      <c r="PGK2" s="62"/>
      <c r="PGL2" s="62"/>
      <c r="PGM2" s="62"/>
      <c r="PGN2" s="62"/>
      <c r="PGO2" s="62"/>
      <c r="PGP2" s="62"/>
      <c r="PGQ2" s="62"/>
      <c r="PGR2" s="62"/>
      <c r="PGS2" s="62"/>
      <c r="PGT2" s="62"/>
      <c r="PGU2" s="62"/>
      <c r="PGV2" s="62"/>
      <c r="PGW2" s="62"/>
      <c r="PGX2" s="62"/>
      <c r="PGY2" s="62"/>
      <c r="PGZ2" s="62"/>
      <c r="PHA2" s="62"/>
      <c r="PHB2" s="62"/>
      <c r="PHC2" s="62"/>
      <c r="PHD2" s="62"/>
      <c r="PHE2" s="62"/>
      <c r="PHF2" s="62"/>
      <c r="PHG2" s="62"/>
      <c r="PHH2" s="62"/>
      <c r="PHI2" s="62"/>
      <c r="PHJ2" s="62"/>
      <c r="PHK2" s="62"/>
      <c r="PHL2" s="62"/>
      <c r="PHM2" s="62"/>
      <c r="PHN2" s="62"/>
      <c r="PHO2" s="62"/>
      <c r="PHP2" s="62"/>
      <c r="PHQ2" s="62"/>
      <c r="PHR2" s="62"/>
      <c r="PHS2" s="62"/>
      <c r="PHT2" s="62"/>
      <c r="PHU2" s="62"/>
      <c r="PHV2" s="62"/>
      <c r="PHW2" s="62"/>
      <c r="PHX2" s="62"/>
      <c r="PHY2" s="62"/>
      <c r="PHZ2" s="62"/>
      <c r="PIA2" s="62"/>
      <c r="PIB2" s="62"/>
      <c r="PIC2" s="62"/>
      <c r="PID2" s="62"/>
      <c r="PIE2" s="62"/>
      <c r="PIF2" s="62"/>
      <c r="PIG2" s="62"/>
      <c r="PIH2" s="62"/>
      <c r="PII2" s="62"/>
      <c r="PIJ2" s="62"/>
      <c r="PIK2" s="62"/>
      <c r="PIL2" s="62"/>
      <c r="PIM2" s="62"/>
      <c r="PIN2" s="62"/>
      <c r="PIO2" s="62"/>
      <c r="PIP2" s="62"/>
      <c r="PIQ2" s="62"/>
      <c r="PIR2" s="62"/>
      <c r="PIS2" s="62"/>
      <c r="PIT2" s="62"/>
      <c r="PIU2" s="62"/>
      <c r="PIV2" s="62"/>
      <c r="PIW2" s="62"/>
      <c r="PIX2" s="62"/>
      <c r="PIY2" s="62"/>
      <c r="PIZ2" s="62"/>
      <c r="PJA2" s="62"/>
      <c r="PJB2" s="62"/>
      <c r="PJC2" s="62"/>
      <c r="PJD2" s="62"/>
      <c r="PJE2" s="62"/>
      <c r="PJF2" s="62"/>
      <c r="PJG2" s="62"/>
      <c r="PJH2" s="62"/>
      <c r="PJI2" s="62"/>
      <c r="PJJ2" s="62"/>
      <c r="PJK2" s="62"/>
      <c r="PJL2" s="62"/>
      <c r="PJM2" s="62"/>
      <c r="PJN2" s="62"/>
      <c r="PJO2" s="62"/>
      <c r="PJP2" s="62"/>
      <c r="PJQ2" s="62"/>
      <c r="PJR2" s="62"/>
      <c r="PJS2" s="62"/>
      <c r="PJT2" s="62"/>
      <c r="PJU2" s="62"/>
      <c r="PJV2" s="62"/>
      <c r="PJW2" s="62"/>
      <c r="PJX2" s="62"/>
      <c r="PJY2" s="62"/>
      <c r="PJZ2" s="62"/>
      <c r="PKA2" s="62"/>
      <c r="PKB2" s="62"/>
      <c r="PKC2" s="62"/>
      <c r="PKD2" s="62"/>
      <c r="PKE2" s="62"/>
      <c r="PKF2" s="62"/>
      <c r="PKG2" s="62"/>
      <c r="PKH2" s="62"/>
      <c r="PKI2" s="62"/>
      <c r="PKJ2" s="62"/>
      <c r="PKK2" s="62"/>
      <c r="PKL2" s="62"/>
      <c r="PKM2" s="62"/>
      <c r="PKN2" s="62"/>
      <c r="PKO2" s="62"/>
      <c r="PKP2" s="62"/>
      <c r="PKQ2" s="62"/>
      <c r="PKR2" s="62"/>
      <c r="PKS2" s="62"/>
      <c r="PKT2" s="62"/>
      <c r="PKU2" s="62"/>
      <c r="PKV2" s="62"/>
      <c r="PKW2" s="62"/>
      <c r="PKX2" s="62"/>
      <c r="PKY2" s="62"/>
      <c r="PKZ2" s="62"/>
      <c r="PLA2" s="62"/>
      <c r="PLB2" s="62"/>
      <c r="PLC2" s="62"/>
      <c r="PLD2" s="62"/>
      <c r="PLE2" s="62"/>
      <c r="PLF2" s="62"/>
      <c r="PLG2" s="62"/>
      <c r="PLH2" s="62"/>
      <c r="PLI2" s="62"/>
      <c r="PLJ2" s="62"/>
      <c r="PLK2" s="62"/>
      <c r="PLL2" s="62"/>
      <c r="PLM2" s="62"/>
      <c r="PLN2" s="62"/>
      <c r="PLO2" s="62"/>
      <c r="PLP2" s="62"/>
      <c r="PLQ2" s="62"/>
      <c r="PLR2" s="62"/>
      <c r="PLS2" s="62"/>
      <c r="PLT2" s="62"/>
      <c r="PLU2" s="62"/>
      <c r="PLV2" s="62"/>
      <c r="PLW2" s="62"/>
      <c r="PLX2" s="62"/>
      <c r="PLY2" s="62"/>
      <c r="PLZ2" s="62"/>
      <c r="PMA2" s="62"/>
      <c r="PMB2" s="62"/>
      <c r="PMC2" s="62"/>
      <c r="PMD2" s="62"/>
      <c r="PME2" s="62"/>
      <c r="PMF2" s="62"/>
      <c r="PMG2" s="62"/>
      <c r="PMH2" s="62"/>
      <c r="PMI2" s="62"/>
      <c r="PMJ2" s="62"/>
      <c r="PMK2" s="62"/>
      <c r="PML2" s="62"/>
      <c r="PMM2" s="62"/>
      <c r="PMN2" s="62"/>
      <c r="PMO2" s="62"/>
      <c r="PMP2" s="62"/>
      <c r="PMQ2" s="62"/>
      <c r="PMR2" s="62"/>
      <c r="PMS2" s="62"/>
      <c r="PMT2" s="62"/>
      <c r="PMU2" s="62"/>
      <c r="PMV2" s="62"/>
      <c r="PMW2" s="62"/>
      <c r="PMX2" s="62"/>
      <c r="PMY2" s="62"/>
      <c r="PMZ2" s="62"/>
      <c r="PNA2" s="62"/>
      <c r="PNB2" s="62"/>
      <c r="PNC2" s="62"/>
      <c r="PND2" s="62"/>
      <c r="PNE2" s="62"/>
      <c r="PNF2" s="62"/>
      <c r="PNG2" s="62"/>
      <c r="PNH2" s="62"/>
      <c r="PNI2" s="62"/>
      <c r="PNJ2" s="62"/>
      <c r="PNK2" s="62"/>
      <c r="PNL2" s="62"/>
      <c r="PNM2" s="62"/>
      <c r="PNN2" s="62"/>
      <c r="PNO2" s="62"/>
      <c r="PNP2" s="62"/>
      <c r="PNQ2" s="62"/>
      <c r="PNR2" s="62"/>
      <c r="PNS2" s="62"/>
      <c r="PNT2" s="62"/>
      <c r="PNU2" s="62"/>
      <c r="PNV2" s="62"/>
      <c r="PNW2" s="62"/>
      <c r="PNX2" s="62"/>
      <c r="PNY2" s="62"/>
      <c r="PNZ2" s="62"/>
      <c r="POA2" s="62"/>
      <c r="POB2" s="62"/>
      <c r="POC2" s="62"/>
      <c r="POD2" s="62"/>
      <c r="POE2" s="62"/>
      <c r="POF2" s="62"/>
      <c r="POG2" s="62"/>
      <c r="POH2" s="62"/>
      <c r="POI2" s="62"/>
      <c r="POJ2" s="62"/>
      <c r="POK2" s="62"/>
      <c r="POL2" s="62"/>
      <c r="POM2" s="62"/>
      <c r="PON2" s="62"/>
      <c r="POO2" s="62"/>
      <c r="POP2" s="62"/>
      <c r="POQ2" s="62"/>
      <c r="POR2" s="62"/>
      <c r="POS2" s="62"/>
      <c r="POT2" s="62"/>
      <c r="POU2" s="62"/>
      <c r="POV2" s="62"/>
      <c r="POW2" s="62"/>
      <c r="POX2" s="62"/>
      <c r="POY2" s="62"/>
      <c r="POZ2" s="62"/>
      <c r="PPA2" s="62"/>
      <c r="PPB2" s="62"/>
      <c r="PPC2" s="62"/>
      <c r="PPD2" s="62"/>
      <c r="PPE2" s="62"/>
      <c r="PPF2" s="62"/>
      <c r="PPG2" s="62"/>
      <c r="PPH2" s="62"/>
      <c r="PPI2" s="62"/>
      <c r="PPJ2" s="62"/>
      <c r="PPK2" s="62"/>
      <c r="PPL2" s="62"/>
      <c r="PPM2" s="62"/>
      <c r="PPN2" s="62"/>
      <c r="PPO2" s="62"/>
      <c r="PPP2" s="62"/>
      <c r="PPQ2" s="62"/>
      <c r="PPR2" s="62"/>
      <c r="PPS2" s="62"/>
      <c r="PPT2" s="62"/>
      <c r="PPU2" s="62"/>
      <c r="PPV2" s="62"/>
      <c r="PPW2" s="62"/>
      <c r="PPX2" s="62"/>
      <c r="PPY2" s="62"/>
      <c r="PPZ2" s="62"/>
      <c r="PQA2" s="62"/>
      <c r="PQB2" s="62"/>
      <c r="PQC2" s="62"/>
      <c r="PQD2" s="62"/>
      <c r="PQE2" s="62"/>
      <c r="PQF2" s="62"/>
      <c r="PQG2" s="62"/>
      <c r="PQH2" s="62"/>
      <c r="PQI2" s="62"/>
      <c r="PQJ2" s="62"/>
      <c r="PQK2" s="62"/>
      <c r="PQL2" s="62"/>
      <c r="PQM2" s="62"/>
      <c r="PQN2" s="62"/>
      <c r="PQO2" s="62"/>
      <c r="PQP2" s="62"/>
      <c r="PQQ2" s="62"/>
      <c r="PQR2" s="62"/>
      <c r="PQS2" s="62"/>
      <c r="PQT2" s="62"/>
      <c r="PQU2" s="62"/>
      <c r="PQV2" s="62"/>
      <c r="PQW2" s="62"/>
      <c r="PQX2" s="62"/>
      <c r="PQY2" s="62"/>
      <c r="PQZ2" s="62"/>
      <c r="PRA2" s="62"/>
      <c r="PRB2" s="62"/>
      <c r="PRC2" s="62"/>
      <c r="PRD2" s="62"/>
      <c r="PRE2" s="62"/>
      <c r="PRF2" s="62"/>
      <c r="PRG2" s="62"/>
      <c r="PRH2" s="62"/>
      <c r="PRI2" s="62"/>
      <c r="PRJ2" s="62"/>
      <c r="PRK2" s="62"/>
      <c r="PRL2" s="62"/>
      <c r="PRM2" s="62"/>
      <c r="PRN2" s="62"/>
      <c r="PRO2" s="62"/>
      <c r="PRP2" s="62"/>
      <c r="PRQ2" s="62"/>
      <c r="PRR2" s="62"/>
      <c r="PRS2" s="62"/>
      <c r="PRT2" s="62"/>
      <c r="PRU2" s="62"/>
      <c r="PRV2" s="62"/>
      <c r="PRW2" s="62"/>
      <c r="PRX2" s="62"/>
      <c r="PRY2" s="62"/>
      <c r="PRZ2" s="62"/>
      <c r="PSA2" s="62"/>
      <c r="PSB2" s="62"/>
      <c r="PSC2" s="62"/>
      <c r="PSD2" s="62"/>
      <c r="PSE2" s="62"/>
      <c r="PSF2" s="62"/>
      <c r="PSG2" s="62"/>
      <c r="PSH2" s="62"/>
      <c r="PSI2" s="62"/>
      <c r="PSJ2" s="62"/>
      <c r="PSK2" s="62"/>
      <c r="PSL2" s="62"/>
      <c r="PSM2" s="62"/>
      <c r="PSN2" s="62"/>
      <c r="PSO2" s="62"/>
      <c r="PSP2" s="62"/>
      <c r="PSQ2" s="62"/>
      <c r="PSR2" s="62"/>
      <c r="PSS2" s="62"/>
      <c r="PST2" s="62"/>
      <c r="PSU2" s="62"/>
      <c r="PSV2" s="62"/>
      <c r="PSW2" s="62"/>
      <c r="PSX2" s="62"/>
      <c r="PSY2" s="62"/>
      <c r="PSZ2" s="62"/>
      <c r="PTA2" s="62"/>
      <c r="PTB2" s="62"/>
      <c r="PTC2" s="62"/>
      <c r="PTD2" s="62"/>
      <c r="PTE2" s="62"/>
      <c r="PTF2" s="62"/>
      <c r="PTG2" s="62"/>
      <c r="PTH2" s="62"/>
      <c r="PTI2" s="62"/>
      <c r="PTJ2" s="62"/>
      <c r="PTK2" s="62"/>
      <c r="PTL2" s="62"/>
      <c r="PTM2" s="62"/>
      <c r="PTN2" s="62"/>
      <c r="PTO2" s="62"/>
      <c r="PTP2" s="62"/>
      <c r="PTQ2" s="62"/>
      <c r="PTR2" s="62"/>
      <c r="PTS2" s="62"/>
      <c r="PTT2" s="62"/>
      <c r="PTU2" s="62"/>
      <c r="PTV2" s="62"/>
      <c r="PTW2" s="62"/>
      <c r="PTX2" s="62"/>
      <c r="PTY2" s="62"/>
      <c r="PTZ2" s="62"/>
      <c r="PUA2" s="62"/>
      <c r="PUB2" s="62"/>
      <c r="PUC2" s="62"/>
      <c r="PUD2" s="62"/>
      <c r="PUE2" s="62"/>
      <c r="PUF2" s="62"/>
      <c r="PUG2" s="62"/>
      <c r="PUH2" s="62"/>
      <c r="PUI2" s="62"/>
      <c r="PUJ2" s="62"/>
      <c r="PUK2" s="62"/>
      <c r="PUL2" s="62"/>
      <c r="PUM2" s="62"/>
      <c r="PUN2" s="62"/>
      <c r="PUO2" s="62"/>
      <c r="PUP2" s="62"/>
      <c r="PUQ2" s="62"/>
      <c r="PUR2" s="62"/>
      <c r="PUS2" s="62"/>
      <c r="PUT2" s="62"/>
      <c r="PUU2" s="62"/>
      <c r="PUV2" s="62"/>
      <c r="PUW2" s="62"/>
      <c r="PUX2" s="62"/>
      <c r="PUY2" s="62"/>
      <c r="PUZ2" s="62"/>
      <c r="PVA2" s="62"/>
      <c r="PVB2" s="62"/>
      <c r="PVC2" s="62"/>
      <c r="PVD2" s="62"/>
      <c r="PVE2" s="62"/>
      <c r="PVF2" s="62"/>
      <c r="PVG2" s="62"/>
      <c r="PVH2" s="62"/>
      <c r="PVI2" s="62"/>
      <c r="PVJ2" s="62"/>
      <c r="PVK2" s="62"/>
      <c r="PVL2" s="62"/>
      <c r="PVM2" s="62"/>
      <c r="PVN2" s="62"/>
      <c r="PVO2" s="62"/>
      <c r="PVP2" s="62"/>
      <c r="PVQ2" s="62"/>
      <c r="PVR2" s="62"/>
      <c r="PVS2" s="62"/>
      <c r="PVT2" s="62"/>
      <c r="PVU2" s="62"/>
      <c r="PVV2" s="62"/>
      <c r="PVW2" s="62"/>
      <c r="PVX2" s="62"/>
      <c r="PVY2" s="62"/>
      <c r="PVZ2" s="62"/>
      <c r="PWA2" s="62"/>
      <c r="PWB2" s="62"/>
      <c r="PWC2" s="62"/>
      <c r="PWD2" s="62"/>
      <c r="PWE2" s="62"/>
      <c r="PWF2" s="62"/>
      <c r="PWG2" s="62"/>
      <c r="PWH2" s="62"/>
      <c r="PWI2" s="62"/>
      <c r="PWJ2" s="62"/>
      <c r="PWK2" s="62"/>
      <c r="PWL2" s="62"/>
      <c r="PWM2" s="62"/>
      <c r="PWN2" s="62"/>
      <c r="PWO2" s="62"/>
      <c r="PWP2" s="62"/>
      <c r="PWQ2" s="62"/>
      <c r="PWR2" s="62"/>
      <c r="PWS2" s="62"/>
      <c r="PWT2" s="62"/>
      <c r="PWU2" s="62"/>
      <c r="PWV2" s="62"/>
      <c r="PWW2" s="62"/>
      <c r="PWX2" s="62"/>
      <c r="PWY2" s="62"/>
      <c r="PWZ2" s="62"/>
      <c r="PXA2" s="62"/>
      <c r="PXB2" s="62"/>
      <c r="PXC2" s="62"/>
      <c r="PXD2" s="62"/>
      <c r="PXE2" s="62"/>
      <c r="PXF2" s="62"/>
      <c r="PXG2" s="62"/>
      <c r="PXH2" s="62"/>
      <c r="PXI2" s="62"/>
      <c r="PXJ2" s="62"/>
      <c r="PXK2" s="62"/>
      <c r="PXL2" s="62"/>
      <c r="PXM2" s="62"/>
      <c r="PXN2" s="62"/>
      <c r="PXO2" s="62"/>
      <c r="PXP2" s="62"/>
      <c r="PXQ2" s="62"/>
      <c r="PXR2" s="62"/>
      <c r="PXS2" s="62"/>
      <c r="PXT2" s="62"/>
      <c r="PXU2" s="62"/>
      <c r="PXV2" s="62"/>
      <c r="PXW2" s="62"/>
      <c r="PXX2" s="62"/>
      <c r="PXY2" s="62"/>
      <c r="PXZ2" s="62"/>
      <c r="PYA2" s="62"/>
      <c r="PYB2" s="62"/>
      <c r="PYC2" s="62"/>
      <c r="PYD2" s="62"/>
      <c r="PYE2" s="62"/>
      <c r="PYF2" s="62"/>
      <c r="PYG2" s="62"/>
      <c r="PYH2" s="62"/>
      <c r="PYI2" s="62"/>
      <c r="PYJ2" s="62"/>
      <c r="PYK2" s="62"/>
      <c r="PYL2" s="62"/>
      <c r="PYM2" s="62"/>
      <c r="PYN2" s="62"/>
      <c r="PYO2" s="62"/>
      <c r="PYP2" s="62"/>
      <c r="PYQ2" s="62"/>
      <c r="PYR2" s="62"/>
      <c r="PYS2" s="62"/>
      <c r="PYT2" s="62"/>
      <c r="PYU2" s="62"/>
      <c r="PYV2" s="62"/>
      <c r="PYW2" s="62"/>
      <c r="PYX2" s="62"/>
      <c r="PYY2" s="62"/>
      <c r="PYZ2" s="62"/>
      <c r="PZA2" s="62"/>
      <c r="PZB2" s="62"/>
      <c r="PZC2" s="62"/>
      <c r="PZD2" s="62"/>
      <c r="PZE2" s="62"/>
      <c r="PZF2" s="62"/>
      <c r="PZG2" s="62"/>
      <c r="PZH2" s="62"/>
      <c r="PZI2" s="62"/>
      <c r="PZJ2" s="62"/>
      <c r="PZK2" s="62"/>
      <c r="PZL2" s="62"/>
      <c r="PZM2" s="62"/>
      <c r="PZN2" s="62"/>
      <c r="PZO2" s="62"/>
      <c r="PZP2" s="62"/>
      <c r="PZQ2" s="62"/>
      <c r="PZR2" s="62"/>
      <c r="PZS2" s="62"/>
      <c r="PZT2" s="62"/>
      <c r="PZU2" s="62"/>
      <c r="PZV2" s="62"/>
      <c r="PZW2" s="62"/>
      <c r="PZX2" s="62"/>
      <c r="PZY2" s="62"/>
      <c r="PZZ2" s="62"/>
      <c r="QAA2" s="62"/>
      <c r="QAB2" s="62"/>
      <c r="QAC2" s="62"/>
      <c r="QAD2" s="62"/>
      <c r="QAE2" s="62"/>
      <c r="QAF2" s="62"/>
      <c r="QAG2" s="62"/>
      <c r="QAH2" s="62"/>
      <c r="QAI2" s="62"/>
      <c r="QAJ2" s="62"/>
      <c r="QAK2" s="62"/>
      <c r="QAL2" s="62"/>
      <c r="QAM2" s="62"/>
      <c r="QAN2" s="62"/>
      <c r="QAO2" s="62"/>
      <c r="QAP2" s="62"/>
      <c r="QAQ2" s="62"/>
      <c r="QAR2" s="62"/>
      <c r="QAS2" s="62"/>
      <c r="QAT2" s="62"/>
      <c r="QAU2" s="62"/>
      <c r="QAV2" s="62"/>
      <c r="QAW2" s="62"/>
      <c r="QAX2" s="62"/>
      <c r="QAY2" s="62"/>
      <c r="QAZ2" s="62"/>
      <c r="QBA2" s="62"/>
      <c r="QBB2" s="62"/>
      <c r="QBC2" s="62"/>
      <c r="QBD2" s="62"/>
      <c r="QBE2" s="62"/>
      <c r="QBF2" s="62"/>
      <c r="QBG2" s="62"/>
      <c r="QBH2" s="62"/>
      <c r="QBI2" s="62"/>
      <c r="QBJ2" s="62"/>
      <c r="QBK2" s="62"/>
      <c r="QBL2" s="62"/>
      <c r="QBM2" s="62"/>
      <c r="QBN2" s="62"/>
      <c r="QBO2" s="62"/>
      <c r="QBP2" s="62"/>
      <c r="QBQ2" s="62"/>
      <c r="QBR2" s="62"/>
      <c r="QBS2" s="62"/>
      <c r="QBT2" s="62"/>
      <c r="QBU2" s="62"/>
      <c r="QBV2" s="62"/>
      <c r="QBW2" s="62"/>
      <c r="QBX2" s="62"/>
      <c r="QBY2" s="62"/>
      <c r="QBZ2" s="62"/>
      <c r="QCA2" s="62"/>
      <c r="QCB2" s="62"/>
      <c r="QCC2" s="62"/>
      <c r="QCD2" s="62"/>
      <c r="QCE2" s="62"/>
      <c r="QCF2" s="62"/>
      <c r="QCG2" s="62"/>
      <c r="QCH2" s="62"/>
      <c r="QCI2" s="62"/>
      <c r="QCJ2" s="62"/>
      <c r="QCK2" s="62"/>
      <c r="QCL2" s="62"/>
      <c r="QCM2" s="62"/>
      <c r="QCN2" s="62"/>
      <c r="QCO2" s="62"/>
      <c r="QCP2" s="62"/>
      <c r="QCQ2" s="62"/>
      <c r="QCR2" s="62"/>
      <c r="QCS2" s="62"/>
      <c r="QCT2" s="62"/>
      <c r="QCU2" s="62"/>
      <c r="QCV2" s="62"/>
      <c r="QCW2" s="62"/>
      <c r="QCX2" s="62"/>
      <c r="QCY2" s="62"/>
      <c r="QCZ2" s="62"/>
      <c r="QDA2" s="62"/>
      <c r="QDB2" s="62"/>
      <c r="QDC2" s="62"/>
      <c r="QDD2" s="62"/>
      <c r="QDE2" s="62"/>
      <c r="QDF2" s="62"/>
      <c r="QDG2" s="62"/>
      <c r="QDH2" s="62"/>
      <c r="QDI2" s="62"/>
      <c r="QDJ2" s="62"/>
      <c r="QDK2" s="62"/>
      <c r="QDL2" s="62"/>
      <c r="QDM2" s="62"/>
      <c r="QDN2" s="62"/>
      <c r="QDO2" s="62"/>
      <c r="QDP2" s="62"/>
      <c r="QDQ2" s="62"/>
      <c r="QDR2" s="62"/>
      <c r="QDS2" s="62"/>
      <c r="QDT2" s="62"/>
      <c r="QDU2" s="62"/>
      <c r="QDV2" s="62"/>
      <c r="QDW2" s="62"/>
      <c r="QDX2" s="62"/>
      <c r="QDY2" s="62"/>
      <c r="QDZ2" s="62"/>
      <c r="QEA2" s="62"/>
      <c r="QEB2" s="62"/>
      <c r="QEC2" s="62"/>
      <c r="QED2" s="62"/>
      <c r="QEE2" s="62"/>
      <c r="QEF2" s="62"/>
      <c r="QEG2" s="62"/>
      <c r="QEH2" s="62"/>
      <c r="QEI2" s="62"/>
      <c r="QEJ2" s="62"/>
      <c r="QEK2" s="62"/>
      <c r="QEL2" s="62"/>
      <c r="QEM2" s="62"/>
      <c r="QEN2" s="62"/>
      <c r="QEO2" s="62"/>
      <c r="QEP2" s="62"/>
      <c r="QEQ2" s="62"/>
      <c r="QER2" s="62"/>
      <c r="QES2" s="62"/>
      <c r="QET2" s="62"/>
      <c r="QEU2" s="62"/>
      <c r="QEV2" s="62"/>
      <c r="QEW2" s="62"/>
      <c r="QEX2" s="62"/>
      <c r="QEY2" s="62"/>
      <c r="QEZ2" s="62"/>
      <c r="QFA2" s="62"/>
      <c r="QFB2" s="62"/>
      <c r="QFC2" s="62"/>
      <c r="QFD2" s="62"/>
      <c r="QFE2" s="62"/>
      <c r="QFF2" s="62"/>
      <c r="QFG2" s="62"/>
      <c r="QFH2" s="62"/>
      <c r="QFI2" s="62"/>
      <c r="QFJ2" s="62"/>
      <c r="QFK2" s="62"/>
      <c r="QFL2" s="62"/>
      <c r="QFM2" s="62"/>
      <c r="QFN2" s="62"/>
      <c r="QFO2" s="62"/>
      <c r="QFP2" s="62"/>
      <c r="QFQ2" s="62"/>
      <c r="QFR2" s="62"/>
      <c r="QFS2" s="62"/>
      <c r="QFT2" s="62"/>
      <c r="QFU2" s="62"/>
      <c r="QFV2" s="62"/>
      <c r="QFW2" s="62"/>
      <c r="QFX2" s="62"/>
      <c r="QFY2" s="62"/>
      <c r="QFZ2" s="62"/>
      <c r="QGA2" s="62"/>
      <c r="QGB2" s="62"/>
      <c r="QGC2" s="62"/>
      <c r="QGD2" s="62"/>
      <c r="QGE2" s="62"/>
      <c r="QGF2" s="62"/>
      <c r="QGG2" s="62"/>
      <c r="QGH2" s="62"/>
      <c r="QGI2" s="62"/>
      <c r="QGJ2" s="62"/>
      <c r="QGK2" s="62"/>
      <c r="QGL2" s="62"/>
      <c r="QGM2" s="62"/>
      <c r="QGN2" s="62"/>
      <c r="QGO2" s="62"/>
      <c r="QGP2" s="62"/>
      <c r="QGQ2" s="62"/>
      <c r="QGR2" s="62"/>
      <c r="QGS2" s="62"/>
      <c r="QGT2" s="62"/>
      <c r="QGU2" s="62"/>
      <c r="QGV2" s="62"/>
      <c r="QGW2" s="62"/>
      <c r="QGX2" s="62"/>
      <c r="QGY2" s="62"/>
      <c r="QGZ2" s="62"/>
      <c r="QHA2" s="62"/>
      <c r="QHB2" s="62"/>
      <c r="QHC2" s="62"/>
      <c r="QHD2" s="62"/>
      <c r="QHE2" s="62"/>
      <c r="QHF2" s="62"/>
      <c r="QHG2" s="62"/>
      <c r="QHH2" s="62"/>
      <c r="QHI2" s="62"/>
      <c r="QHJ2" s="62"/>
      <c r="QHK2" s="62"/>
      <c r="QHL2" s="62"/>
      <c r="QHM2" s="62"/>
      <c r="QHN2" s="62"/>
      <c r="QHO2" s="62"/>
      <c r="QHP2" s="62"/>
      <c r="QHQ2" s="62"/>
      <c r="QHR2" s="62"/>
      <c r="QHS2" s="62"/>
      <c r="QHT2" s="62"/>
      <c r="QHU2" s="62"/>
      <c r="QHV2" s="62"/>
      <c r="QHW2" s="62"/>
      <c r="QHX2" s="62"/>
      <c r="QHY2" s="62"/>
      <c r="QHZ2" s="62"/>
      <c r="QIA2" s="62"/>
      <c r="QIB2" s="62"/>
      <c r="QIC2" s="62"/>
      <c r="QID2" s="62"/>
      <c r="QIE2" s="62"/>
      <c r="QIF2" s="62"/>
      <c r="QIG2" s="62"/>
      <c r="QIH2" s="62"/>
      <c r="QII2" s="62"/>
      <c r="QIJ2" s="62"/>
      <c r="QIK2" s="62"/>
      <c r="QIL2" s="62"/>
      <c r="QIM2" s="62"/>
      <c r="QIN2" s="62"/>
      <c r="QIO2" s="62"/>
      <c r="QIP2" s="62"/>
      <c r="QIQ2" s="62"/>
      <c r="QIR2" s="62"/>
      <c r="QIS2" s="62"/>
      <c r="QIT2" s="62"/>
      <c r="QIU2" s="62"/>
      <c r="QIV2" s="62"/>
      <c r="QIW2" s="62"/>
      <c r="QIX2" s="62"/>
      <c r="QIY2" s="62"/>
      <c r="QIZ2" s="62"/>
      <c r="QJA2" s="62"/>
      <c r="QJB2" s="62"/>
      <c r="QJC2" s="62"/>
      <c r="QJD2" s="62"/>
      <c r="QJE2" s="62"/>
      <c r="QJF2" s="62"/>
      <c r="QJG2" s="62"/>
      <c r="QJH2" s="62"/>
      <c r="QJI2" s="62"/>
      <c r="QJJ2" s="62"/>
      <c r="QJK2" s="62"/>
      <c r="QJL2" s="62"/>
      <c r="QJM2" s="62"/>
      <c r="QJN2" s="62"/>
      <c r="QJO2" s="62"/>
      <c r="QJP2" s="62"/>
      <c r="QJQ2" s="62"/>
      <c r="QJR2" s="62"/>
      <c r="QJS2" s="62"/>
      <c r="QJT2" s="62"/>
      <c r="QJU2" s="62"/>
      <c r="QJV2" s="62"/>
      <c r="QJW2" s="62"/>
      <c r="QJX2" s="62"/>
      <c r="QJY2" s="62"/>
      <c r="QJZ2" s="62"/>
      <c r="QKA2" s="62"/>
      <c r="QKB2" s="62"/>
      <c r="QKC2" s="62"/>
      <c r="QKD2" s="62"/>
      <c r="QKE2" s="62"/>
      <c r="QKF2" s="62"/>
      <c r="QKG2" s="62"/>
      <c r="QKH2" s="62"/>
      <c r="QKI2" s="62"/>
      <c r="QKJ2" s="62"/>
      <c r="QKK2" s="62"/>
      <c r="QKL2" s="62"/>
      <c r="QKM2" s="62"/>
      <c r="QKN2" s="62"/>
      <c r="QKO2" s="62"/>
      <c r="QKP2" s="62"/>
      <c r="QKQ2" s="62"/>
      <c r="QKR2" s="62"/>
      <c r="QKS2" s="62"/>
      <c r="QKT2" s="62"/>
      <c r="QKU2" s="62"/>
      <c r="QKV2" s="62"/>
      <c r="QKW2" s="62"/>
      <c r="QKX2" s="62"/>
      <c r="QKY2" s="62"/>
      <c r="QKZ2" s="62"/>
      <c r="QLA2" s="62"/>
      <c r="QLB2" s="62"/>
      <c r="QLC2" s="62"/>
      <c r="QLD2" s="62"/>
      <c r="QLE2" s="62"/>
      <c r="QLF2" s="62"/>
      <c r="QLG2" s="62"/>
      <c r="QLH2" s="62"/>
      <c r="QLI2" s="62"/>
      <c r="QLJ2" s="62"/>
      <c r="QLK2" s="62"/>
      <c r="QLL2" s="62"/>
      <c r="QLM2" s="62"/>
      <c r="QLN2" s="62"/>
      <c r="QLO2" s="62"/>
      <c r="QLP2" s="62"/>
      <c r="QLQ2" s="62"/>
      <c r="QLR2" s="62"/>
      <c r="QLS2" s="62"/>
      <c r="QLT2" s="62"/>
      <c r="QLU2" s="62"/>
      <c r="QLV2" s="62"/>
      <c r="QLW2" s="62"/>
      <c r="QLX2" s="62"/>
      <c r="QLY2" s="62"/>
      <c r="QLZ2" s="62"/>
      <c r="QMA2" s="62"/>
      <c r="QMB2" s="62"/>
      <c r="QMC2" s="62"/>
      <c r="QMD2" s="62"/>
      <c r="QME2" s="62"/>
      <c r="QMF2" s="62"/>
      <c r="QMG2" s="62"/>
      <c r="QMH2" s="62"/>
      <c r="QMI2" s="62"/>
      <c r="QMJ2" s="62"/>
      <c r="QMK2" s="62"/>
      <c r="QML2" s="62"/>
      <c r="QMM2" s="62"/>
      <c r="QMN2" s="62"/>
      <c r="QMO2" s="62"/>
      <c r="QMP2" s="62"/>
      <c r="QMQ2" s="62"/>
      <c r="QMR2" s="62"/>
      <c r="QMS2" s="62"/>
      <c r="QMT2" s="62"/>
      <c r="QMU2" s="62"/>
      <c r="QMV2" s="62"/>
      <c r="QMW2" s="62"/>
      <c r="QMX2" s="62"/>
      <c r="QMY2" s="62"/>
      <c r="QMZ2" s="62"/>
      <c r="QNA2" s="62"/>
      <c r="QNB2" s="62"/>
      <c r="QNC2" s="62"/>
      <c r="QND2" s="62"/>
      <c r="QNE2" s="62"/>
      <c r="QNF2" s="62"/>
      <c r="QNG2" s="62"/>
      <c r="QNH2" s="62"/>
      <c r="QNI2" s="62"/>
      <c r="QNJ2" s="62"/>
      <c r="QNK2" s="62"/>
      <c r="QNL2" s="62"/>
      <c r="QNM2" s="62"/>
      <c r="QNN2" s="62"/>
      <c r="QNO2" s="62"/>
      <c r="QNP2" s="62"/>
      <c r="QNQ2" s="62"/>
      <c r="QNR2" s="62"/>
      <c r="QNS2" s="62"/>
      <c r="QNT2" s="62"/>
      <c r="QNU2" s="62"/>
      <c r="QNV2" s="62"/>
      <c r="QNW2" s="62"/>
      <c r="QNX2" s="62"/>
      <c r="QNY2" s="62"/>
      <c r="QNZ2" s="62"/>
      <c r="QOA2" s="62"/>
      <c r="QOB2" s="62"/>
      <c r="QOC2" s="62"/>
      <c r="QOD2" s="62"/>
      <c r="QOE2" s="62"/>
      <c r="QOF2" s="62"/>
      <c r="QOG2" s="62"/>
      <c r="QOH2" s="62"/>
      <c r="QOI2" s="62"/>
      <c r="QOJ2" s="62"/>
      <c r="QOK2" s="62"/>
      <c r="QOL2" s="62"/>
      <c r="QOM2" s="62"/>
      <c r="QON2" s="62"/>
      <c r="QOO2" s="62"/>
      <c r="QOP2" s="62"/>
      <c r="QOQ2" s="62"/>
      <c r="QOR2" s="62"/>
      <c r="QOS2" s="62"/>
      <c r="QOT2" s="62"/>
      <c r="QOU2" s="62"/>
      <c r="QOV2" s="62"/>
      <c r="QOW2" s="62"/>
      <c r="QOX2" s="62"/>
      <c r="QOY2" s="62"/>
      <c r="QOZ2" s="62"/>
      <c r="QPA2" s="62"/>
      <c r="QPB2" s="62"/>
      <c r="QPC2" s="62"/>
      <c r="QPD2" s="62"/>
      <c r="QPE2" s="62"/>
      <c r="QPF2" s="62"/>
      <c r="QPG2" s="62"/>
      <c r="QPH2" s="62"/>
      <c r="QPI2" s="62"/>
      <c r="QPJ2" s="62"/>
      <c r="QPK2" s="62"/>
      <c r="QPL2" s="62"/>
      <c r="QPM2" s="62"/>
      <c r="QPN2" s="62"/>
      <c r="QPO2" s="62"/>
      <c r="QPP2" s="62"/>
      <c r="QPQ2" s="62"/>
      <c r="QPR2" s="62"/>
      <c r="QPS2" s="62"/>
      <c r="QPT2" s="62"/>
      <c r="QPU2" s="62"/>
      <c r="QPV2" s="62"/>
      <c r="QPW2" s="62"/>
      <c r="QPX2" s="62"/>
      <c r="QPY2" s="62"/>
      <c r="QPZ2" s="62"/>
      <c r="QQA2" s="62"/>
      <c r="QQB2" s="62"/>
      <c r="QQC2" s="62"/>
      <c r="QQD2" s="62"/>
      <c r="QQE2" s="62"/>
      <c r="QQF2" s="62"/>
      <c r="QQG2" s="62"/>
      <c r="QQH2" s="62"/>
      <c r="QQI2" s="62"/>
      <c r="QQJ2" s="62"/>
      <c r="QQK2" s="62"/>
      <c r="QQL2" s="62"/>
      <c r="QQM2" s="62"/>
      <c r="QQN2" s="62"/>
      <c r="QQO2" s="62"/>
      <c r="QQP2" s="62"/>
      <c r="QQQ2" s="62"/>
      <c r="QQR2" s="62"/>
      <c r="QQS2" s="62"/>
      <c r="QQT2" s="62"/>
      <c r="QQU2" s="62"/>
      <c r="QQV2" s="62"/>
      <c r="QQW2" s="62"/>
      <c r="QQX2" s="62"/>
      <c r="QQY2" s="62"/>
      <c r="QQZ2" s="62"/>
      <c r="QRA2" s="62"/>
      <c r="QRB2" s="62"/>
      <c r="QRC2" s="62"/>
      <c r="QRD2" s="62"/>
      <c r="QRE2" s="62"/>
      <c r="QRF2" s="62"/>
      <c r="QRG2" s="62"/>
      <c r="QRH2" s="62"/>
      <c r="QRI2" s="62"/>
      <c r="QRJ2" s="62"/>
      <c r="QRK2" s="62"/>
      <c r="QRL2" s="62"/>
      <c r="QRM2" s="62"/>
      <c r="QRN2" s="62"/>
      <c r="QRO2" s="62"/>
      <c r="QRP2" s="62"/>
      <c r="QRQ2" s="62"/>
      <c r="QRR2" s="62"/>
      <c r="QRS2" s="62"/>
      <c r="QRT2" s="62"/>
      <c r="QRU2" s="62"/>
      <c r="QRV2" s="62"/>
      <c r="QRW2" s="62"/>
      <c r="QRX2" s="62"/>
      <c r="QRY2" s="62"/>
      <c r="QRZ2" s="62"/>
      <c r="QSA2" s="62"/>
      <c r="QSB2" s="62"/>
      <c r="QSC2" s="62"/>
      <c r="QSD2" s="62"/>
      <c r="QSE2" s="62"/>
      <c r="QSF2" s="62"/>
      <c r="QSG2" s="62"/>
      <c r="QSH2" s="62"/>
      <c r="QSI2" s="62"/>
      <c r="QSJ2" s="62"/>
      <c r="QSK2" s="62"/>
      <c r="QSL2" s="62"/>
      <c r="QSM2" s="62"/>
      <c r="QSN2" s="62"/>
      <c r="QSO2" s="62"/>
      <c r="QSP2" s="62"/>
      <c r="QSQ2" s="62"/>
      <c r="QSR2" s="62"/>
      <c r="QSS2" s="62"/>
      <c r="QST2" s="62"/>
      <c r="QSU2" s="62"/>
      <c r="QSV2" s="62"/>
      <c r="QSW2" s="62"/>
      <c r="QSX2" s="62"/>
      <c r="QSY2" s="62"/>
      <c r="QSZ2" s="62"/>
      <c r="QTA2" s="62"/>
      <c r="QTB2" s="62"/>
      <c r="QTC2" s="62"/>
      <c r="QTD2" s="62"/>
      <c r="QTE2" s="62"/>
      <c r="QTF2" s="62"/>
      <c r="QTG2" s="62"/>
      <c r="QTH2" s="62"/>
      <c r="QTI2" s="62"/>
      <c r="QTJ2" s="62"/>
      <c r="QTK2" s="62"/>
      <c r="QTL2" s="62"/>
      <c r="QTM2" s="62"/>
      <c r="QTN2" s="62"/>
      <c r="QTO2" s="62"/>
      <c r="QTP2" s="62"/>
      <c r="QTQ2" s="62"/>
      <c r="QTR2" s="62"/>
      <c r="QTS2" s="62"/>
      <c r="QTT2" s="62"/>
      <c r="QTU2" s="62"/>
      <c r="QTV2" s="62"/>
      <c r="QTW2" s="62"/>
      <c r="QTX2" s="62"/>
      <c r="QTY2" s="62"/>
      <c r="QTZ2" s="62"/>
      <c r="QUA2" s="62"/>
      <c r="QUB2" s="62"/>
      <c r="QUC2" s="62"/>
      <c r="QUD2" s="62"/>
      <c r="QUE2" s="62"/>
      <c r="QUF2" s="62"/>
      <c r="QUG2" s="62"/>
      <c r="QUH2" s="62"/>
      <c r="QUI2" s="62"/>
      <c r="QUJ2" s="62"/>
      <c r="QUK2" s="62"/>
      <c r="QUL2" s="62"/>
      <c r="QUM2" s="62"/>
      <c r="QUN2" s="62"/>
      <c r="QUO2" s="62"/>
      <c r="QUP2" s="62"/>
      <c r="QUQ2" s="62"/>
      <c r="QUR2" s="62"/>
      <c r="QUS2" s="62"/>
      <c r="QUT2" s="62"/>
      <c r="QUU2" s="62"/>
      <c r="QUV2" s="62"/>
      <c r="QUW2" s="62"/>
      <c r="QUX2" s="62"/>
      <c r="QUY2" s="62"/>
      <c r="QUZ2" s="62"/>
      <c r="QVA2" s="62"/>
      <c r="QVB2" s="62"/>
      <c r="QVC2" s="62"/>
      <c r="QVD2" s="62"/>
      <c r="QVE2" s="62"/>
      <c r="QVF2" s="62"/>
      <c r="QVG2" s="62"/>
      <c r="QVH2" s="62"/>
      <c r="QVI2" s="62"/>
      <c r="QVJ2" s="62"/>
      <c r="QVK2" s="62"/>
      <c r="QVL2" s="62"/>
      <c r="QVM2" s="62"/>
      <c r="QVN2" s="62"/>
      <c r="QVO2" s="62"/>
      <c r="QVP2" s="62"/>
      <c r="QVQ2" s="62"/>
      <c r="QVR2" s="62"/>
      <c r="QVS2" s="62"/>
      <c r="QVT2" s="62"/>
      <c r="QVU2" s="62"/>
      <c r="QVV2" s="62"/>
      <c r="QVW2" s="62"/>
      <c r="QVX2" s="62"/>
      <c r="QVY2" s="62"/>
      <c r="QVZ2" s="62"/>
      <c r="QWA2" s="62"/>
      <c r="QWB2" s="62"/>
      <c r="QWC2" s="62"/>
      <c r="QWD2" s="62"/>
      <c r="QWE2" s="62"/>
      <c r="QWF2" s="62"/>
      <c r="QWG2" s="62"/>
      <c r="QWH2" s="62"/>
      <c r="QWI2" s="62"/>
      <c r="QWJ2" s="62"/>
      <c r="QWK2" s="62"/>
      <c r="QWL2" s="62"/>
      <c r="QWM2" s="62"/>
      <c r="QWN2" s="62"/>
      <c r="QWO2" s="62"/>
      <c r="QWP2" s="62"/>
      <c r="QWQ2" s="62"/>
      <c r="QWR2" s="62"/>
      <c r="QWS2" s="62"/>
      <c r="QWT2" s="62"/>
      <c r="QWU2" s="62"/>
      <c r="QWV2" s="62"/>
      <c r="QWW2" s="62"/>
      <c r="QWX2" s="62"/>
      <c r="QWY2" s="62"/>
      <c r="QWZ2" s="62"/>
      <c r="QXA2" s="62"/>
      <c r="QXB2" s="62"/>
      <c r="QXC2" s="62"/>
      <c r="QXD2" s="62"/>
      <c r="QXE2" s="62"/>
      <c r="QXF2" s="62"/>
      <c r="QXG2" s="62"/>
      <c r="QXH2" s="62"/>
      <c r="QXI2" s="62"/>
      <c r="QXJ2" s="62"/>
      <c r="QXK2" s="62"/>
      <c r="QXL2" s="62"/>
      <c r="QXM2" s="62"/>
      <c r="QXN2" s="62"/>
      <c r="QXO2" s="62"/>
      <c r="QXP2" s="62"/>
      <c r="QXQ2" s="62"/>
      <c r="QXR2" s="62"/>
      <c r="QXS2" s="62"/>
      <c r="QXT2" s="62"/>
      <c r="QXU2" s="62"/>
      <c r="QXV2" s="62"/>
      <c r="QXW2" s="62"/>
      <c r="QXX2" s="62"/>
      <c r="QXY2" s="62"/>
      <c r="QXZ2" s="62"/>
      <c r="QYA2" s="62"/>
      <c r="QYB2" s="62"/>
      <c r="QYC2" s="62"/>
      <c r="QYD2" s="62"/>
      <c r="QYE2" s="62"/>
      <c r="QYF2" s="62"/>
      <c r="QYG2" s="62"/>
      <c r="QYH2" s="62"/>
      <c r="QYI2" s="62"/>
      <c r="QYJ2" s="62"/>
      <c r="QYK2" s="62"/>
      <c r="QYL2" s="62"/>
      <c r="QYM2" s="62"/>
      <c r="QYN2" s="62"/>
      <c r="QYO2" s="62"/>
      <c r="QYP2" s="62"/>
      <c r="QYQ2" s="62"/>
      <c r="QYR2" s="62"/>
      <c r="QYS2" s="62"/>
      <c r="QYT2" s="62"/>
      <c r="QYU2" s="62"/>
      <c r="QYV2" s="62"/>
      <c r="QYW2" s="62"/>
      <c r="QYX2" s="62"/>
      <c r="QYY2" s="62"/>
      <c r="QYZ2" s="62"/>
      <c r="QZA2" s="62"/>
      <c r="QZB2" s="62"/>
      <c r="QZC2" s="62"/>
      <c r="QZD2" s="62"/>
      <c r="QZE2" s="62"/>
      <c r="QZF2" s="62"/>
      <c r="QZG2" s="62"/>
      <c r="QZH2" s="62"/>
      <c r="QZI2" s="62"/>
      <c r="QZJ2" s="62"/>
      <c r="QZK2" s="62"/>
      <c r="QZL2" s="62"/>
      <c r="QZM2" s="62"/>
      <c r="QZN2" s="62"/>
      <c r="QZO2" s="62"/>
      <c r="QZP2" s="62"/>
      <c r="QZQ2" s="62"/>
      <c r="QZR2" s="62"/>
      <c r="QZS2" s="62"/>
      <c r="QZT2" s="62"/>
      <c r="QZU2" s="62"/>
      <c r="QZV2" s="62"/>
      <c r="QZW2" s="62"/>
      <c r="QZX2" s="62"/>
      <c r="QZY2" s="62"/>
      <c r="QZZ2" s="62"/>
      <c r="RAA2" s="62"/>
      <c r="RAB2" s="62"/>
      <c r="RAC2" s="62"/>
      <c r="RAD2" s="62"/>
      <c r="RAE2" s="62"/>
      <c r="RAF2" s="62"/>
      <c r="RAG2" s="62"/>
      <c r="RAH2" s="62"/>
      <c r="RAI2" s="62"/>
      <c r="RAJ2" s="62"/>
      <c r="RAK2" s="62"/>
      <c r="RAL2" s="62"/>
      <c r="RAM2" s="62"/>
      <c r="RAN2" s="62"/>
      <c r="RAO2" s="62"/>
      <c r="RAP2" s="62"/>
      <c r="RAQ2" s="62"/>
      <c r="RAR2" s="62"/>
      <c r="RAS2" s="62"/>
      <c r="RAT2" s="62"/>
      <c r="RAU2" s="62"/>
      <c r="RAV2" s="62"/>
      <c r="RAW2" s="62"/>
      <c r="RAX2" s="62"/>
      <c r="RAY2" s="62"/>
      <c r="RAZ2" s="62"/>
      <c r="RBA2" s="62"/>
      <c r="RBB2" s="62"/>
      <c r="RBC2" s="62"/>
      <c r="RBD2" s="62"/>
      <c r="RBE2" s="62"/>
      <c r="RBF2" s="62"/>
      <c r="RBG2" s="62"/>
      <c r="RBH2" s="62"/>
      <c r="RBI2" s="62"/>
      <c r="RBJ2" s="62"/>
      <c r="RBK2" s="62"/>
      <c r="RBL2" s="62"/>
      <c r="RBM2" s="62"/>
      <c r="RBN2" s="62"/>
      <c r="RBO2" s="62"/>
      <c r="RBP2" s="62"/>
      <c r="RBQ2" s="62"/>
      <c r="RBR2" s="62"/>
      <c r="RBS2" s="62"/>
      <c r="RBT2" s="62"/>
      <c r="RBU2" s="62"/>
      <c r="RBV2" s="62"/>
      <c r="RBW2" s="62"/>
      <c r="RBX2" s="62"/>
      <c r="RBY2" s="62"/>
      <c r="RBZ2" s="62"/>
      <c r="RCA2" s="62"/>
      <c r="RCB2" s="62"/>
      <c r="RCC2" s="62"/>
      <c r="RCD2" s="62"/>
      <c r="RCE2" s="62"/>
      <c r="RCF2" s="62"/>
      <c r="RCG2" s="62"/>
      <c r="RCH2" s="62"/>
      <c r="RCI2" s="62"/>
      <c r="RCJ2" s="62"/>
      <c r="RCK2" s="62"/>
      <c r="RCL2" s="62"/>
      <c r="RCM2" s="62"/>
      <c r="RCN2" s="62"/>
      <c r="RCO2" s="62"/>
      <c r="RCP2" s="62"/>
      <c r="RCQ2" s="62"/>
      <c r="RCR2" s="62"/>
      <c r="RCS2" s="62"/>
      <c r="RCT2" s="62"/>
      <c r="RCU2" s="62"/>
      <c r="RCV2" s="62"/>
      <c r="RCW2" s="62"/>
      <c r="RCX2" s="62"/>
      <c r="RCY2" s="62"/>
      <c r="RCZ2" s="62"/>
      <c r="RDA2" s="62"/>
      <c r="RDB2" s="62"/>
      <c r="RDC2" s="62"/>
      <c r="RDD2" s="62"/>
      <c r="RDE2" s="62"/>
      <c r="RDF2" s="62"/>
      <c r="RDG2" s="62"/>
      <c r="RDH2" s="62"/>
      <c r="RDI2" s="62"/>
      <c r="RDJ2" s="62"/>
      <c r="RDK2" s="62"/>
      <c r="RDL2" s="62"/>
      <c r="RDM2" s="62"/>
      <c r="RDN2" s="62"/>
      <c r="RDO2" s="62"/>
      <c r="RDP2" s="62"/>
      <c r="RDQ2" s="62"/>
      <c r="RDR2" s="62"/>
      <c r="RDS2" s="62"/>
      <c r="RDT2" s="62"/>
      <c r="RDU2" s="62"/>
      <c r="RDV2" s="62"/>
      <c r="RDW2" s="62"/>
      <c r="RDX2" s="62"/>
      <c r="RDY2" s="62"/>
      <c r="RDZ2" s="62"/>
      <c r="REA2" s="62"/>
      <c r="REB2" s="62"/>
      <c r="REC2" s="62"/>
      <c r="RED2" s="62"/>
      <c r="REE2" s="62"/>
      <c r="REF2" s="62"/>
      <c r="REG2" s="62"/>
      <c r="REH2" s="62"/>
      <c r="REI2" s="62"/>
      <c r="REJ2" s="62"/>
      <c r="REK2" s="62"/>
      <c r="REL2" s="62"/>
      <c r="REM2" s="62"/>
      <c r="REN2" s="62"/>
      <c r="REO2" s="62"/>
      <c r="REP2" s="62"/>
      <c r="REQ2" s="62"/>
      <c r="RER2" s="62"/>
      <c r="RES2" s="62"/>
      <c r="RET2" s="62"/>
      <c r="REU2" s="62"/>
      <c r="REV2" s="62"/>
      <c r="REW2" s="62"/>
      <c r="REX2" s="62"/>
      <c r="REY2" s="62"/>
      <c r="REZ2" s="62"/>
      <c r="RFA2" s="62"/>
      <c r="RFB2" s="62"/>
      <c r="RFC2" s="62"/>
      <c r="RFD2" s="62"/>
      <c r="RFE2" s="62"/>
      <c r="RFF2" s="62"/>
      <c r="RFG2" s="62"/>
      <c r="RFH2" s="62"/>
      <c r="RFI2" s="62"/>
      <c r="RFJ2" s="62"/>
      <c r="RFK2" s="62"/>
      <c r="RFL2" s="62"/>
      <c r="RFM2" s="62"/>
      <c r="RFN2" s="62"/>
      <c r="RFO2" s="62"/>
      <c r="RFP2" s="62"/>
      <c r="RFQ2" s="62"/>
      <c r="RFR2" s="62"/>
      <c r="RFS2" s="62"/>
      <c r="RFT2" s="62"/>
      <c r="RFU2" s="62"/>
      <c r="RFV2" s="62"/>
      <c r="RFW2" s="62"/>
      <c r="RFX2" s="62"/>
      <c r="RFY2" s="62"/>
      <c r="RFZ2" s="62"/>
      <c r="RGA2" s="62"/>
      <c r="RGB2" s="62"/>
      <c r="RGC2" s="62"/>
      <c r="RGD2" s="62"/>
      <c r="RGE2" s="62"/>
      <c r="RGF2" s="62"/>
      <c r="RGG2" s="62"/>
      <c r="RGH2" s="62"/>
      <c r="RGI2" s="62"/>
      <c r="RGJ2" s="62"/>
      <c r="RGK2" s="62"/>
      <c r="RGL2" s="62"/>
      <c r="RGM2" s="62"/>
      <c r="RGN2" s="62"/>
      <c r="RGO2" s="62"/>
      <c r="RGP2" s="62"/>
      <c r="RGQ2" s="62"/>
      <c r="RGR2" s="62"/>
      <c r="RGS2" s="62"/>
      <c r="RGT2" s="62"/>
      <c r="RGU2" s="62"/>
      <c r="RGV2" s="62"/>
      <c r="RGW2" s="62"/>
      <c r="RGX2" s="62"/>
      <c r="RGY2" s="62"/>
      <c r="RGZ2" s="62"/>
      <c r="RHA2" s="62"/>
      <c r="RHB2" s="62"/>
      <c r="RHC2" s="62"/>
      <c r="RHD2" s="62"/>
      <c r="RHE2" s="62"/>
      <c r="RHF2" s="62"/>
      <c r="RHG2" s="62"/>
      <c r="RHH2" s="62"/>
      <c r="RHI2" s="62"/>
      <c r="RHJ2" s="62"/>
      <c r="RHK2" s="62"/>
      <c r="RHL2" s="62"/>
      <c r="RHM2" s="62"/>
      <c r="RHN2" s="62"/>
      <c r="RHO2" s="62"/>
      <c r="RHP2" s="62"/>
      <c r="RHQ2" s="62"/>
      <c r="RHR2" s="62"/>
      <c r="RHS2" s="62"/>
      <c r="RHT2" s="62"/>
      <c r="RHU2" s="62"/>
      <c r="RHV2" s="62"/>
      <c r="RHW2" s="62"/>
      <c r="RHX2" s="62"/>
      <c r="RHY2" s="62"/>
      <c r="RHZ2" s="62"/>
      <c r="RIA2" s="62"/>
      <c r="RIB2" s="62"/>
      <c r="RIC2" s="62"/>
      <c r="RID2" s="62"/>
      <c r="RIE2" s="62"/>
      <c r="RIF2" s="62"/>
      <c r="RIG2" s="62"/>
      <c r="RIH2" s="62"/>
      <c r="RII2" s="62"/>
      <c r="RIJ2" s="62"/>
      <c r="RIK2" s="62"/>
      <c r="RIL2" s="62"/>
      <c r="RIM2" s="62"/>
      <c r="RIN2" s="62"/>
      <c r="RIO2" s="62"/>
      <c r="RIP2" s="62"/>
      <c r="RIQ2" s="62"/>
      <c r="RIR2" s="62"/>
      <c r="RIS2" s="62"/>
      <c r="RIT2" s="62"/>
      <c r="RIU2" s="62"/>
      <c r="RIV2" s="62"/>
      <c r="RIW2" s="62"/>
      <c r="RIX2" s="62"/>
      <c r="RIY2" s="62"/>
      <c r="RIZ2" s="62"/>
      <c r="RJA2" s="62"/>
      <c r="RJB2" s="62"/>
      <c r="RJC2" s="62"/>
      <c r="RJD2" s="62"/>
      <c r="RJE2" s="62"/>
      <c r="RJF2" s="62"/>
      <c r="RJG2" s="62"/>
      <c r="RJH2" s="62"/>
      <c r="RJI2" s="62"/>
      <c r="RJJ2" s="62"/>
      <c r="RJK2" s="62"/>
      <c r="RJL2" s="62"/>
      <c r="RJM2" s="62"/>
      <c r="RJN2" s="62"/>
      <c r="RJO2" s="62"/>
      <c r="RJP2" s="62"/>
      <c r="RJQ2" s="62"/>
      <c r="RJR2" s="62"/>
      <c r="RJS2" s="62"/>
      <c r="RJT2" s="62"/>
      <c r="RJU2" s="62"/>
      <c r="RJV2" s="62"/>
      <c r="RJW2" s="62"/>
      <c r="RJX2" s="62"/>
      <c r="RJY2" s="62"/>
      <c r="RJZ2" s="62"/>
      <c r="RKA2" s="62"/>
      <c r="RKB2" s="62"/>
      <c r="RKC2" s="62"/>
      <c r="RKD2" s="62"/>
      <c r="RKE2" s="62"/>
      <c r="RKF2" s="62"/>
      <c r="RKG2" s="62"/>
      <c r="RKH2" s="62"/>
      <c r="RKI2" s="62"/>
      <c r="RKJ2" s="62"/>
      <c r="RKK2" s="62"/>
      <c r="RKL2" s="62"/>
      <c r="RKM2" s="62"/>
      <c r="RKN2" s="62"/>
      <c r="RKO2" s="62"/>
      <c r="RKP2" s="62"/>
      <c r="RKQ2" s="62"/>
      <c r="RKR2" s="62"/>
      <c r="RKS2" s="62"/>
      <c r="RKT2" s="62"/>
      <c r="RKU2" s="62"/>
      <c r="RKV2" s="62"/>
      <c r="RKW2" s="62"/>
      <c r="RKX2" s="62"/>
      <c r="RKY2" s="62"/>
      <c r="RKZ2" s="62"/>
      <c r="RLA2" s="62"/>
      <c r="RLB2" s="62"/>
      <c r="RLC2" s="62"/>
      <c r="RLD2" s="62"/>
      <c r="RLE2" s="62"/>
      <c r="RLF2" s="62"/>
      <c r="RLG2" s="62"/>
      <c r="RLH2" s="62"/>
      <c r="RLI2" s="62"/>
      <c r="RLJ2" s="62"/>
      <c r="RLK2" s="62"/>
      <c r="RLL2" s="62"/>
      <c r="RLM2" s="62"/>
      <c r="RLN2" s="62"/>
      <c r="RLO2" s="62"/>
      <c r="RLP2" s="62"/>
      <c r="RLQ2" s="62"/>
      <c r="RLR2" s="62"/>
      <c r="RLS2" s="62"/>
      <c r="RLT2" s="62"/>
      <c r="RLU2" s="62"/>
      <c r="RLV2" s="62"/>
      <c r="RLW2" s="62"/>
      <c r="RLX2" s="62"/>
      <c r="RLY2" s="62"/>
      <c r="RLZ2" s="62"/>
      <c r="RMA2" s="62"/>
      <c r="RMB2" s="62"/>
      <c r="RMC2" s="62"/>
      <c r="RMD2" s="62"/>
      <c r="RME2" s="62"/>
      <c r="RMF2" s="62"/>
      <c r="RMG2" s="62"/>
      <c r="RMH2" s="62"/>
      <c r="RMI2" s="62"/>
      <c r="RMJ2" s="62"/>
      <c r="RMK2" s="62"/>
      <c r="RML2" s="62"/>
      <c r="RMM2" s="62"/>
      <c r="RMN2" s="62"/>
      <c r="RMO2" s="62"/>
      <c r="RMP2" s="62"/>
      <c r="RMQ2" s="62"/>
      <c r="RMR2" s="62"/>
      <c r="RMS2" s="62"/>
      <c r="RMT2" s="62"/>
      <c r="RMU2" s="62"/>
      <c r="RMV2" s="62"/>
      <c r="RMW2" s="62"/>
      <c r="RMX2" s="62"/>
      <c r="RMY2" s="62"/>
      <c r="RMZ2" s="62"/>
      <c r="RNA2" s="62"/>
      <c r="RNB2" s="62"/>
      <c r="RNC2" s="62"/>
      <c r="RND2" s="62"/>
      <c r="RNE2" s="62"/>
      <c r="RNF2" s="62"/>
      <c r="RNG2" s="62"/>
      <c r="RNH2" s="62"/>
      <c r="RNI2" s="62"/>
      <c r="RNJ2" s="62"/>
      <c r="RNK2" s="62"/>
      <c r="RNL2" s="62"/>
      <c r="RNM2" s="62"/>
      <c r="RNN2" s="62"/>
      <c r="RNO2" s="62"/>
      <c r="RNP2" s="62"/>
      <c r="RNQ2" s="62"/>
      <c r="RNR2" s="62"/>
      <c r="RNS2" s="62"/>
      <c r="RNT2" s="62"/>
      <c r="RNU2" s="62"/>
      <c r="RNV2" s="62"/>
      <c r="RNW2" s="62"/>
      <c r="RNX2" s="62"/>
      <c r="RNY2" s="62"/>
      <c r="RNZ2" s="62"/>
      <c r="ROA2" s="62"/>
      <c r="ROB2" s="62"/>
      <c r="ROC2" s="62"/>
      <c r="ROD2" s="62"/>
      <c r="ROE2" s="62"/>
      <c r="ROF2" s="62"/>
      <c r="ROG2" s="62"/>
      <c r="ROH2" s="62"/>
      <c r="ROI2" s="62"/>
      <c r="ROJ2" s="62"/>
      <c r="ROK2" s="62"/>
      <c r="ROL2" s="62"/>
      <c r="ROM2" s="62"/>
      <c r="RON2" s="62"/>
      <c r="ROO2" s="62"/>
      <c r="ROP2" s="62"/>
      <c r="ROQ2" s="62"/>
      <c r="ROR2" s="62"/>
      <c r="ROS2" s="62"/>
      <c r="ROT2" s="62"/>
      <c r="ROU2" s="62"/>
      <c r="ROV2" s="62"/>
      <c r="ROW2" s="62"/>
      <c r="ROX2" s="62"/>
      <c r="ROY2" s="62"/>
      <c r="ROZ2" s="62"/>
      <c r="RPA2" s="62"/>
      <c r="RPB2" s="62"/>
      <c r="RPC2" s="62"/>
      <c r="RPD2" s="62"/>
      <c r="RPE2" s="62"/>
      <c r="RPF2" s="62"/>
      <c r="RPG2" s="62"/>
      <c r="RPH2" s="62"/>
      <c r="RPI2" s="62"/>
      <c r="RPJ2" s="62"/>
      <c r="RPK2" s="62"/>
      <c r="RPL2" s="62"/>
      <c r="RPM2" s="62"/>
      <c r="RPN2" s="62"/>
      <c r="RPO2" s="62"/>
      <c r="RPP2" s="62"/>
      <c r="RPQ2" s="62"/>
      <c r="RPR2" s="62"/>
      <c r="RPS2" s="62"/>
      <c r="RPT2" s="62"/>
      <c r="RPU2" s="62"/>
      <c r="RPV2" s="62"/>
      <c r="RPW2" s="62"/>
      <c r="RPX2" s="62"/>
      <c r="RPY2" s="62"/>
      <c r="RPZ2" s="62"/>
      <c r="RQA2" s="62"/>
      <c r="RQB2" s="62"/>
      <c r="RQC2" s="62"/>
      <c r="RQD2" s="62"/>
      <c r="RQE2" s="62"/>
      <c r="RQF2" s="62"/>
      <c r="RQG2" s="62"/>
      <c r="RQH2" s="62"/>
      <c r="RQI2" s="62"/>
      <c r="RQJ2" s="62"/>
      <c r="RQK2" s="62"/>
      <c r="RQL2" s="62"/>
      <c r="RQM2" s="62"/>
      <c r="RQN2" s="62"/>
      <c r="RQO2" s="62"/>
      <c r="RQP2" s="62"/>
      <c r="RQQ2" s="62"/>
      <c r="RQR2" s="62"/>
      <c r="RQS2" s="62"/>
      <c r="RQT2" s="62"/>
      <c r="RQU2" s="62"/>
      <c r="RQV2" s="62"/>
      <c r="RQW2" s="62"/>
      <c r="RQX2" s="62"/>
      <c r="RQY2" s="62"/>
      <c r="RQZ2" s="62"/>
      <c r="RRA2" s="62"/>
      <c r="RRB2" s="62"/>
      <c r="RRC2" s="62"/>
      <c r="RRD2" s="62"/>
      <c r="RRE2" s="62"/>
      <c r="RRF2" s="62"/>
      <c r="RRG2" s="62"/>
      <c r="RRH2" s="62"/>
      <c r="RRI2" s="62"/>
      <c r="RRJ2" s="62"/>
      <c r="RRK2" s="62"/>
      <c r="RRL2" s="62"/>
      <c r="RRM2" s="62"/>
      <c r="RRN2" s="62"/>
      <c r="RRO2" s="62"/>
      <c r="RRP2" s="62"/>
      <c r="RRQ2" s="62"/>
      <c r="RRR2" s="62"/>
      <c r="RRS2" s="62"/>
      <c r="RRT2" s="62"/>
      <c r="RRU2" s="62"/>
      <c r="RRV2" s="62"/>
      <c r="RRW2" s="62"/>
      <c r="RRX2" s="62"/>
      <c r="RRY2" s="62"/>
      <c r="RRZ2" s="62"/>
      <c r="RSA2" s="62"/>
      <c r="RSB2" s="62"/>
      <c r="RSC2" s="62"/>
      <c r="RSD2" s="62"/>
      <c r="RSE2" s="62"/>
      <c r="RSF2" s="62"/>
      <c r="RSG2" s="62"/>
      <c r="RSH2" s="62"/>
      <c r="RSI2" s="62"/>
      <c r="RSJ2" s="62"/>
      <c r="RSK2" s="62"/>
      <c r="RSL2" s="62"/>
      <c r="RSM2" s="62"/>
      <c r="RSN2" s="62"/>
      <c r="RSO2" s="62"/>
      <c r="RSP2" s="62"/>
      <c r="RSQ2" s="62"/>
      <c r="RSR2" s="62"/>
      <c r="RSS2" s="62"/>
      <c r="RST2" s="62"/>
      <c r="RSU2" s="62"/>
      <c r="RSV2" s="62"/>
      <c r="RSW2" s="62"/>
      <c r="RSX2" s="62"/>
      <c r="RSY2" s="62"/>
      <c r="RSZ2" s="62"/>
      <c r="RTA2" s="62"/>
      <c r="RTB2" s="62"/>
      <c r="RTC2" s="62"/>
      <c r="RTD2" s="62"/>
      <c r="RTE2" s="62"/>
      <c r="RTF2" s="62"/>
      <c r="RTG2" s="62"/>
      <c r="RTH2" s="62"/>
      <c r="RTI2" s="62"/>
      <c r="RTJ2" s="62"/>
      <c r="RTK2" s="62"/>
      <c r="RTL2" s="62"/>
      <c r="RTM2" s="62"/>
      <c r="RTN2" s="62"/>
      <c r="RTO2" s="62"/>
      <c r="RTP2" s="62"/>
      <c r="RTQ2" s="62"/>
      <c r="RTR2" s="62"/>
      <c r="RTS2" s="62"/>
      <c r="RTT2" s="62"/>
      <c r="RTU2" s="62"/>
      <c r="RTV2" s="62"/>
      <c r="RTW2" s="62"/>
      <c r="RTX2" s="62"/>
      <c r="RTY2" s="62"/>
      <c r="RTZ2" s="62"/>
      <c r="RUA2" s="62"/>
      <c r="RUB2" s="62"/>
      <c r="RUC2" s="62"/>
      <c r="RUD2" s="62"/>
      <c r="RUE2" s="62"/>
      <c r="RUF2" s="62"/>
      <c r="RUG2" s="62"/>
      <c r="RUH2" s="62"/>
      <c r="RUI2" s="62"/>
      <c r="RUJ2" s="62"/>
      <c r="RUK2" s="62"/>
      <c r="RUL2" s="62"/>
      <c r="RUM2" s="62"/>
      <c r="RUN2" s="62"/>
      <c r="RUO2" s="62"/>
      <c r="RUP2" s="62"/>
      <c r="RUQ2" s="62"/>
      <c r="RUR2" s="62"/>
      <c r="RUS2" s="62"/>
      <c r="RUT2" s="62"/>
      <c r="RUU2" s="62"/>
      <c r="RUV2" s="62"/>
      <c r="RUW2" s="62"/>
      <c r="RUX2" s="62"/>
      <c r="RUY2" s="62"/>
      <c r="RUZ2" s="62"/>
      <c r="RVA2" s="62"/>
      <c r="RVB2" s="62"/>
      <c r="RVC2" s="62"/>
      <c r="RVD2" s="62"/>
      <c r="RVE2" s="62"/>
      <c r="RVF2" s="62"/>
      <c r="RVG2" s="62"/>
      <c r="RVH2" s="62"/>
      <c r="RVI2" s="62"/>
      <c r="RVJ2" s="62"/>
      <c r="RVK2" s="62"/>
      <c r="RVL2" s="62"/>
      <c r="RVM2" s="62"/>
      <c r="RVN2" s="62"/>
      <c r="RVO2" s="62"/>
      <c r="RVP2" s="62"/>
      <c r="RVQ2" s="62"/>
      <c r="RVR2" s="62"/>
      <c r="RVS2" s="62"/>
      <c r="RVT2" s="62"/>
      <c r="RVU2" s="62"/>
      <c r="RVV2" s="62"/>
      <c r="RVW2" s="62"/>
      <c r="RVX2" s="62"/>
      <c r="RVY2" s="62"/>
      <c r="RVZ2" s="62"/>
      <c r="RWA2" s="62"/>
      <c r="RWB2" s="62"/>
      <c r="RWC2" s="62"/>
      <c r="RWD2" s="62"/>
      <c r="RWE2" s="62"/>
      <c r="RWF2" s="62"/>
      <c r="RWG2" s="62"/>
      <c r="RWH2" s="62"/>
      <c r="RWI2" s="62"/>
      <c r="RWJ2" s="62"/>
      <c r="RWK2" s="62"/>
      <c r="RWL2" s="62"/>
      <c r="RWM2" s="62"/>
      <c r="RWN2" s="62"/>
      <c r="RWO2" s="62"/>
      <c r="RWP2" s="62"/>
      <c r="RWQ2" s="62"/>
      <c r="RWR2" s="62"/>
      <c r="RWS2" s="62"/>
      <c r="RWT2" s="62"/>
      <c r="RWU2" s="62"/>
      <c r="RWV2" s="62"/>
      <c r="RWW2" s="62"/>
      <c r="RWX2" s="62"/>
      <c r="RWY2" s="62"/>
      <c r="RWZ2" s="62"/>
      <c r="RXA2" s="62"/>
      <c r="RXB2" s="62"/>
      <c r="RXC2" s="62"/>
      <c r="RXD2" s="62"/>
      <c r="RXE2" s="62"/>
      <c r="RXF2" s="62"/>
      <c r="RXG2" s="62"/>
      <c r="RXH2" s="62"/>
      <c r="RXI2" s="62"/>
      <c r="RXJ2" s="62"/>
      <c r="RXK2" s="62"/>
      <c r="RXL2" s="62"/>
      <c r="RXM2" s="62"/>
      <c r="RXN2" s="62"/>
      <c r="RXO2" s="62"/>
      <c r="RXP2" s="62"/>
      <c r="RXQ2" s="62"/>
      <c r="RXR2" s="62"/>
      <c r="RXS2" s="62"/>
      <c r="RXT2" s="62"/>
      <c r="RXU2" s="62"/>
      <c r="RXV2" s="62"/>
      <c r="RXW2" s="62"/>
      <c r="RXX2" s="62"/>
      <c r="RXY2" s="62"/>
      <c r="RXZ2" s="62"/>
      <c r="RYA2" s="62"/>
      <c r="RYB2" s="62"/>
      <c r="RYC2" s="62"/>
      <c r="RYD2" s="62"/>
      <c r="RYE2" s="62"/>
      <c r="RYF2" s="62"/>
      <c r="RYG2" s="62"/>
      <c r="RYH2" s="62"/>
      <c r="RYI2" s="62"/>
      <c r="RYJ2" s="62"/>
      <c r="RYK2" s="62"/>
      <c r="RYL2" s="62"/>
      <c r="RYM2" s="62"/>
      <c r="RYN2" s="62"/>
      <c r="RYO2" s="62"/>
      <c r="RYP2" s="62"/>
      <c r="RYQ2" s="62"/>
      <c r="RYR2" s="62"/>
      <c r="RYS2" s="62"/>
      <c r="RYT2" s="62"/>
      <c r="RYU2" s="62"/>
      <c r="RYV2" s="62"/>
      <c r="RYW2" s="62"/>
      <c r="RYX2" s="62"/>
      <c r="RYY2" s="62"/>
      <c r="RYZ2" s="62"/>
      <c r="RZA2" s="62"/>
      <c r="RZB2" s="62"/>
      <c r="RZC2" s="62"/>
      <c r="RZD2" s="62"/>
      <c r="RZE2" s="62"/>
      <c r="RZF2" s="62"/>
      <c r="RZG2" s="62"/>
      <c r="RZH2" s="62"/>
      <c r="RZI2" s="62"/>
      <c r="RZJ2" s="62"/>
      <c r="RZK2" s="62"/>
      <c r="RZL2" s="62"/>
      <c r="RZM2" s="62"/>
      <c r="RZN2" s="62"/>
      <c r="RZO2" s="62"/>
      <c r="RZP2" s="62"/>
      <c r="RZQ2" s="62"/>
      <c r="RZR2" s="62"/>
      <c r="RZS2" s="62"/>
      <c r="RZT2" s="62"/>
      <c r="RZU2" s="62"/>
      <c r="RZV2" s="62"/>
      <c r="RZW2" s="62"/>
      <c r="RZX2" s="62"/>
      <c r="RZY2" s="62"/>
      <c r="RZZ2" s="62"/>
      <c r="SAA2" s="62"/>
      <c r="SAB2" s="62"/>
      <c r="SAC2" s="62"/>
      <c r="SAD2" s="62"/>
      <c r="SAE2" s="62"/>
      <c r="SAF2" s="62"/>
      <c r="SAG2" s="62"/>
      <c r="SAH2" s="62"/>
      <c r="SAI2" s="62"/>
      <c r="SAJ2" s="62"/>
      <c r="SAK2" s="62"/>
      <c r="SAL2" s="62"/>
      <c r="SAM2" s="62"/>
      <c r="SAN2" s="62"/>
      <c r="SAO2" s="62"/>
      <c r="SAP2" s="62"/>
      <c r="SAQ2" s="62"/>
      <c r="SAR2" s="62"/>
      <c r="SAS2" s="62"/>
      <c r="SAT2" s="62"/>
      <c r="SAU2" s="62"/>
      <c r="SAV2" s="62"/>
      <c r="SAW2" s="62"/>
      <c r="SAX2" s="62"/>
      <c r="SAY2" s="62"/>
      <c r="SAZ2" s="62"/>
      <c r="SBA2" s="62"/>
      <c r="SBB2" s="62"/>
      <c r="SBC2" s="62"/>
      <c r="SBD2" s="62"/>
      <c r="SBE2" s="62"/>
      <c r="SBF2" s="62"/>
      <c r="SBG2" s="62"/>
      <c r="SBH2" s="62"/>
      <c r="SBI2" s="62"/>
      <c r="SBJ2" s="62"/>
      <c r="SBK2" s="62"/>
      <c r="SBL2" s="62"/>
      <c r="SBM2" s="62"/>
      <c r="SBN2" s="62"/>
      <c r="SBO2" s="62"/>
      <c r="SBP2" s="62"/>
      <c r="SBQ2" s="62"/>
      <c r="SBR2" s="62"/>
      <c r="SBS2" s="62"/>
      <c r="SBT2" s="62"/>
      <c r="SBU2" s="62"/>
      <c r="SBV2" s="62"/>
      <c r="SBW2" s="62"/>
      <c r="SBX2" s="62"/>
      <c r="SBY2" s="62"/>
      <c r="SBZ2" s="62"/>
      <c r="SCA2" s="62"/>
      <c r="SCB2" s="62"/>
      <c r="SCC2" s="62"/>
      <c r="SCD2" s="62"/>
      <c r="SCE2" s="62"/>
      <c r="SCF2" s="62"/>
      <c r="SCG2" s="62"/>
      <c r="SCH2" s="62"/>
      <c r="SCI2" s="62"/>
      <c r="SCJ2" s="62"/>
      <c r="SCK2" s="62"/>
      <c r="SCL2" s="62"/>
      <c r="SCM2" s="62"/>
      <c r="SCN2" s="62"/>
      <c r="SCO2" s="62"/>
      <c r="SCP2" s="62"/>
      <c r="SCQ2" s="62"/>
      <c r="SCR2" s="62"/>
      <c r="SCS2" s="62"/>
      <c r="SCT2" s="62"/>
      <c r="SCU2" s="62"/>
      <c r="SCV2" s="62"/>
      <c r="SCW2" s="62"/>
      <c r="SCX2" s="62"/>
      <c r="SCY2" s="62"/>
      <c r="SCZ2" s="62"/>
      <c r="SDA2" s="62"/>
      <c r="SDB2" s="62"/>
      <c r="SDC2" s="62"/>
      <c r="SDD2" s="62"/>
      <c r="SDE2" s="62"/>
      <c r="SDF2" s="62"/>
      <c r="SDG2" s="62"/>
      <c r="SDH2" s="62"/>
      <c r="SDI2" s="62"/>
      <c r="SDJ2" s="62"/>
      <c r="SDK2" s="62"/>
      <c r="SDL2" s="62"/>
      <c r="SDM2" s="62"/>
      <c r="SDN2" s="62"/>
      <c r="SDO2" s="62"/>
      <c r="SDP2" s="62"/>
      <c r="SDQ2" s="62"/>
      <c r="SDR2" s="62"/>
      <c r="SDS2" s="62"/>
      <c r="SDT2" s="62"/>
      <c r="SDU2" s="62"/>
      <c r="SDV2" s="62"/>
      <c r="SDW2" s="62"/>
      <c r="SDX2" s="62"/>
      <c r="SDY2" s="62"/>
      <c r="SDZ2" s="62"/>
      <c r="SEA2" s="62"/>
      <c r="SEB2" s="62"/>
      <c r="SEC2" s="62"/>
      <c r="SED2" s="62"/>
      <c r="SEE2" s="62"/>
      <c r="SEF2" s="62"/>
      <c r="SEG2" s="62"/>
      <c r="SEH2" s="62"/>
      <c r="SEI2" s="62"/>
      <c r="SEJ2" s="62"/>
      <c r="SEK2" s="62"/>
      <c r="SEL2" s="62"/>
      <c r="SEM2" s="62"/>
      <c r="SEN2" s="62"/>
      <c r="SEO2" s="62"/>
      <c r="SEP2" s="62"/>
      <c r="SEQ2" s="62"/>
      <c r="SER2" s="62"/>
      <c r="SES2" s="62"/>
      <c r="SET2" s="62"/>
      <c r="SEU2" s="62"/>
      <c r="SEV2" s="62"/>
      <c r="SEW2" s="62"/>
      <c r="SEX2" s="62"/>
      <c r="SEY2" s="62"/>
      <c r="SEZ2" s="62"/>
      <c r="SFA2" s="62"/>
      <c r="SFB2" s="62"/>
      <c r="SFC2" s="62"/>
      <c r="SFD2" s="62"/>
      <c r="SFE2" s="62"/>
      <c r="SFF2" s="62"/>
      <c r="SFG2" s="62"/>
      <c r="SFH2" s="62"/>
      <c r="SFI2" s="62"/>
      <c r="SFJ2" s="62"/>
      <c r="SFK2" s="62"/>
      <c r="SFL2" s="62"/>
      <c r="SFM2" s="62"/>
      <c r="SFN2" s="62"/>
      <c r="SFO2" s="62"/>
      <c r="SFP2" s="62"/>
      <c r="SFQ2" s="62"/>
      <c r="SFR2" s="62"/>
      <c r="SFS2" s="62"/>
      <c r="SFT2" s="62"/>
      <c r="SFU2" s="62"/>
      <c r="SFV2" s="62"/>
      <c r="SFW2" s="62"/>
      <c r="SFX2" s="62"/>
      <c r="SFY2" s="62"/>
      <c r="SFZ2" s="62"/>
      <c r="SGA2" s="62"/>
      <c r="SGB2" s="62"/>
      <c r="SGC2" s="62"/>
      <c r="SGD2" s="62"/>
      <c r="SGE2" s="62"/>
      <c r="SGF2" s="62"/>
      <c r="SGG2" s="62"/>
      <c r="SGH2" s="62"/>
      <c r="SGI2" s="62"/>
      <c r="SGJ2" s="62"/>
      <c r="SGK2" s="62"/>
      <c r="SGL2" s="62"/>
      <c r="SGM2" s="62"/>
      <c r="SGN2" s="62"/>
      <c r="SGO2" s="62"/>
      <c r="SGP2" s="62"/>
      <c r="SGQ2" s="62"/>
      <c r="SGR2" s="62"/>
      <c r="SGS2" s="62"/>
      <c r="SGT2" s="62"/>
      <c r="SGU2" s="62"/>
      <c r="SGV2" s="62"/>
      <c r="SGW2" s="62"/>
      <c r="SGX2" s="62"/>
      <c r="SGY2" s="62"/>
      <c r="SGZ2" s="62"/>
      <c r="SHA2" s="62"/>
      <c r="SHB2" s="62"/>
      <c r="SHC2" s="62"/>
      <c r="SHD2" s="62"/>
      <c r="SHE2" s="62"/>
      <c r="SHF2" s="62"/>
      <c r="SHG2" s="62"/>
      <c r="SHH2" s="62"/>
      <c r="SHI2" s="62"/>
      <c r="SHJ2" s="62"/>
      <c r="SHK2" s="62"/>
      <c r="SHL2" s="62"/>
      <c r="SHM2" s="62"/>
      <c r="SHN2" s="62"/>
      <c r="SHO2" s="62"/>
      <c r="SHP2" s="62"/>
      <c r="SHQ2" s="62"/>
      <c r="SHR2" s="62"/>
      <c r="SHS2" s="62"/>
      <c r="SHT2" s="62"/>
      <c r="SHU2" s="62"/>
      <c r="SHV2" s="62"/>
      <c r="SHW2" s="62"/>
      <c r="SHX2" s="62"/>
      <c r="SHY2" s="62"/>
      <c r="SHZ2" s="62"/>
      <c r="SIA2" s="62"/>
      <c r="SIB2" s="62"/>
      <c r="SIC2" s="62"/>
      <c r="SID2" s="62"/>
      <c r="SIE2" s="62"/>
      <c r="SIF2" s="62"/>
      <c r="SIG2" s="62"/>
      <c r="SIH2" s="62"/>
      <c r="SII2" s="62"/>
      <c r="SIJ2" s="62"/>
      <c r="SIK2" s="62"/>
      <c r="SIL2" s="62"/>
      <c r="SIM2" s="62"/>
      <c r="SIN2" s="62"/>
      <c r="SIO2" s="62"/>
      <c r="SIP2" s="62"/>
      <c r="SIQ2" s="62"/>
      <c r="SIR2" s="62"/>
      <c r="SIS2" s="62"/>
      <c r="SIT2" s="62"/>
      <c r="SIU2" s="62"/>
      <c r="SIV2" s="62"/>
      <c r="SIW2" s="62"/>
      <c r="SIX2" s="62"/>
      <c r="SIY2" s="62"/>
      <c r="SIZ2" s="62"/>
      <c r="SJA2" s="62"/>
      <c r="SJB2" s="62"/>
      <c r="SJC2" s="62"/>
      <c r="SJD2" s="62"/>
      <c r="SJE2" s="62"/>
      <c r="SJF2" s="62"/>
      <c r="SJG2" s="62"/>
      <c r="SJH2" s="62"/>
      <c r="SJI2" s="62"/>
      <c r="SJJ2" s="62"/>
      <c r="SJK2" s="62"/>
      <c r="SJL2" s="62"/>
      <c r="SJM2" s="62"/>
      <c r="SJN2" s="62"/>
      <c r="SJO2" s="62"/>
      <c r="SJP2" s="62"/>
      <c r="SJQ2" s="62"/>
      <c r="SJR2" s="62"/>
      <c r="SJS2" s="62"/>
      <c r="SJT2" s="62"/>
      <c r="SJU2" s="62"/>
      <c r="SJV2" s="62"/>
      <c r="SJW2" s="62"/>
      <c r="SJX2" s="62"/>
      <c r="SJY2" s="62"/>
      <c r="SJZ2" s="62"/>
      <c r="SKA2" s="62"/>
      <c r="SKB2" s="62"/>
      <c r="SKC2" s="62"/>
      <c r="SKD2" s="62"/>
      <c r="SKE2" s="62"/>
      <c r="SKF2" s="62"/>
      <c r="SKG2" s="62"/>
      <c r="SKH2" s="62"/>
      <c r="SKI2" s="62"/>
      <c r="SKJ2" s="62"/>
      <c r="SKK2" s="62"/>
      <c r="SKL2" s="62"/>
      <c r="SKM2" s="62"/>
      <c r="SKN2" s="62"/>
      <c r="SKO2" s="62"/>
      <c r="SKP2" s="62"/>
      <c r="SKQ2" s="62"/>
      <c r="SKR2" s="62"/>
      <c r="SKS2" s="62"/>
      <c r="SKT2" s="62"/>
      <c r="SKU2" s="62"/>
      <c r="SKV2" s="62"/>
      <c r="SKW2" s="62"/>
      <c r="SKX2" s="62"/>
      <c r="SKY2" s="62"/>
      <c r="SKZ2" s="62"/>
      <c r="SLA2" s="62"/>
      <c r="SLB2" s="62"/>
      <c r="SLC2" s="62"/>
      <c r="SLD2" s="62"/>
      <c r="SLE2" s="62"/>
      <c r="SLF2" s="62"/>
      <c r="SLG2" s="62"/>
      <c r="SLH2" s="62"/>
      <c r="SLI2" s="62"/>
      <c r="SLJ2" s="62"/>
      <c r="SLK2" s="62"/>
      <c r="SLL2" s="62"/>
      <c r="SLM2" s="62"/>
      <c r="SLN2" s="62"/>
      <c r="SLO2" s="62"/>
      <c r="SLP2" s="62"/>
      <c r="SLQ2" s="62"/>
      <c r="SLR2" s="62"/>
      <c r="SLS2" s="62"/>
      <c r="SLT2" s="62"/>
      <c r="SLU2" s="62"/>
      <c r="SLV2" s="62"/>
      <c r="SLW2" s="62"/>
      <c r="SLX2" s="62"/>
      <c r="SLY2" s="62"/>
      <c r="SLZ2" s="62"/>
      <c r="SMA2" s="62"/>
      <c r="SMB2" s="62"/>
      <c r="SMC2" s="62"/>
      <c r="SMD2" s="62"/>
      <c r="SME2" s="62"/>
      <c r="SMF2" s="62"/>
      <c r="SMG2" s="62"/>
      <c r="SMH2" s="62"/>
      <c r="SMI2" s="62"/>
      <c r="SMJ2" s="62"/>
      <c r="SMK2" s="62"/>
      <c r="SML2" s="62"/>
      <c r="SMM2" s="62"/>
      <c r="SMN2" s="62"/>
      <c r="SMO2" s="62"/>
      <c r="SMP2" s="62"/>
      <c r="SMQ2" s="62"/>
      <c r="SMR2" s="62"/>
      <c r="SMS2" s="62"/>
      <c r="SMT2" s="62"/>
      <c r="SMU2" s="62"/>
      <c r="SMV2" s="62"/>
      <c r="SMW2" s="62"/>
      <c r="SMX2" s="62"/>
      <c r="SMY2" s="62"/>
      <c r="SMZ2" s="62"/>
      <c r="SNA2" s="62"/>
      <c r="SNB2" s="62"/>
      <c r="SNC2" s="62"/>
      <c r="SND2" s="62"/>
      <c r="SNE2" s="62"/>
      <c r="SNF2" s="62"/>
      <c r="SNG2" s="62"/>
      <c r="SNH2" s="62"/>
      <c r="SNI2" s="62"/>
      <c r="SNJ2" s="62"/>
      <c r="SNK2" s="62"/>
      <c r="SNL2" s="62"/>
      <c r="SNM2" s="62"/>
      <c r="SNN2" s="62"/>
      <c r="SNO2" s="62"/>
      <c r="SNP2" s="62"/>
      <c r="SNQ2" s="62"/>
      <c r="SNR2" s="62"/>
      <c r="SNS2" s="62"/>
      <c r="SNT2" s="62"/>
      <c r="SNU2" s="62"/>
      <c r="SNV2" s="62"/>
      <c r="SNW2" s="62"/>
      <c r="SNX2" s="62"/>
      <c r="SNY2" s="62"/>
      <c r="SNZ2" s="62"/>
      <c r="SOA2" s="62"/>
      <c r="SOB2" s="62"/>
      <c r="SOC2" s="62"/>
      <c r="SOD2" s="62"/>
      <c r="SOE2" s="62"/>
      <c r="SOF2" s="62"/>
      <c r="SOG2" s="62"/>
      <c r="SOH2" s="62"/>
      <c r="SOI2" s="62"/>
      <c r="SOJ2" s="62"/>
      <c r="SOK2" s="62"/>
      <c r="SOL2" s="62"/>
      <c r="SOM2" s="62"/>
      <c r="SON2" s="62"/>
      <c r="SOO2" s="62"/>
      <c r="SOP2" s="62"/>
      <c r="SOQ2" s="62"/>
      <c r="SOR2" s="62"/>
      <c r="SOS2" s="62"/>
      <c r="SOT2" s="62"/>
      <c r="SOU2" s="62"/>
      <c r="SOV2" s="62"/>
      <c r="SOW2" s="62"/>
      <c r="SOX2" s="62"/>
      <c r="SOY2" s="62"/>
      <c r="SOZ2" s="62"/>
      <c r="SPA2" s="62"/>
      <c r="SPB2" s="62"/>
      <c r="SPC2" s="62"/>
      <c r="SPD2" s="62"/>
      <c r="SPE2" s="62"/>
      <c r="SPF2" s="62"/>
      <c r="SPG2" s="62"/>
      <c r="SPH2" s="62"/>
      <c r="SPI2" s="62"/>
      <c r="SPJ2" s="62"/>
      <c r="SPK2" s="62"/>
      <c r="SPL2" s="62"/>
      <c r="SPM2" s="62"/>
      <c r="SPN2" s="62"/>
      <c r="SPO2" s="62"/>
      <c r="SPP2" s="62"/>
      <c r="SPQ2" s="62"/>
      <c r="SPR2" s="62"/>
      <c r="SPS2" s="62"/>
      <c r="SPT2" s="62"/>
      <c r="SPU2" s="62"/>
      <c r="SPV2" s="62"/>
      <c r="SPW2" s="62"/>
      <c r="SPX2" s="62"/>
      <c r="SPY2" s="62"/>
      <c r="SPZ2" s="62"/>
      <c r="SQA2" s="62"/>
      <c r="SQB2" s="62"/>
      <c r="SQC2" s="62"/>
      <c r="SQD2" s="62"/>
      <c r="SQE2" s="62"/>
      <c r="SQF2" s="62"/>
      <c r="SQG2" s="62"/>
      <c r="SQH2" s="62"/>
      <c r="SQI2" s="62"/>
      <c r="SQJ2" s="62"/>
      <c r="SQK2" s="62"/>
      <c r="SQL2" s="62"/>
      <c r="SQM2" s="62"/>
      <c r="SQN2" s="62"/>
      <c r="SQO2" s="62"/>
      <c r="SQP2" s="62"/>
      <c r="SQQ2" s="62"/>
      <c r="SQR2" s="62"/>
      <c r="SQS2" s="62"/>
      <c r="SQT2" s="62"/>
      <c r="SQU2" s="62"/>
      <c r="SQV2" s="62"/>
      <c r="SQW2" s="62"/>
      <c r="SQX2" s="62"/>
      <c r="SQY2" s="62"/>
      <c r="SQZ2" s="62"/>
      <c r="SRA2" s="62"/>
      <c r="SRB2" s="62"/>
      <c r="SRC2" s="62"/>
      <c r="SRD2" s="62"/>
      <c r="SRE2" s="62"/>
      <c r="SRF2" s="62"/>
      <c r="SRG2" s="62"/>
      <c r="SRH2" s="62"/>
      <c r="SRI2" s="62"/>
      <c r="SRJ2" s="62"/>
      <c r="SRK2" s="62"/>
      <c r="SRL2" s="62"/>
      <c r="SRM2" s="62"/>
      <c r="SRN2" s="62"/>
      <c r="SRO2" s="62"/>
      <c r="SRP2" s="62"/>
      <c r="SRQ2" s="62"/>
      <c r="SRR2" s="62"/>
      <c r="SRS2" s="62"/>
      <c r="SRT2" s="62"/>
      <c r="SRU2" s="62"/>
      <c r="SRV2" s="62"/>
      <c r="SRW2" s="62"/>
      <c r="SRX2" s="62"/>
      <c r="SRY2" s="62"/>
      <c r="SRZ2" s="62"/>
      <c r="SSA2" s="62"/>
      <c r="SSB2" s="62"/>
      <c r="SSC2" s="62"/>
      <c r="SSD2" s="62"/>
      <c r="SSE2" s="62"/>
      <c r="SSF2" s="62"/>
      <c r="SSG2" s="62"/>
      <c r="SSH2" s="62"/>
      <c r="SSI2" s="62"/>
      <c r="SSJ2" s="62"/>
      <c r="SSK2" s="62"/>
      <c r="SSL2" s="62"/>
      <c r="SSM2" s="62"/>
      <c r="SSN2" s="62"/>
      <c r="SSO2" s="62"/>
      <c r="SSP2" s="62"/>
      <c r="SSQ2" s="62"/>
      <c r="SSR2" s="62"/>
      <c r="SSS2" s="62"/>
      <c r="SST2" s="62"/>
      <c r="SSU2" s="62"/>
      <c r="SSV2" s="62"/>
      <c r="SSW2" s="62"/>
      <c r="SSX2" s="62"/>
      <c r="SSY2" s="62"/>
      <c r="SSZ2" s="62"/>
      <c r="STA2" s="62"/>
      <c r="STB2" s="62"/>
      <c r="STC2" s="62"/>
      <c r="STD2" s="62"/>
      <c r="STE2" s="62"/>
      <c r="STF2" s="62"/>
      <c r="STG2" s="62"/>
      <c r="STH2" s="62"/>
      <c r="STI2" s="62"/>
      <c r="STJ2" s="62"/>
      <c r="STK2" s="62"/>
      <c r="STL2" s="62"/>
      <c r="STM2" s="62"/>
      <c r="STN2" s="62"/>
      <c r="STO2" s="62"/>
      <c r="STP2" s="62"/>
      <c r="STQ2" s="62"/>
      <c r="STR2" s="62"/>
      <c r="STS2" s="62"/>
      <c r="STT2" s="62"/>
      <c r="STU2" s="62"/>
      <c r="STV2" s="62"/>
      <c r="STW2" s="62"/>
      <c r="STX2" s="62"/>
      <c r="STY2" s="62"/>
      <c r="STZ2" s="62"/>
      <c r="SUA2" s="62"/>
      <c r="SUB2" s="62"/>
      <c r="SUC2" s="62"/>
      <c r="SUD2" s="62"/>
      <c r="SUE2" s="62"/>
      <c r="SUF2" s="62"/>
      <c r="SUG2" s="62"/>
      <c r="SUH2" s="62"/>
      <c r="SUI2" s="62"/>
      <c r="SUJ2" s="62"/>
      <c r="SUK2" s="62"/>
      <c r="SUL2" s="62"/>
      <c r="SUM2" s="62"/>
      <c r="SUN2" s="62"/>
      <c r="SUO2" s="62"/>
      <c r="SUP2" s="62"/>
      <c r="SUQ2" s="62"/>
      <c r="SUR2" s="62"/>
      <c r="SUS2" s="62"/>
      <c r="SUT2" s="62"/>
      <c r="SUU2" s="62"/>
      <c r="SUV2" s="62"/>
      <c r="SUW2" s="62"/>
      <c r="SUX2" s="62"/>
      <c r="SUY2" s="62"/>
      <c r="SUZ2" s="62"/>
      <c r="SVA2" s="62"/>
      <c r="SVB2" s="62"/>
      <c r="SVC2" s="62"/>
      <c r="SVD2" s="62"/>
      <c r="SVE2" s="62"/>
      <c r="SVF2" s="62"/>
      <c r="SVG2" s="62"/>
      <c r="SVH2" s="62"/>
      <c r="SVI2" s="62"/>
      <c r="SVJ2" s="62"/>
      <c r="SVK2" s="62"/>
      <c r="SVL2" s="62"/>
      <c r="SVM2" s="62"/>
      <c r="SVN2" s="62"/>
      <c r="SVO2" s="62"/>
      <c r="SVP2" s="62"/>
      <c r="SVQ2" s="62"/>
      <c r="SVR2" s="62"/>
      <c r="SVS2" s="62"/>
      <c r="SVT2" s="62"/>
      <c r="SVU2" s="62"/>
      <c r="SVV2" s="62"/>
      <c r="SVW2" s="62"/>
      <c r="SVX2" s="62"/>
      <c r="SVY2" s="62"/>
      <c r="SVZ2" s="62"/>
      <c r="SWA2" s="62"/>
      <c r="SWB2" s="62"/>
      <c r="SWC2" s="62"/>
      <c r="SWD2" s="62"/>
      <c r="SWE2" s="62"/>
      <c r="SWF2" s="62"/>
      <c r="SWG2" s="62"/>
      <c r="SWH2" s="62"/>
      <c r="SWI2" s="62"/>
      <c r="SWJ2" s="62"/>
      <c r="SWK2" s="62"/>
      <c r="SWL2" s="62"/>
      <c r="SWM2" s="62"/>
      <c r="SWN2" s="62"/>
      <c r="SWO2" s="62"/>
      <c r="SWP2" s="62"/>
      <c r="SWQ2" s="62"/>
      <c r="SWR2" s="62"/>
      <c r="SWS2" s="62"/>
      <c r="SWT2" s="62"/>
      <c r="SWU2" s="62"/>
      <c r="SWV2" s="62"/>
      <c r="SWW2" s="62"/>
      <c r="SWX2" s="62"/>
      <c r="SWY2" s="62"/>
      <c r="SWZ2" s="62"/>
      <c r="SXA2" s="62"/>
      <c r="SXB2" s="62"/>
      <c r="SXC2" s="62"/>
      <c r="SXD2" s="62"/>
      <c r="SXE2" s="62"/>
      <c r="SXF2" s="62"/>
      <c r="SXG2" s="62"/>
      <c r="SXH2" s="62"/>
      <c r="SXI2" s="62"/>
      <c r="SXJ2" s="62"/>
      <c r="SXK2" s="62"/>
      <c r="SXL2" s="62"/>
      <c r="SXM2" s="62"/>
      <c r="SXN2" s="62"/>
      <c r="SXO2" s="62"/>
      <c r="SXP2" s="62"/>
      <c r="SXQ2" s="62"/>
      <c r="SXR2" s="62"/>
      <c r="SXS2" s="62"/>
      <c r="SXT2" s="62"/>
      <c r="SXU2" s="62"/>
      <c r="SXV2" s="62"/>
      <c r="SXW2" s="62"/>
      <c r="SXX2" s="62"/>
      <c r="SXY2" s="62"/>
      <c r="SXZ2" s="62"/>
      <c r="SYA2" s="62"/>
      <c r="SYB2" s="62"/>
      <c r="SYC2" s="62"/>
      <c r="SYD2" s="62"/>
      <c r="SYE2" s="62"/>
      <c r="SYF2" s="62"/>
      <c r="SYG2" s="62"/>
      <c r="SYH2" s="62"/>
      <c r="SYI2" s="62"/>
      <c r="SYJ2" s="62"/>
      <c r="SYK2" s="62"/>
      <c r="SYL2" s="62"/>
      <c r="SYM2" s="62"/>
      <c r="SYN2" s="62"/>
      <c r="SYO2" s="62"/>
      <c r="SYP2" s="62"/>
      <c r="SYQ2" s="62"/>
      <c r="SYR2" s="62"/>
      <c r="SYS2" s="62"/>
      <c r="SYT2" s="62"/>
      <c r="SYU2" s="62"/>
      <c r="SYV2" s="62"/>
      <c r="SYW2" s="62"/>
      <c r="SYX2" s="62"/>
      <c r="SYY2" s="62"/>
      <c r="SYZ2" s="62"/>
      <c r="SZA2" s="62"/>
      <c r="SZB2" s="62"/>
      <c r="SZC2" s="62"/>
      <c r="SZD2" s="62"/>
      <c r="SZE2" s="62"/>
      <c r="SZF2" s="62"/>
      <c r="SZG2" s="62"/>
      <c r="SZH2" s="62"/>
      <c r="SZI2" s="62"/>
      <c r="SZJ2" s="62"/>
      <c r="SZK2" s="62"/>
      <c r="SZL2" s="62"/>
      <c r="SZM2" s="62"/>
      <c r="SZN2" s="62"/>
      <c r="SZO2" s="62"/>
      <c r="SZP2" s="62"/>
      <c r="SZQ2" s="62"/>
      <c r="SZR2" s="62"/>
      <c r="SZS2" s="62"/>
      <c r="SZT2" s="62"/>
      <c r="SZU2" s="62"/>
      <c r="SZV2" s="62"/>
      <c r="SZW2" s="62"/>
      <c r="SZX2" s="62"/>
      <c r="SZY2" s="62"/>
      <c r="SZZ2" s="62"/>
      <c r="TAA2" s="62"/>
      <c r="TAB2" s="62"/>
      <c r="TAC2" s="62"/>
      <c r="TAD2" s="62"/>
      <c r="TAE2" s="62"/>
      <c r="TAF2" s="62"/>
      <c r="TAG2" s="62"/>
      <c r="TAH2" s="62"/>
      <c r="TAI2" s="62"/>
      <c r="TAJ2" s="62"/>
      <c r="TAK2" s="62"/>
      <c r="TAL2" s="62"/>
      <c r="TAM2" s="62"/>
      <c r="TAN2" s="62"/>
      <c r="TAO2" s="62"/>
      <c r="TAP2" s="62"/>
      <c r="TAQ2" s="62"/>
      <c r="TAR2" s="62"/>
      <c r="TAS2" s="62"/>
      <c r="TAT2" s="62"/>
      <c r="TAU2" s="62"/>
      <c r="TAV2" s="62"/>
      <c r="TAW2" s="62"/>
      <c r="TAX2" s="62"/>
      <c r="TAY2" s="62"/>
      <c r="TAZ2" s="62"/>
      <c r="TBA2" s="62"/>
      <c r="TBB2" s="62"/>
      <c r="TBC2" s="62"/>
      <c r="TBD2" s="62"/>
      <c r="TBE2" s="62"/>
      <c r="TBF2" s="62"/>
      <c r="TBG2" s="62"/>
      <c r="TBH2" s="62"/>
      <c r="TBI2" s="62"/>
      <c r="TBJ2" s="62"/>
      <c r="TBK2" s="62"/>
      <c r="TBL2" s="62"/>
      <c r="TBM2" s="62"/>
      <c r="TBN2" s="62"/>
      <c r="TBO2" s="62"/>
      <c r="TBP2" s="62"/>
      <c r="TBQ2" s="62"/>
      <c r="TBR2" s="62"/>
      <c r="TBS2" s="62"/>
      <c r="TBT2" s="62"/>
      <c r="TBU2" s="62"/>
      <c r="TBV2" s="62"/>
      <c r="TBW2" s="62"/>
      <c r="TBX2" s="62"/>
      <c r="TBY2" s="62"/>
      <c r="TBZ2" s="62"/>
      <c r="TCA2" s="62"/>
      <c r="TCB2" s="62"/>
      <c r="TCC2" s="62"/>
      <c r="TCD2" s="62"/>
      <c r="TCE2" s="62"/>
      <c r="TCF2" s="62"/>
      <c r="TCG2" s="62"/>
      <c r="TCH2" s="62"/>
      <c r="TCI2" s="62"/>
      <c r="TCJ2" s="62"/>
      <c r="TCK2" s="62"/>
      <c r="TCL2" s="62"/>
      <c r="TCM2" s="62"/>
      <c r="TCN2" s="62"/>
      <c r="TCO2" s="62"/>
      <c r="TCP2" s="62"/>
      <c r="TCQ2" s="62"/>
      <c r="TCR2" s="62"/>
      <c r="TCS2" s="62"/>
      <c r="TCT2" s="62"/>
      <c r="TCU2" s="62"/>
      <c r="TCV2" s="62"/>
      <c r="TCW2" s="62"/>
      <c r="TCX2" s="62"/>
      <c r="TCY2" s="62"/>
      <c r="TCZ2" s="62"/>
      <c r="TDA2" s="62"/>
      <c r="TDB2" s="62"/>
      <c r="TDC2" s="62"/>
      <c r="TDD2" s="62"/>
      <c r="TDE2" s="62"/>
      <c r="TDF2" s="62"/>
      <c r="TDG2" s="62"/>
      <c r="TDH2" s="62"/>
      <c r="TDI2" s="62"/>
      <c r="TDJ2" s="62"/>
      <c r="TDK2" s="62"/>
      <c r="TDL2" s="62"/>
      <c r="TDM2" s="62"/>
      <c r="TDN2" s="62"/>
      <c r="TDO2" s="62"/>
      <c r="TDP2" s="62"/>
      <c r="TDQ2" s="62"/>
      <c r="TDR2" s="62"/>
      <c r="TDS2" s="62"/>
      <c r="TDT2" s="62"/>
      <c r="TDU2" s="62"/>
      <c r="TDV2" s="62"/>
      <c r="TDW2" s="62"/>
      <c r="TDX2" s="62"/>
      <c r="TDY2" s="62"/>
      <c r="TDZ2" s="62"/>
      <c r="TEA2" s="62"/>
      <c r="TEB2" s="62"/>
      <c r="TEC2" s="62"/>
      <c r="TED2" s="62"/>
      <c r="TEE2" s="62"/>
      <c r="TEF2" s="62"/>
      <c r="TEG2" s="62"/>
      <c r="TEH2" s="62"/>
      <c r="TEI2" s="62"/>
      <c r="TEJ2" s="62"/>
      <c r="TEK2" s="62"/>
      <c r="TEL2" s="62"/>
      <c r="TEM2" s="62"/>
      <c r="TEN2" s="62"/>
      <c r="TEO2" s="62"/>
      <c r="TEP2" s="62"/>
      <c r="TEQ2" s="62"/>
      <c r="TER2" s="62"/>
      <c r="TES2" s="62"/>
      <c r="TET2" s="62"/>
      <c r="TEU2" s="62"/>
      <c r="TEV2" s="62"/>
      <c r="TEW2" s="62"/>
      <c r="TEX2" s="62"/>
      <c r="TEY2" s="62"/>
      <c r="TEZ2" s="62"/>
      <c r="TFA2" s="62"/>
      <c r="TFB2" s="62"/>
      <c r="TFC2" s="62"/>
      <c r="TFD2" s="62"/>
      <c r="TFE2" s="62"/>
      <c r="TFF2" s="62"/>
      <c r="TFG2" s="62"/>
      <c r="TFH2" s="62"/>
      <c r="TFI2" s="62"/>
      <c r="TFJ2" s="62"/>
      <c r="TFK2" s="62"/>
      <c r="TFL2" s="62"/>
      <c r="TFM2" s="62"/>
      <c r="TFN2" s="62"/>
      <c r="TFO2" s="62"/>
      <c r="TFP2" s="62"/>
      <c r="TFQ2" s="62"/>
      <c r="TFR2" s="62"/>
      <c r="TFS2" s="62"/>
      <c r="TFT2" s="62"/>
      <c r="TFU2" s="62"/>
      <c r="TFV2" s="62"/>
      <c r="TFW2" s="62"/>
      <c r="TFX2" s="62"/>
      <c r="TFY2" s="62"/>
      <c r="TFZ2" s="62"/>
      <c r="TGA2" s="62"/>
      <c r="TGB2" s="62"/>
      <c r="TGC2" s="62"/>
      <c r="TGD2" s="62"/>
      <c r="TGE2" s="62"/>
      <c r="TGF2" s="62"/>
      <c r="TGG2" s="62"/>
      <c r="TGH2" s="62"/>
      <c r="TGI2" s="62"/>
      <c r="TGJ2" s="62"/>
      <c r="TGK2" s="62"/>
      <c r="TGL2" s="62"/>
      <c r="TGM2" s="62"/>
      <c r="TGN2" s="62"/>
      <c r="TGO2" s="62"/>
      <c r="TGP2" s="62"/>
      <c r="TGQ2" s="62"/>
      <c r="TGR2" s="62"/>
      <c r="TGS2" s="62"/>
      <c r="TGT2" s="62"/>
      <c r="TGU2" s="62"/>
      <c r="TGV2" s="62"/>
      <c r="TGW2" s="62"/>
      <c r="TGX2" s="62"/>
      <c r="TGY2" s="62"/>
      <c r="TGZ2" s="62"/>
      <c r="THA2" s="62"/>
      <c r="THB2" s="62"/>
      <c r="THC2" s="62"/>
      <c r="THD2" s="62"/>
      <c r="THE2" s="62"/>
      <c r="THF2" s="62"/>
      <c r="THG2" s="62"/>
      <c r="THH2" s="62"/>
      <c r="THI2" s="62"/>
      <c r="THJ2" s="62"/>
      <c r="THK2" s="62"/>
      <c r="THL2" s="62"/>
      <c r="THM2" s="62"/>
      <c r="THN2" s="62"/>
      <c r="THO2" s="62"/>
      <c r="THP2" s="62"/>
      <c r="THQ2" s="62"/>
      <c r="THR2" s="62"/>
      <c r="THS2" s="62"/>
      <c r="THT2" s="62"/>
      <c r="THU2" s="62"/>
      <c r="THV2" s="62"/>
      <c r="THW2" s="62"/>
      <c r="THX2" s="62"/>
      <c r="THY2" s="62"/>
      <c r="THZ2" s="62"/>
      <c r="TIA2" s="62"/>
      <c r="TIB2" s="62"/>
      <c r="TIC2" s="62"/>
      <c r="TID2" s="62"/>
      <c r="TIE2" s="62"/>
      <c r="TIF2" s="62"/>
      <c r="TIG2" s="62"/>
      <c r="TIH2" s="62"/>
      <c r="TII2" s="62"/>
      <c r="TIJ2" s="62"/>
      <c r="TIK2" s="62"/>
      <c r="TIL2" s="62"/>
      <c r="TIM2" s="62"/>
      <c r="TIN2" s="62"/>
      <c r="TIO2" s="62"/>
      <c r="TIP2" s="62"/>
      <c r="TIQ2" s="62"/>
      <c r="TIR2" s="62"/>
      <c r="TIS2" s="62"/>
      <c r="TIT2" s="62"/>
      <c r="TIU2" s="62"/>
      <c r="TIV2" s="62"/>
      <c r="TIW2" s="62"/>
      <c r="TIX2" s="62"/>
      <c r="TIY2" s="62"/>
      <c r="TIZ2" s="62"/>
      <c r="TJA2" s="62"/>
      <c r="TJB2" s="62"/>
      <c r="TJC2" s="62"/>
      <c r="TJD2" s="62"/>
      <c r="TJE2" s="62"/>
      <c r="TJF2" s="62"/>
      <c r="TJG2" s="62"/>
      <c r="TJH2" s="62"/>
      <c r="TJI2" s="62"/>
      <c r="TJJ2" s="62"/>
      <c r="TJK2" s="62"/>
      <c r="TJL2" s="62"/>
      <c r="TJM2" s="62"/>
      <c r="TJN2" s="62"/>
      <c r="TJO2" s="62"/>
      <c r="TJP2" s="62"/>
      <c r="TJQ2" s="62"/>
      <c r="TJR2" s="62"/>
      <c r="TJS2" s="62"/>
      <c r="TJT2" s="62"/>
      <c r="TJU2" s="62"/>
      <c r="TJV2" s="62"/>
      <c r="TJW2" s="62"/>
      <c r="TJX2" s="62"/>
      <c r="TJY2" s="62"/>
      <c r="TJZ2" s="62"/>
      <c r="TKA2" s="62"/>
      <c r="TKB2" s="62"/>
      <c r="TKC2" s="62"/>
      <c r="TKD2" s="62"/>
      <c r="TKE2" s="62"/>
      <c r="TKF2" s="62"/>
      <c r="TKG2" s="62"/>
      <c r="TKH2" s="62"/>
      <c r="TKI2" s="62"/>
      <c r="TKJ2" s="62"/>
      <c r="TKK2" s="62"/>
      <c r="TKL2" s="62"/>
      <c r="TKM2" s="62"/>
      <c r="TKN2" s="62"/>
      <c r="TKO2" s="62"/>
      <c r="TKP2" s="62"/>
      <c r="TKQ2" s="62"/>
      <c r="TKR2" s="62"/>
      <c r="TKS2" s="62"/>
      <c r="TKT2" s="62"/>
      <c r="TKU2" s="62"/>
      <c r="TKV2" s="62"/>
      <c r="TKW2" s="62"/>
      <c r="TKX2" s="62"/>
      <c r="TKY2" s="62"/>
      <c r="TKZ2" s="62"/>
      <c r="TLA2" s="62"/>
      <c r="TLB2" s="62"/>
      <c r="TLC2" s="62"/>
      <c r="TLD2" s="62"/>
      <c r="TLE2" s="62"/>
      <c r="TLF2" s="62"/>
      <c r="TLG2" s="62"/>
      <c r="TLH2" s="62"/>
      <c r="TLI2" s="62"/>
      <c r="TLJ2" s="62"/>
      <c r="TLK2" s="62"/>
      <c r="TLL2" s="62"/>
      <c r="TLM2" s="62"/>
      <c r="TLN2" s="62"/>
      <c r="TLO2" s="62"/>
      <c r="TLP2" s="62"/>
      <c r="TLQ2" s="62"/>
      <c r="TLR2" s="62"/>
      <c r="TLS2" s="62"/>
      <c r="TLT2" s="62"/>
      <c r="TLU2" s="62"/>
      <c r="TLV2" s="62"/>
      <c r="TLW2" s="62"/>
      <c r="TLX2" s="62"/>
      <c r="TLY2" s="62"/>
      <c r="TLZ2" s="62"/>
      <c r="TMA2" s="62"/>
      <c r="TMB2" s="62"/>
      <c r="TMC2" s="62"/>
      <c r="TMD2" s="62"/>
      <c r="TME2" s="62"/>
      <c r="TMF2" s="62"/>
      <c r="TMG2" s="62"/>
      <c r="TMH2" s="62"/>
      <c r="TMI2" s="62"/>
      <c r="TMJ2" s="62"/>
      <c r="TMK2" s="62"/>
      <c r="TML2" s="62"/>
      <c r="TMM2" s="62"/>
      <c r="TMN2" s="62"/>
      <c r="TMO2" s="62"/>
      <c r="TMP2" s="62"/>
      <c r="TMQ2" s="62"/>
      <c r="TMR2" s="62"/>
      <c r="TMS2" s="62"/>
      <c r="TMT2" s="62"/>
      <c r="TMU2" s="62"/>
      <c r="TMV2" s="62"/>
      <c r="TMW2" s="62"/>
      <c r="TMX2" s="62"/>
      <c r="TMY2" s="62"/>
      <c r="TMZ2" s="62"/>
      <c r="TNA2" s="62"/>
      <c r="TNB2" s="62"/>
      <c r="TNC2" s="62"/>
      <c r="TND2" s="62"/>
      <c r="TNE2" s="62"/>
      <c r="TNF2" s="62"/>
      <c r="TNG2" s="62"/>
      <c r="TNH2" s="62"/>
      <c r="TNI2" s="62"/>
      <c r="TNJ2" s="62"/>
      <c r="TNK2" s="62"/>
      <c r="TNL2" s="62"/>
      <c r="TNM2" s="62"/>
      <c r="TNN2" s="62"/>
      <c r="TNO2" s="62"/>
      <c r="TNP2" s="62"/>
      <c r="TNQ2" s="62"/>
      <c r="TNR2" s="62"/>
      <c r="TNS2" s="62"/>
      <c r="TNT2" s="62"/>
      <c r="TNU2" s="62"/>
      <c r="TNV2" s="62"/>
      <c r="TNW2" s="62"/>
      <c r="TNX2" s="62"/>
      <c r="TNY2" s="62"/>
      <c r="TNZ2" s="62"/>
      <c r="TOA2" s="62"/>
      <c r="TOB2" s="62"/>
      <c r="TOC2" s="62"/>
      <c r="TOD2" s="62"/>
      <c r="TOE2" s="62"/>
      <c r="TOF2" s="62"/>
      <c r="TOG2" s="62"/>
      <c r="TOH2" s="62"/>
      <c r="TOI2" s="62"/>
      <c r="TOJ2" s="62"/>
      <c r="TOK2" s="62"/>
      <c r="TOL2" s="62"/>
      <c r="TOM2" s="62"/>
      <c r="TON2" s="62"/>
      <c r="TOO2" s="62"/>
      <c r="TOP2" s="62"/>
      <c r="TOQ2" s="62"/>
      <c r="TOR2" s="62"/>
      <c r="TOS2" s="62"/>
      <c r="TOT2" s="62"/>
      <c r="TOU2" s="62"/>
      <c r="TOV2" s="62"/>
      <c r="TOW2" s="62"/>
      <c r="TOX2" s="62"/>
      <c r="TOY2" s="62"/>
      <c r="TOZ2" s="62"/>
      <c r="TPA2" s="62"/>
      <c r="TPB2" s="62"/>
      <c r="TPC2" s="62"/>
      <c r="TPD2" s="62"/>
      <c r="TPE2" s="62"/>
      <c r="TPF2" s="62"/>
      <c r="TPG2" s="62"/>
      <c r="TPH2" s="62"/>
      <c r="TPI2" s="62"/>
      <c r="TPJ2" s="62"/>
      <c r="TPK2" s="62"/>
      <c r="TPL2" s="62"/>
      <c r="TPM2" s="62"/>
      <c r="TPN2" s="62"/>
      <c r="TPO2" s="62"/>
      <c r="TPP2" s="62"/>
      <c r="TPQ2" s="62"/>
      <c r="TPR2" s="62"/>
      <c r="TPS2" s="62"/>
      <c r="TPT2" s="62"/>
      <c r="TPU2" s="62"/>
      <c r="TPV2" s="62"/>
      <c r="TPW2" s="62"/>
      <c r="TPX2" s="62"/>
      <c r="TPY2" s="62"/>
      <c r="TPZ2" s="62"/>
      <c r="TQA2" s="62"/>
      <c r="TQB2" s="62"/>
      <c r="TQC2" s="62"/>
      <c r="TQD2" s="62"/>
      <c r="TQE2" s="62"/>
      <c r="TQF2" s="62"/>
      <c r="TQG2" s="62"/>
      <c r="TQH2" s="62"/>
      <c r="TQI2" s="62"/>
      <c r="TQJ2" s="62"/>
      <c r="TQK2" s="62"/>
      <c r="TQL2" s="62"/>
      <c r="TQM2" s="62"/>
      <c r="TQN2" s="62"/>
      <c r="TQO2" s="62"/>
      <c r="TQP2" s="62"/>
      <c r="TQQ2" s="62"/>
      <c r="TQR2" s="62"/>
      <c r="TQS2" s="62"/>
      <c r="TQT2" s="62"/>
      <c r="TQU2" s="62"/>
      <c r="TQV2" s="62"/>
      <c r="TQW2" s="62"/>
      <c r="TQX2" s="62"/>
      <c r="TQY2" s="62"/>
      <c r="TQZ2" s="62"/>
      <c r="TRA2" s="62"/>
      <c r="TRB2" s="62"/>
      <c r="TRC2" s="62"/>
      <c r="TRD2" s="62"/>
      <c r="TRE2" s="62"/>
      <c r="TRF2" s="62"/>
      <c r="TRG2" s="62"/>
      <c r="TRH2" s="62"/>
      <c r="TRI2" s="62"/>
      <c r="TRJ2" s="62"/>
      <c r="TRK2" s="62"/>
      <c r="TRL2" s="62"/>
      <c r="TRM2" s="62"/>
      <c r="TRN2" s="62"/>
      <c r="TRO2" s="62"/>
      <c r="TRP2" s="62"/>
      <c r="TRQ2" s="62"/>
      <c r="TRR2" s="62"/>
      <c r="TRS2" s="62"/>
      <c r="TRT2" s="62"/>
      <c r="TRU2" s="62"/>
      <c r="TRV2" s="62"/>
      <c r="TRW2" s="62"/>
      <c r="TRX2" s="62"/>
      <c r="TRY2" s="62"/>
      <c r="TRZ2" s="62"/>
      <c r="TSA2" s="62"/>
      <c r="TSB2" s="62"/>
      <c r="TSC2" s="62"/>
      <c r="TSD2" s="62"/>
      <c r="TSE2" s="62"/>
      <c r="TSF2" s="62"/>
      <c r="TSG2" s="62"/>
      <c r="TSH2" s="62"/>
      <c r="TSI2" s="62"/>
      <c r="TSJ2" s="62"/>
      <c r="TSK2" s="62"/>
      <c r="TSL2" s="62"/>
      <c r="TSM2" s="62"/>
      <c r="TSN2" s="62"/>
      <c r="TSO2" s="62"/>
      <c r="TSP2" s="62"/>
      <c r="TSQ2" s="62"/>
      <c r="TSR2" s="62"/>
      <c r="TSS2" s="62"/>
      <c r="TST2" s="62"/>
      <c r="TSU2" s="62"/>
      <c r="TSV2" s="62"/>
      <c r="TSW2" s="62"/>
      <c r="TSX2" s="62"/>
      <c r="TSY2" s="62"/>
      <c r="TSZ2" s="62"/>
      <c r="TTA2" s="62"/>
      <c r="TTB2" s="62"/>
      <c r="TTC2" s="62"/>
      <c r="TTD2" s="62"/>
      <c r="TTE2" s="62"/>
      <c r="TTF2" s="62"/>
      <c r="TTG2" s="62"/>
      <c r="TTH2" s="62"/>
      <c r="TTI2" s="62"/>
      <c r="TTJ2" s="62"/>
      <c r="TTK2" s="62"/>
      <c r="TTL2" s="62"/>
      <c r="TTM2" s="62"/>
      <c r="TTN2" s="62"/>
      <c r="TTO2" s="62"/>
      <c r="TTP2" s="62"/>
      <c r="TTQ2" s="62"/>
      <c r="TTR2" s="62"/>
      <c r="TTS2" s="62"/>
      <c r="TTT2" s="62"/>
      <c r="TTU2" s="62"/>
      <c r="TTV2" s="62"/>
      <c r="TTW2" s="62"/>
      <c r="TTX2" s="62"/>
      <c r="TTY2" s="62"/>
      <c r="TTZ2" s="62"/>
      <c r="TUA2" s="62"/>
      <c r="TUB2" s="62"/>
      <c r="TUC2" s="62"/>
      <c r="TUD2" s="62"/>
      <c r="TUE2" s="62"/>
      <c r="TUF2" s="62"/>
      <c r="TUG2" s="62"/>
      <c r="TUH2" s="62"/>
      <c r="TUI2" s="62"/>
      <c r="TUJ2" s="62"/>
      <c r="TUK2" s="62"/>
      <c r="TUL2" s="62"/>
      <c r="TUM2" s="62"/>
      <c r="TUN2" s="62"/>
      <c r="TUO2" s="62"/>
      <c r="TUP2" s="62"/>
      <c r="TUQ2" s="62"/>
      <c r="TUR2" s="62"/>
      <c r="TUS2" s="62"/>
      <c r="TUT2" s="62"/>
      <c r="TUU2" s="62"/>
      <c r="TUV2" s="62"/>
      <c r="TUW2" s="62"/>
      <c r="TUX2" s="62"/>
      <c r="TUY2" s="62"/>
      <c r="TUZ2" s="62"/>
      <c r="TVA2" s="62"/>
      <c r="TVB2" s="62"/>
      <c r="TVC2" s="62"/>
      <c r="TVD2" s="62"/>
      <c r="TVE2" s="62"/>
      <c r="TVF2" s="62"/>
      <c r="TVG2" s="62"/>
      <c r="TVH2" s="62"/>
      <c r="TVI2" s="62"/>
      <c r="TVJ2" s="62"/>
      <c r="TVK2" s="62"/>
      <c r="TVL2" s="62"/>
      <c r="TVM2" s="62"/>
      <c r="TVN2" s="62"/>
      <c r="TVO2" s="62"/>
      <c r="TVP2" s="62"/>
      <c r="TVQ2" s="62"/>
      <c r="TVR2" s="62"/>
      <c r="TVS2" s="62"/>
      <c r="TVT2" s="62"/>
      <c r="TVU2" s="62"/>
      <c r="TVV2" s="62"/>
      <c r="TVW2" s="62"/>
      <c r="TVX2" s="62"/>
      <c r="TVY2" s="62"/>
      <c r="TVZ2" s="62"/>
      <c r="TWA2" s="62"/>
      <c r="TWB2" s="62"/>
      <c r="TWC2" s="62"/>
      <c r="TWD2" s="62"/>
      <c r="TWE2" s="62"/>
      <c r="TWF2" s="62"/>
      <c r="TWG2" s="62"/>
      <c r="TWH2" s="62"/>
      <c r="TWI2" s="62"/>
      <c r="TWJ2" s="62"/>
      <c r="TWK2" s="62"/>
      <c r="TWL2" s="62"/>
      <c r="TWM2" s="62"/>
      <c r="TWN2" s="62"/>
      <c r="TWO2" s="62"/>
      <c r="TWP2" s="62"/>
      <c r="TWQ2" s="62"/>
      <c r="TWR2" s="62"/>
      <c r="TWS2" s="62"/>
      <c r="TWT2" s="62"/>
      <c r="TWU2" s="62"/>
      <c r="TWV2" s="62"/>
      <c r="TWW2" s="62"/>
      <c r="TWX2" s="62"/>
      <c r="TWY2" s="62"/>
      <c r="TWZ2" s="62"/>
      <c r="TXA2" s="62"/>
      <c r="TXB2" s="62"/>
      <c r="TXC2" s="62"/>
      <c r="TXD2" s="62"/>
      <c r="TXE2" s="62"/>
      <c r="TXF2" s="62"/>
      <c r="TXG2" s="62"/>
      <c r="TXH2" s="62"/>
      <c r="TXI2" s="62"/>
      <c r="TXJ2" s="62"/>
      <c r="TXK2" s="62"/>
      <c r="TXL2" s="62"/>
      <c r="TXM2" s="62"/>
      <c r="TXN2" s="62"/>
      <c r="TXO2" s="62"/>
      <c r="TXP2" s="62"/>
      <c r="TXQ2" s="62"/>
      <c r="TXR2" s="62"/>
      <c r="TXS2" s="62"/>
      <c r="TXT2" s="62"/>
      <c r="TXU2" s="62"/>
      <c r="TXV2" s="62"/>
      <c r="TXW2" s="62"/>
      <c r="TXX2" s="62"/>
      <c r="TXY2" s="62"/>
      <c r="TXZ2" s="62"/>
      <c r="TYA2" s="62"/>
      <c r="TYB2" s="62"/>
      <c r="TYC2" s="62"/>
      <c r="TYD2" s="62"/>
      <c r="TYE2" s="62"/>
      <c r="TYF2" s="62"/>
      <c r="TYG2" s="62"/>
      <c r="TYH2" s="62"/>
      <c r="TYI2" s="62"/>
      <c r="TYJ2" s="62"/>
      <c r="TYK2" s="62"/>
      <c r="TYL2" s="62"/>
      <c r="TYM2" s="62"/>
      <c r="TYN2" s="62"/>
      <c r="TYO2" s="62"/>
      <c r="TYP2" s="62"/>
      <c r="TYQ2" s="62"/>
      <c r="TYR2" s="62"/>
      <c r="TYS2" s="62"/>
      <c r="TYT2" s="62"/>
      <c r="TYU2" s="62"/>
      <c r="TYV2" s="62"/>
      <c r="TYW2" s="62"/>
      <c r="TYX2" s="62"/>
      <c r="TYY2" s="62"/>
      <c r="TYZ2" s="62"/>
      <c r="TZA2" s="62"/>
      <c r="TZB2" s="62"/>
      <c r="TZC2" s="62"/>
      <c r="TZD2" s="62"/>
      <c r="TZE2" s="62"/>
      <c r="TZF2" s="62"/>
      <c r="TZG2" s="62"/>
      <c r="TZH2" s="62"/>
      <c r="TZI2" s="62"/>
      <c r="TZJ2" s="62"/>
      <c r="TZK2" s="62"/>
      <c r="TZL2" s="62"/>
      <c r="TZM2" s="62"/>
      <c r="TZN2" s="62"/>
      <c r="TZO2" s="62"/>
      <c r="TZP2" s="62"/>
      <c r="TZQ2" s="62"/>
      <c r="TZR2" s="62"/>
      <c r="TZS2" s="62"/>
      <c r="TZT2" s="62"/>
      <c r="TZU2" s="62"/>
      <c r="TZV2" s="62"/>
      <c r="TZW2" s="62"/>
      <c r="TZX2" s="62"/>
      <c r="TZY2" s="62"/>
      <c r="TZZ2" s="62"/>
      <c r="UAA2" s="62"/>
      <c r="UAB2" s="62"/>
      <c r="UAC2" s="62"/>
      <c r="UAD2" s="62"/>
      <c r="UAE2" s="62"/>
      <c r="UAF2" s="62"/>
      <c r="UAG2" s="62"/>
      <c r="UAH2" s="62"/>
      <c r="UAI2" s="62"/>
      <c r="UAJ2" s="62"/>
      <c r="UAK2" s="62"/>
      <c r="UAL2" s="62"/>
      <c r="UAM2" s="62"/>
      <c r="UAN2" s="62"/>
      <c r="UAO2" s="62"/>
      <c r="UAP2" s="62"/>
      <c r="UAQ2" s="62"/>
      <c r="UAR2" s="62"/>
      <c r="UAS2" s="62"/>
      <c r="UAT2" s="62"/>
      <c r="UAU2" s="62"/>
      <c r="UAV2" s="62"/>
      <c r="UAW2" s="62"/>
      <c r="UAX2" s="62"/>
      <c r="UAY2" s="62"/>
      <c r="UAZ2" s="62"/>
      <c r="UBA2" s="62"/>
      <c r="UBB2" s="62"/>
      <c r="UBC2" s="62"/>
      <c r="UBD2" s="62"/>
      <c r="UBE2" s="62"/>
      <c r="UBF2" s="62"/>
      <c r="UBG2" s="62"/>
      <c r="UBH2" s="62"/>
      <c r="UBI2" s="62"/>
      <c r="UBJ2" s="62"/>
      <c r="UBK2" s="62"/>
      <c r="UBL2" s="62"/>
      <c r="UBM2" s="62"/>
      <c r="UBN2" s="62"/>
      <c r="UBO2" s="62"/>
      <c r="UBP2" s="62"/>
      <c r="UBQ2" s="62"/>
      <c r="UBR2" s="62"/>
      <c r="UBS2" s="62"/>
      <c r="UBT2" s="62"/>
      <c r="UBU2" s="62"/>
      <c r="UBV2" s="62"/>
      <c r="UBW2" s="62"/>
      <c r="UBX2" s="62"/>
      <c r="UBY2" s="62"/>
      <c r="UBZ2" s="62"/>
      <c r="UCA2" s="62"/>
      <c r="UCB2" s="62"/>
      <c r="UCC2" s="62"/>
      <c r="UCD2" s="62"/>
      <c r="UCE2" s="62"/>
      <c r="UCF2" s="62"/>
      <c r="UCG2" s="62"/>
      <c r="UCH2" s="62"/>
      <c r="UCI2" s="62"/>
      <c r="UCJ2" s="62"/>
      <c r="UCK2" s="62"/>
      <c r="UCL2" s="62"/>
      <c r="UCM2" s="62"/>
      <c r="UCN2" s="62"/>
      <c r="UCO2" s="62"/>
      <c r="UCP2" s="62"/>
      <c r="UCQ2" s="62"/>
      <c r="UCR2" s="62"/>
      <c r="UCS2" s="62"/>
      <c r="UCT2" s="62"/>
      <c r="UCU2" s="62"/>
      <c r="UCV2" s="62"/>
      <c r="UCW2" s="62"/>
      <c r="UCX2" s="62"/>
      <c r="UCY2" s="62"/>
      <c r="UCZ2" s="62"/>
      <c r="UDA2" s="62"/>
      <c r="UDB2" s="62"/>
      <c r="UDC2" s="62"/>
      <c r="UDD2" s="62"/>
      <c r="UDE2" s="62"/>
      <c r="UDF2" s="62"/>
      <c r="UDG2" s="62"/>
      <c r="UDH2" s="62"/>
      <c r="UDI2" s="62"/>
      <c r="UDJ2" s="62"/>
      <c r="UDK2" s="62"/>
      <c r="UDL2" s="62"/>
      <c r="UDM2" s="62"/>
      <c r="UDN2" s="62"/>
      <c r="UDO2" s="62"/>
      <c r="UDP2" s="62"/>
      <c r="UDQ2" s="62"/>
      <c r="UDR2" s="62"/>
      <c r="UDS2" s="62"/>
      <c r="UDT2" s="62"/>
      <c r="UDU2" s="62"/>
      <c r="UDV2" s="62"/>
      <c r="UDW2" s="62"/>
      <c r="UDX2" s="62"/>
      <c r="UDY2" s="62"/>
      <c r="UDZ2" s="62"/>
      <c r="UEA2" s="62"/>
      <c r="UEB2" s="62"/>
      <c r="UEC2" s="62"/>
      <c r="UED2" s="62"/>
      <c r="UEE2" s="62"/>
      <c r="UEF2" s="62"/>
      <c r="UEG2" s="62"/>
      <c r="UEH2" s="62"/>
      <c r="UEI2" s="62"/>
      <c r="UEJ2" s="62"/>
      <c r="UEK2" s="62"/>
      <c r="UEL2" s="62"/>
      <c r="UEM2" s="62"/>
      <c r="UEN2" s="62"/>
      <c r="UEO2" s="62"/>
      <c r="UEP2" s="62"/>
      <c r="UEQ2" s="62"/>
      <c r="UER2" s="62"/>
      <c r="UES2" s="62"/>
      <c r="UET2" s="62"/>
      <c r="UEU2" s="62"/>
      <c r="UEV2" s="62"/>
      <c r="UEW2" s="62"/>
      <c r="UEX2" s="62"/>
      <c r="UEY2" s="62"/>
      <c r="UEZ2" s="62"/>
      <c r="UFA2" s="62"/>
      <c r="UFB2" s="62"/>
      <c r="UFC2" s="62"/>
      <c r="UFD2" s="62"/>
      <c r="UFE2" s="62"/>
      <c r="UFF2" s="62"/>
      <c r="UFG2" s="62"/>
      <c r="UFH2" s="62"/>
      <c r="UFI2" s="62"/>
      <c r="UFJ2" s="62"/>
      <c r="UFK2" s="62"/>
      <c r="UFL2" s="62"/>
      <c r="UFM2" s="62"/>
      <c r="UFN2" s="62"/>
      <c r="UFO2" s="62"/>
      <c r="UFP2" s="62"/>
      <c r="UFQ2" s="62"/>
      <c r="UFR2" s="62"/>
      <c r="UFS2" s="62"/>
      <c r="UFT2" s="62"/>
      <c r="UFU2" s="62"/>
      <c r="UFV2" s="62"/>
      <c r="UFW2" s="62"/>
      <c r="UFX2" s="62"/>
      <c r="UFY2" s="62"/>
      <c r="UFZ2" s="62"/>
      <c r="UGA2" s="62"/>
      <c r="UGB2" s="62"/>
      <c r="UGC2" s="62"/>
      <c r="UGD2" s="62"/>
      <c r="UGE2" s="62"/>
      <c r="UGF2" s="62"/>
      <c r="UGG2" s="62"/>
      <c r="UGH2" s="62"/>
      <c r="UGI2" s="62"/>
      <c r="UGJ2" s="62"/>
      <c r="UGK2" s="62"/>
      <c r="UGL2" s="62"/>
      <c r="UGM2" s="62"/>
      <c r="UGN2" s="62"/>
      <c r="UGO2" s="62"/>
      <c r="UGP2" s="62"/>
      <c r="UGQ2" s="62"/>
      <c r="UGR2" s="62"/>
      <c r="UGS2" s="62"/>
      <c r="UGT2" s="62"/>
      <c r="UGU2" s="62"/>
      <c r="UGV2" s="62"/>
      <c r="UGW2" s="62"/>
      <c r="UGX2" s="62"/>
      <c r="UGY2" s="62"/>
      <c r="UGZ2" s="62"/>
      <c r="UHA2" s="62"/>
      <c r="UHB2" s="62"/>
      <c r="UHC2" s="62"/>
      <c r="UHD2" s="62"/>
      <c r="UHE2" s="62"/>
      <c r="UHF2" s="62"/>
      <c r="UHG2" s="62"/>
      <c r="UHH2" s="62"/>
      <c r="UHI2" s="62"/>
      <c r="UHJ2" s="62"/>
      <c r="UHK2" s="62"/>
      <c r="UHL2" s="62"/>
      <c r="UHM2" s="62"/>
      <c r="UHN2" s="62"/>
      <c r="UHO2" s="62"/>
      <c r="UHP2" s="62"/>
      <c r="UHQ2" s="62"/>
      <c r="UHR2" s="62"/>
      <c r="UHS2" s="62"/>
      <c r="UHT2" s="62"/>
      <c r="UHU2" s="62"/>
      <c r="UHV2" s="62"/>
      <c r="UHW2" s="62"/>
      <c r="UHX2" s="62"/>
      <c r="UHY2" s="62"/>
      <c r="UHZ2" s="62"/>
      <c r="UIA2" s="62"/>
      <c r="UIB2" s="62"/>
      <c r="UIC2" s="62"/>
      <c r="UID2" s="62"/>
      <c r="UIE2" s="62"/>
      <c r="UIF2" s="62"/>
      <c r="UIG2" s="62"/>
      <c r="UIH2" s="62"/>
      <c r="UII2" s="62"/>
      <c r="UIJ2" s="62"/>
      <c r="UIK2" s="62"/>
      <c r="UIL2" s="62"/>
      <c r="UIM2" s="62"/>
      <c r="UIN2" s="62"/>
      <c r="UIO2" s="62"/>
      <c r="UIP2" s="62"/>
      <c r="UIQ2" s="62"/>
      <c r="UIR2" s="62"/>
      <c r="UIS2" s="62"/>
      <c r="UIT2" s="62"/>
      <c r="UIU2" s="62"/>
      <c r="UIV2" s="62"/>
      <c r="UIW2" s="62"/>
      <c r="UIX2" s="62"/>
      <c r="UIY2" s="62"/>
      <c r="UIZ2" s="62"/>
      <c r="UJA2" s="62"/>
      <c r="UJB2" s="62"/>
      <c r="UJC2" s="62"/>
      <c r="UJD2" s="62"/>
      <c r="UJE2" s="62"/>
      <c r="UJF2" s="62"/>
      <c r="UJG2" s="62"/>
      <c r="UJH2" s="62"/>
      <c r="UJI2" s="62"/>
      <c r="UJJ2" s="62"/>
      <c r="UJK2" s="62"/>
      <c r="UJL2" s="62"/>
      <c r="UJM2" s="62"/>
      <c r="UJN2" s="62"/>
      <c r="UJO2" s="62"/>
      <c r="UJP2" s="62"/>
      <c r="UJQ2" s="62"/>
      <c r="UJR2" s="62"/>
      <c r="UJS2" s="62"/>
      <c r="UJT2" s="62"/>
      <c r="UJU2" s="62"/>
      <c r="UJV2" s="62"/>
      <c r="UJW2" s="62"/>
      <c r="UJX2" s="62"/>
      <c r="UJY2" s="62"/>
      <c r="UJZ2" s="62"/>
      <c r="UKA2" s="62"/>
      <c r="UKB2" s="62"/>
      <c r="UKC2" s="62"/>
      <c r="UKD2" s="62"/>
      <c r="UKE2" s="62"/>
      <c r="UKF2" s="62"/>
      <c r="UKG2" s="62"/>
      <c r="UKH2" s="62"/>
      <c r="UKI2" s="62"/>
      <c r="UKJ2" s="62"/>
      <c r="UKK2" s="62"/>
      <c r="UKL2" s="62"/>
      <c r="UKM2" s="62"/>
      <c r="UKN2" s="62"/>
      <c r="UKO2" s="62"/>
      <c r="UKP2" s="62"/>
      <c r="UKQ2" s="62"/>
      <c r="UKR2" s="62"/>
      <c r="UKS2" s="62"/>
      <c r="UKT2" s="62"/>
      <c r="UKU2" s="62"/>
      <c r="UKV2" s="62"/>
      <c r="UKW2" s="62"/>
      <c r="UKX2" s="62"/>
      <c r="UKY2" s="62"/>
      <c r="UKZ2" s="62"/>
      <c r="ULA2" s="62"/>
      <c r="ULB2" s="62"/>
      <c r="ULC2" s="62"/>
      <c r="ULD2" s="62"/>
      <c r="ULE2" s="62"/>
      <c r="ULF2" s="62"/>
      <c r="ULG2" s="62"/>
      <c r="ULH2" s="62"/>
      <c r="ULI2" s="62"/>
      <c r="ULJ2" s="62"/>
      <c r="ULK2" s="62"/>
      <c r="ULL2" s="62"/>
      <c r="ULM2" s="62"/>
      <c r="ULN2" s="62"/>
      <c r="ULO2" s="62"/>
      <c r="ULP2" s="62"/>
      <c r="ULQ2" s="62"/>
      <c r="ULR2" s="62"/>
      <c r="ULS2" s="62"/>
      <c r="ULT2" s="62"/>
      <c r="ULU2" s="62"/>
      <c r="ULV2" s="62"/>
      <c r="ULW2" s="62"/>
      <c r="ULX2" s="62"/>
      <c r="ULY2" s="62"/>
      <c r="ULZ2" s="62"/>
      <c r="UMA2" s="62"/>
      <c r="UMB2" s="62"/>
      <c r="UMC2" s="62"/>
      <c r="UMD2" s="62"/>
      <c r="UME2" s="62"/>
      <c r="UMF2" s="62"/>
      <c r="UMG2" s="62"/>
      <c r="UMH2" s="62"/>
      <c r="UMI2" s="62"/>
      <c r="UMJ2" s="62"/>
      <c r="UMK2" s="62"/>
      <c r="UML2" s="62"/>
      <c r="UMM2" s="62"/>
      <c r="UMN2" s="62"/>
      <c r="UMO2" s="62"/>
      <c r="UMP2" s="62"/>
      <c r="UMQ2" s="62"/>
      <c r="UMR2" s="62"/>
      <c r="UMS2" s="62"/>
      <c r="UMT2" s="62"/>
      <c r="UMU2" s="62"/>
      <c r="UMV2" s="62"/>
      <c r="UMW2" s="62"/>
      <c r="UMX2" s="62"/>
      <c r="UMY2" s="62"/>
      <c r="UMZ2" s="62"/>
      <c r="UNA2" s="62"/>
      <c r="UNB2" s="62"/>
      <c r="UNC2" s="62"/>
      <c r="UND2" s="62"/>
      <c r="UNE2" s="62"/>
      <c r="UNF2" s="62"/>
      <c r="UNG2" s="62"/>
      <c r="UNH2" s="62"/>
      <c r="UNI2" s="62"/>
      <c r="UNJ2" s="62"/>
      <c r="UNK2" s="62"/>
      <c r="UNL2" s="62"/>
      <c r="UNM2" s="62"/>
      <c r="UNN2" s="62"/>
      <c r="UNO2" s="62"/>
      <c r="UNP2" s="62"/>
      <c r="UNQ2" s="62"/>
      <c r="UNR2" s="62"/>
      <c r="UNS2" s="62"/>
      <c r="UNT2" s="62"/>
      <c r="UNU2" s="62"/>
      <c r="UNV2" s="62"/>
      <c r="UNW2" s="62"/>
      <c r="UNX2" s="62"/>
      <c r="UNY2" s="62"/>
      <c r="UNZ2" s="62"/>
      <c r="UOA2" s="62"/>
      <c r="UOB2" s="62"/>
      <c r="UOC2" s="62"/>
      <c r="UOD2" s="62"/>
      <c r="UOE2" s="62"/>
      <c r="UOF2" s="62"/>
      <c r="UOG2" s="62"/>
      <c r="UOH2" s="62"/>
      <c r="UOI2" s="62"/>
      <c r="UOJ2" s="62"/>
      <c r="UOK2" s="62"/>
      <c r="UOL2" s="62"/>
      <c r="UOM2" s="62"/>
      <c r="UON2" s="62"/>
      <c r="UOO2" s="62"/>
      <c r="UOP2" s="62"/>
      <c r="UOQ2" s="62"/>
      <c r="UOR2" s="62"/>
      <c r="UOS2" s="62"/>
      <c r="UOT2" s="62"/>
      <c r="UOU2" s="62"/>
      <c r="UOV2" s="62"/>
      <c r="UOW2" s="62"/>
      <c r="UOX2" s="62"/>
      <c r="UOY2" s="62"/>
      <c r="UOZ2" s="62"/>
      <c r="UPA2" s="62"/>
      <c r="UPB2" s="62"/>
      <c r="UPC2" s="62"/>
      <c r="UPD2" s="62"/>
      <c r="UPE2" s="62"/>
      <c r="UPF2" s="62"/>
      <c r="UPG2" s="62"/>
      <c r="UPH2" s="62"/>
      <c r="UPI2" s="62"/>
      <c r="UPJ2" s="62"/>
      <c r="UPK2" s="62"/>
      <c r="UPL2" s="62"/>
      <c r="UPM2" s="62"/>
      <c r="UPN2" s="62"/>
      <c r="UPO2" s="62"/>
      <c r="UPP2" s="62"/>
      <c r="UPQ2" s="62"/>
      <c r="UPR2" s="62"/>
      <c r="UPS2" s="62"/>
      <c r="UPT2" s="62"/>
      <c r="UPU2" s="62"/>
      <c r="UPV2" s="62"/>
      <c r="UPW2" s="62"/>
      <c r="UPX2" s="62"/>
      <c r="UPY2" s="62"/>
      <c r="UPZ2" s="62"/>
      <c r="UQA2" s="62"/>
      <c r="UQB2" s="62"/>
      <c r="UQC2" s="62"/>
      <c r="UQD2" s="62"/>
      <c r="UQE2" s="62"/>
      <c r="UQF2" s="62"/>
      <c r="UQG2" s="62"/>
      <c r="UQH2" s="62"/>
      <c r="UQI2" s="62"/>
      <c r="UQJ2" s="62"/>
      <c r="UQK2" s="62"/>
      <c r="UQL2" s="62"/>
      <c r="UQM2" s="62"/>
      <c r="UQN2" s="62"/>
      <c r="UQO2" s="62"/>
      <c r="UQP2" s="62"/>
      <c r="UQQ2" s="62"/>
      <c r="UQR2" s="62"/>
      <c r="UQS2" s="62"/>
      <c r="UQT2" s="62"/>
      <c r="UQU2" s="62"/>
      <c r="UQV2" s="62"/>
      <c r="UQW2" s="62"/>
      <c r="UQX2" s="62"/>
      <c r="UQY2" s="62"/>
      <c r="UQZ2" s="62"/>
      <c r="URA2" s="62"/>
      <c r="URB2" s="62"/>
      <c r="URC2" s="62"/>
      <c r="URD2" s="62"/>
      <c r="URE2" s="62"/>
      <c r="URF2" s="62"/>
      <c r="URG2" s="62"/>
      <c r="URH2" s="62"/>
      <c r="URI2" s="62"/>
      <c r="URJ2" s="62"/>
      <c r="URK2" s="62"/>
      <c r="URL2" s="62"/>
      <c r="URM2" s="62"/>
      <c r="URN2" s="62"/>
      <c r="URO2" s="62"/>
      <c r="URP2" s="62"/>
      <c r="URQ2" s="62"/>
      <c r="URR2" s="62"/>
      <c r="URS2" s="62"/>
      <c r="URT2" s="62"/>
      <c r="URU2" s="62"/>
      <c r="URV2" s="62"/>
      <c r="URW2" s="62"/>
      <c r="URX2" s="62"/>
      <c r="URY2" s="62"/>
      <c r="URZ2" s="62"/>
      <c r="USA2" s="62"/>
      <c r="USB2" s="62"/>
      <c r="USC2" s="62"/>
      <c r="USD2" s="62"/>
      <c r="USE2" s="62"/>
      <c r="USF2" s="62"/>
      <c r="USG2" s="62"/>
      <c r="USH2" s="62"/>
      <c r="USI2" s="62"/>
      <c r="USJ2" s="62"/>
      <c r="USK2" s="62"/>
      <c r="USL2" s="62"/>
      <c r="USM2" s="62"/>
      <c r="USN2" s="62"/>
      <c r="USO2" s="62"/>
      <c r="USP2" s="62"/>
      <c r="USQ2" s="62"/>
      <c r="USR2" s="62"/>
      <c r="USS2" s="62"/>
      <c r="UST2" s="62"/>
      <c r="USU2" s="62"/>
      <c r="USV2" s="62"/>
      <c r="USW2" s="62"/>
      <c r="USX2" s="62"/>
      <c r="USY2" s="62"/>
      <c r="USZ2" s="62"/>
      <c r="UTA2" s="62"/>
      <c r="UTB2" s="62"/>
      <c r="UTC2" s="62"/>
      <c r="UTD2" s="62"/>
      <c r="UTE2" s="62"/>
      <c r="UTF2" s="62"/>
      <c r="UTG2" s="62"/>
      <c r="UTH2" s="62"/>
      <c r="UTI2" s="62"/>
      <c r="UTJ2" s="62"/>
      <c r="UTK2" s="62"/>
      <c r="UTL2" s="62"/>
      <c r="UTM2" s="62"/>
      <c r="UTN2" s="62"/>
      <c r="UTO2" s="62"/>
      <c r="UTP2" s="62"/>
      <c r="UTQ2" s="62"/>
      <c r="UTR2" s="62"/>
      <c r="UTS2" s="62"/>
      <c r="UTT2" s="62"/>
      <c r="UTU2" s="62"/>
      <c r="UTV2" s="62"/>
      <c r="UTW2" s="62"/>
      <c r="UTX2" s="62"/>
      <c r="UTY2" s="62"/>
      <c r="UTZ2" s="62"/>
      <c r="UUA2" s="62"/>
      <c r="UUB2" s="62"/>
      <c r="UUC2" s="62"/>
      <c r="UUD2" s="62"/>
      <c r="UUE2" s="62"/>
      <c r="UUF2" s="62"/>
      <c r="UUG2" s="62"/>
      <c r="UUH2" s="62"/>
      <c r="UUI2" s="62"/>
      <c r="UUJ2" s="62"/>
      <c r="UUK2" s="62"/>
      <c r="UUL2" s="62"/>
      <c r="UUM2" s="62"/>
      <c r="UUN2" s="62"/>
      <c r="UUO2" s="62"/>
      <c r="UUP2" s="62"/>
      <c r="UUQ2" s="62"/>
      <c r="UUR2" s="62"/>
      <c r="UUS2" s="62"/>
      <c r="UUT2" s="62"/>
      <c r="UUU2" s="62"/>
      <c r="UUV2" s="62"/>
      <c r="UUW2" s="62"/>
      <c r="UUX2" s="62"/>
      <c r="UUY2" s="62"/>
      <c r="UUZ2" s="62"/>
      <c r="UVA2" s="62"/>
      <c r="UVB2" s="62"/>
      <c r="UVC2" s="62"/>
      <c r="UVD2" s="62"/>
      <c r="UVE2" s="62"/>
      <c r="UVF2" s="62"/>
      <c r="UVG2" s="62"/>
      <c r="UVH2" s="62"/>
      <c r="UVI2" s="62"/>
      <c r="UVJ2" s="62"/>
      <c r="UVK2" s="62"/>
      <c r="UVL2" s="62"/>
      <c r="UVM2" s="62"/>
      <c r="UVN2" s="62"/>
      <c r="UVO2" s="62"/>
      <c r="UVP2" s="62"/>
      <c r="UVQ2" s="62"/>
      <c r="UVR2" s="62"/>
      <c r="UVS2" s="62"/>
      <c r="UVT2" s="62"/>
      <c r="UVU2" s="62"/>
      <c r="UVV2" s="62"/>
      <c r="UVW2" s="62"/>
      <c r="UVX2" s="62"/>
      <c r="UVY2" s="62"/>
      <c r="UVZ2" s="62"/>
      <c r="UWA2" s="62"/>
      <c r="UWB2" s="62"/>
      <c r="UWC2" s="62"/>
      <c r="UWD2" s="62"/>
      <c r="UWE2" s="62"/>
      <c r="UWF2" s="62"/>
      <c r="UWG2" s="62"/>
      <c r="UWH2" s="62"/>
      <c r="UWI2" s="62"/>
      <c r="UWJ2" s="62"/>
      <c r="UWK2" s="62"/>
      <c r="UWL2" s="62"/>
      <c r="UWM2" s="62"/>
      <c r="UWN2" s="62"/>
      <c r="UWO2" s="62"/>
      <c r="UWP2" s="62"/>
      <c r="UWQ2" s="62"/>
      <c r="UWR2" s="62"/>
      <c r="UWS2" s="62"/>
      <c r="UWT2" s="62"/>
      <c r="UWU2" s="62"/>
      <c r="UWV2" s="62"/>
      <c r="UWW2" s="62"/>
      <c r="UWX2" s="62"/>
      <c r="UWY2" s="62"/>
      <c r="UWZ2" s="62"/>
      <c r="UXA2" s="62"/>
      <c r="UXB2" s="62"/>
      <c r="UXC2" s="62"/>
      <c r="UXD2" s="62"/>
      <c r="UXE2" s="62"/>
      <c r="UXF2" s="62"/>
      <c r="UXG2" s="62"/>
      <c r="UXH2" s="62"/>
      <c r="UXI2" s="62"/>
      <c r="UXJ2" s="62"/>
      <c r="UXK2" s="62"/>
      <c r="UXL2" s="62"/>
      <c r="UXM2" s="62"/>
      <c r="UXN2" s="62"/>
      <c r="UXO2" s="62"/>
      <c r="UXP2" s="62"/>
      <c r="UXQ2" s="62"/>
      <c r="UXR2" s="62"/>
      <c r="UXS2" s="62"/>
      <c r="UXT2" s="62"/>
      <c r="UXU2" s="62"/>
      <c r="UXV2" s="62"/>
      <c r="UXW2" s="62"/>
      <c r="UXX2" s="62"/>
      <c r="UXY2" s="62"/>
      <c r="UXZ2" s="62"/>
      <c r="UYA2" s="62"/>
      <c r="UYB2" s="62"/>
      <c r="UYC2" s="62"/>
      <c r="UYD2" s="62"/>
      <c r="UYE2" s="62"/>
      <c r="UYF2" s="62"/>
      <c r="UYG2" s="62"/>
      <c r="UYH2" s="62"/>
      <c r="UYI2" s="62"/>
      <c r="UYJ2" s="62"/>
      <c r="UYK2" s="62"/>
      <c r="UYL2" s="62"/>
      <c r="UYM2" s="62"/>
      <c r="UYN2" s="62"/>
      <c r="UYO2" s="62"/>
      <c r="UYP2" s="62"/>
      <c r="UYQ2" s="62"/>
      <c r="UYR2" s="62"/>
      <c r="UYS2" s="62"/>
      <c r="UYT2" s="62"/>
      <c r="UYU2" s="62"/>
      <c r="UYV2" s="62"/>
      <c r="UYW2" s="62"/>
      <c r="UYX2" s="62"/>
      <c r="UYY2" s="62"/>
      <c r="UYZ2" s="62"/>
      <c r="UZA2" s="62"/>
      <c r="UZB2" s="62"/>
      <c r="UZC2" s="62"/>
      <c r="UZD2" s="62"/>
      <c r="UZE2" s="62"/>
      <c r="UZF2" s="62"/>
      <c r="UZG2" s="62"/>
      <c r="UZH2" s="62"/>
      <c r="UZI2" s="62"/>
      <c r="UZJ2" s="62"/>
      <c r="UZK2" s="62"/>
      <c r="UZL2" s="62"/>
      <c r="UZM2" s="62"/>
      <c r="UZN2" s="62"/>
      <c r="UZO2" s="62"/>
      <c r="UZP2" s="62"/>
      <c r="UZQ2" s="62"/>
      <c r="UZR2" s="62"/>
      <c r="UZS2" s="62"/>
      <c r="UZT2" s="62"/>
      <c r="UZU2" s="62"/>
      <c r="UZV2" s="62"/>
      <c r="UZW2" s="62"/>
      <c r="UZX2" s="62"/>
      <c r="UZY2" s="62"/>
      <c r="UZZ2" s="62"/>
      <c r="VAA2" s="62"/>
      <c r="VAB2" s="62"/>
      <c r="VAC2" s="62"/>
      <c r="VAD2" s="62"/>
      <c r="VAE2" s="62"/>
      <c r="VAF2" s="62"/>
      <c r="VAG2" s="62"/>
      <c r="VAH2" s="62"/>
      <c r="VAI2" s="62"/>
      <c r="VAJ2" s="62"/>
      <c r="VAK2" s="62"/>
      <c r="VAL2" s="62"/>
      <c r="VAM2" s="62"/>
      <c r="VAN2" s="62"/>
      <c r="VAO2" s="62"/>
      <c r="VAP2" s="62"/>
      <c r="VAQ2" s="62"/>
      <c r="VAR2" s="62"/>
      <c r="VAS2" s="62"/>
      <c r="VAT2" s="62"/>
      <c r="VAU2" s="62"/>
      <c r="VAV2" s="62"/>
      <c r="VAW2" s="62"/>
      <c r="VAX2" s="62"/>
      <c r="VAY2" s="62"/>
      <c r="VAZ2" s="62"/>
      <c r="VBA2" s="62"/>
      <c r="VBB2" s="62"/>
      <c r="VBC2" s="62"/>
      <c r="VBD2" s="62"/>
      <c r="VBE2" s="62"/>
      <c r="VBF2" s="62"/>
      <c r="VBG2" s="62"/>
      <c r="VBH2" s="62"/>
      <c r="VBI2" s="62"/>
      <c r="VBJ2" s="62"/>
      <c r="VBK2" s="62"/>
      <c r="VBL2" s="62"/>
      <c r="VBM2" s="62"/>
      <c r="VBN2" s="62"/>
      <c r="VBO2" s="62"/>
      <c r="VBP2" s="62"/>
      <c r="VBQ2" s="62"/>
      <c r="VBR2" s="62"/>
      <c r="VBS2" s="62"/>
      <c r="VBT2" s="62"/>
      <c r="VBU2" s="62"/>
      <c r="VBV2" s="62"/>
      <c r="VBW2" s="62"/>
      <c r="VBX2" s="62"/>
      <c r="VBY2" s="62"/>
      <c r="VBZ2" s="62"/>
      <c r="VCA2" s="62"/>
      <c r="VCB2" s="62"/>
      <c r="VCC2" s="62"/>
      <c r="VCD2" s="62"/>
      <c r="VCE2" s="62"/>
      <c r="VCF2" s="62"/>
      <c r="VCG2" s="62"/>
      <c r="VCH2" s="62"/>
      <c r="VCI2" s="62"/>
      <c r="VCJ2" s="62"/>
      <c r="VCK2" s="62"/>
      <c r="VCL2" s="62"/>
      <c r="VCM2" s="62"/>
      <c r="VCN2" s="62"/>
      <c r="VCO2" s="62"/>
      <c r="VCP2" s="62"/>
      <c r="VCQ2" s="62"/>
      <c r="VCR2" s="62"/>
      <c r="VCS2" s="62"/>
      <c r="VCT2" s="62"/>
      <c r="VCU2" s="62"/>
      <c r="VCV2" s="62"/>
      <c r="VCW2" s="62"/>
      <c r="VCX2" s="62"/>
      <c r="VCY2" s="62"/>
      <c r="VCZ2" s="62"/>
      <c r="VDA2" s="62"/>
      <c r="VDB2" s="62"/>
      <c r="VDC2" s="62"/>
      <c r="VDD2" s="62"/>
      <c r="VDE2" s="62"/>
      <c r="VDF2" s="62"/>
      <c r="VDG2" s="62"/>
      <c r="VDH2" s="62"/>
      <c r="VDI2" s="62"/>
      <c r="VDJ2" s="62"/>
      <c r="VDK2" s="62"/>
      <c r="VDL2" s="62"/>
      <c r="VDM2" s="62"/>
      <c r="VDN2" s="62"/>
      <c r="VDO2" s="62"/>
      <c r="VDP2" s="62"/>
      <c r="VDQ2" s="62"/>
      <c r="VDR2" s="62"/>
      <c r="VDS2" s="62"/>
      <c r="VDT2" s="62"/>
      <c r="VDU2" s="62"/>
      <c r="VDV2" s="62"/>
      <c r="VDW2" s="62"/>
      <c r="VDX2" s="62"/>
      <c r="VDY2" s="62"/>
      <c r="VDZ2" s="62"/>
      <c r="VEA2" s="62"/>
      <c r="VEB2" s="62"/>
      <c r="VEC2" s="62"/>
      <c r="VED2" s="62"/>
      <c r="VEE2" s="62"/>
      <c r="VEF2" s="62"/>
      <c r="VEG2" s="62"/>
      <c r="VEH2" s="62"/>
      <c r="VEI2" s="62"/>
      <c r="VEJ2" s="62"/>
      <c r="VEK2" s="62"/>
      <c r="VEL2" s="62"/>
      <c r="VEM2" s="62"/>
      <c r="VEN2" s="62"/>
      <c r="VEO2" s="62"/>
      <c r="VEP2" s="62"/>
      <c r="VEQ2" s="62"/>
      <c r="VER2" s="62"/>
      <c r="VES2" s="62"/>
      <c r="VET2" s="62"/>
      <c r="VEU2" s="62"/>
      <c r="VEV2" s="62"/>
      <c r="VEW2" s="62"/>
      <c r="VEX2" s="62"/>
      <c r="VEY2" s="62"/>
      <c r="VEZ2" s="62"/>
      <c r="VFA2" s="62"/>
      <c r="VFB2" s="62"/>
      <c r="VFC2" s="62"/>
      <c r="VFD2" s="62"/>
      <c r="VFE2" s="62"/>
      <c r="VFF2" s="62"/>
      <c r="VFG2" s="62"/>
      <c r="VFH2" s="62"/>
      <c r="VFI2" s="62"/>
      <c r="VFJ2" s="62"/>
      <c r="VFK2" s="62"/>
      <c r="VFL2" s="62"/>
      <c r="VFM2" s="62"/>
      <c r="VFN2" s="62"/>
      <c r="VFO2" s="62"/>
      <c r="VFP2" s="62"/>
      <c r="VFQ2" s="62"/>
      <c r="VFR2" s="62"/>
      <c r="VFS2" s="62"/>
      <c r="VFT2" s="62"/>
      <c r="VFU2" s="62"/>
      <c r="VFV2" s="62"/>
      <c r="VFW2" s="62"/>
      <c r="VFX2" s="62"/>
      <c r="VFY2" s="62"/>
      <c r="VFZ2" s="62"/>
      <c r="VGA2" s="62"/>
      <c r="VGB2" s="62"/>
      <c r="VGC2" s="62"/>
      <c r="VGD2" s="62"/>
      <c r="VGE2" s="62"/>
      <c r="VGF2" s="62"/>
      <c r="VGG2" s="62"/>
      <c r="VGH2" s="62"/>
      <c r="VGI2" s="62"/>
      <c r="VGJ2" s="62"/>
      <c r="VGK2" s="62"/>
      <c r="VGL2" s="62"/>
      <c r="VGM2" s="62"/>
      <c r="VGN2" s="62"/>
      <c r="VGO2" s="62"/>
      <c r="VGP2" s="62"/>
      <c r="VGQ2" s="62"/>
      <c r="VGR2" s="62"/>
      <c r="VGS2" s="62"/>
      <c r="VGT2" s="62"/>
      <c r="VGU2" s="62"/>
      <c r="VGV2" s="62"/>
      <c r="VGW2" s="62"/>
      <c r="VGX2" s="62"/>
      <c r="VGY2" s="62"/>
      <c r="VGZ2" s="62"/>
      <c r="VHA2" s="62"/>
      <c r="VHB2" s="62"/>
      <c r="VHC2" s="62"/>
      <c r="VHD2" s="62"/>
      <c r="VHE2" s="62"/>
      <c r="VHF2" s="62"/>
      <c r="VHG2" s="62"/>
      <c r="VHH2" s="62"/>
      <c r="VHI2" s="62"/>
      <c r="VHJ2" s="62"/>
      <c r="VHK2" s="62"/>
      <c r="VHL2" s="62"/>
      <c r="VHM2" s="62"/>
      <c r="VHN2" s="62"/>
      <c r="VHO2" s="62"/>
      <c r="VHP2" s="62"/>
      <c r="VHQ2" s="62"/>
      <c r="VHR2" s="62"/>
      <c r="VHS2" s="62"/>
      <c r="VHT2" s="62"/>
      <c r="VHU2" s="62"/>
      <c r="VHV2" s="62"/>
      <c r="VHW2" s="62"/>
      <c r="VHX2" s="62"/>
      <c r="VHY2" s="62"/>
      <c r="VHZ2" s="62"/>
      <c r="VIA2" s="62"/>
      <c r="VIB2" s="62"/>
      <c r="VIC2" s="62"/>
      <c r="VID2" s="62"/>
      <c r="VIE2" s="62"/>
      <c r="VIF2" s="62"/>
      <c r="VIG2" s="62"/>
      <c r="VIH2" s="62"/>
      <c r="VII2" s="62"/>
      <c r="VIJ2" s="62"/>
      <c r="VIK2" s="62"/>
      <c r="VIL2" s="62"/>
      <c r="VIM2" s="62"/>
      <c r="VIN2" s="62"/>
      <c r="VIO2" s="62"/>
      <c r="VIP2" s="62"/>
      <c r="VIQ2" s="62"/>
      <c r="VIR2" s="62"/>
      <c r="VIS2" s="62"/>
      <c r="VIT2" s="62"/>
      <c r="VIU2" s="62"/>
      <c r="VIV2" s="62"/>
      <c r="VIW2" s="62"/>
      <c r="VIX2" s="62"/>
      <c r="VIY2" s="62"/>
      <c r="VIZ2" s="62"/>
      <c r="VJA2" s="62"/>
      <c r="VJB2" s="62"/>
      <c r="VJC2" s="62"/>
      <c r="VJD2" s="62"/>
      <c r="VJE2" s="62"/>
      <c r="VJF2" s="62"/>
      <c r="VJG2" s="62"/>
      <c r="VJH2" s="62"/>
      <c r="VJI2" s="62"/>
      <c r="VJJ2" s="62"/>
      <c r="VJK2" s="62"/>
      <c r="VJL2" s="62"/>
      <c r="VJM2" s="62"/>
      <c r="VJN2" s="62"/>
      <c r="VJO2" s="62"/>
      <c r="VJP2" s="62"/>
      <c r="VJQ2" s="62"/>
      <c r="VJR2" s="62"/>
      <c r="VJS2" s="62"/>
      <c r="VJT2" s="62"/>
      <c r="VJU2" s="62"/>
      <c r="VJV2" s="62"/>
      <c r="VJW2" s="62"/>
      <c r="VJX2" s="62"/>
      <c r="VJY2" s="62"/>
      <c r="VJZ2" s="62"/>
      <c r="VKA2" s="62"/>
      <c r="VKB2" s="62"/>
      <c r="VKC2" s="62"/>
      <c r="VKD2" s="62"/>
      <c r="VKE2" s="62"/>
      <c r="VKF2" s="62"/>
      <c r="VKG2" s="62"/>
      <c r="VKH2" s="62"/>
      <c r="VKI2" s="62"/>
      <c r="VKJ2" s="62"/>
      <c r="VKK2" s="62"/>
      <c r="VKL2" s="62"/>
      <c r="VKM2" s="62"/>
      <c r="VKN2" s="62"/>
      <c r="VKO2" s="62"/>
      <c r="VKP2" s="62"/>
      <c r="VKQ2" s="62"/>
      <c r="VKR2" s="62"/>
      <c r="VKS2" s="62"/>
      <c r="VKT2" s="62"/>
      <c r="VKU2" s="62"/>
      <c r="VKV2" s="62"/>
      <c r="VKW2" s="62"/>
      <c r="VKX2" s="62"/>
      <c r="VKY2" s="62"/>
      <c r="VKZ2" s="62"/>
      <c r="VLA2" s="62"/>
      <c r="VLB2" s="62"/>
      <c r="VLC2" s="62"/>
      <c r="VLD2" s="62"/>
      <c r="VLE2" s="62"/>
      <c r="VLF2" s="62"/>
      <c r="VLG2" s="62"/>
      <c r="VLH2" s="62"/>
      <c r="VLI2" s="62"/>
      <c r="VLJ2" s="62"/>
      <c r="VLK2" s="62"/>
      <c r="VLL2" s="62"/>
      <c r="VLM2" s="62"/>
      <c r="VLN2" s="62"/>
      <c r="VLO2" s="62"/>
      <c r="VLP2" s="62"/>
      <c r="VLQ2" s="62"/>
      <c r="VLR2" s="62"/>
      <c r="VLS2" s="62"/>
      <c r="VLT2" s="62"/>
      <c r="VLU2" s="62"/>
      <c r="VLV2" s="62"/>
      <c r="VLW2" s="62"/>
      <c r="VLX2" s="62"/>
      <c r="VLY2" s="62"/>
      <c r="VLZ2" s="62"/>
      <c r="VMA2" s="62"/>
      <c r="VMB2" s="62"/>
      <c r="VMC2" s="62"/>
      <c r="VMD2" s="62"/>
      <c r="VME2" s="62"/>
      <c r="VMF2" s="62"/>
      <c r="VMG2" s="62"/>
      <c r="VMH2" s="62"/>
      <c r="VMI2" s="62"/>
      <c r="VMJ2" s="62"/>
      <c r="VMK2" s="62"/>
      <c r="VML2" s="62"/>
      <c r="VMM2" s="62"/>
      <c r="VMN2" s="62"/>
      <c r="VMO2" s="62"/>
      <c r="VMP2" s="62"/>
      <c r="VMQ2" s="62"/>
      <c r="VMR2" s="62"/>
      <c r="VMS2" s="62"/>
      <c r="VMT2" s="62"/>
      <c r="VMU2" s="62"/>
      <c r="VMV2" s="62"/>
      <c r="VMW2" s="62"/>
      <c r="VMX2" s="62"/>
      <c r="VMY2" s="62"/>
      <c r="VMZ2" s="62"/>
      <c r="VNA2" s="62"/>
      <c r="VNB2" s="62"/>
      <c r="VNC2" s="62"/>
      <c r="VND2" s="62"/>
      <c r="VNE2" s="62"/>
      <c r="VNF2" s="62"/>
      <c r="VNG2" s="62"/>
      <c r="VNH2" s="62"/>
      <c r="VNI2" s="62"/>
      <c r="VNJ2" s="62"/>
      <c r="VNK2" s="62"/>
      <c r="VNL2" s="62"/>
      <c r="VNM2" s="62"/>
      <c r="VNN2" s="62"/>
      <c r="VNO2" s="62"/>
      <c r="VNP2" s="62"/>
      <c r="VNQ2" s="62"/>
      <c r="VNR2" s="62"/>
      <c r="VNS2" s="62"/>
      <c r="VNT2" s="62"/>
      <c r="VNU2" s="62"/>
      <c r="VNV2" s="62"/>
      <c r="VNW2" s="62"/>
      <c r="VNX2" s="62"/>
      <c r="VNY2" s="62"/>
      <c r="VNZ2" s="62"/>
      <c r="VOA2" s="62"/>
      <c r="VOB2" s="62"/>
      <c r="VOC2" s="62"/>
      <c r="VOD2" s="62"/>
      <c r="VOE2" s="62"/>
      <c r="VOF2" s="62"/>
      <c r="VOG2" s="62"/>
      <c r="VOH2" s="62"/>
      <c r="VOI2" s="62"/>
      <c r="VOJ2" s="62"/>
      <c r="VOK2" s="62"/>
      <c r="VOL2" s="62"/>
      <c r="VOM2" s="62"/>
      <c r="VON2" s="62"/>
      <c r="VOO2" s="62"/>
      <c r="VOP2" s="62"/>
      <c r="VOQ2" s="62"/>
      <c r="VOR2" s="62"/>
      <c r="VOS2" s="62"/>
      <c r="VOT2" s="62"/>
      <c r="VOU2" s="62"/>
      <c r="VOV2" s="62"/>
      <c r="VOW2" s="62"/>
      <c r="VOX2" s="62"/>
      <c r="VOY2" s="62"/>
      <c r="VOZ2" s="62"/>
      <c r="VPA2" s="62"/>
      <c r="VPB2" s="62"/>
      <c r="VPC2" s="62"/>
      <c r="VPD2" s="62"/>
      <c r="VPE2" s="62"/>
      <c r="VPF2" s="62"/>
      <c r="VPG2" s="62"/>
      <c r="VPH2" s="62"/>
      <c r="VPI2" s="62"/>
      <c r="VPJ2" s="62"/>
      <c r="VPK2" s="62"/>
      <c r="VPL2" s="62"/>
      <c r="VPM2" s="62"/>
      <c r="VPN2" s="62"/>
      <c r="VPO2" s="62"/>
      <c r="VPP2" s="62"/>
      <c r="VPQ2" s="62"/>
      <c r="VPR2" s="62"/>
      <c r="VPS2" s="62"/>
      <c r="VPT2" s="62"/>
      <c r="VPU2" s="62"/>
      <c r="VPV2" s="62"/>
      <c r="VPW2" s="62"/>
      <c r="VPX2" s="62"/>
      <c r="VPY2" s="62"/>
      <c r="VPZ2" s="62"/>
      <c r="VQA2" s="62"/>
      <c r="VQB2" s="62"/>
      <c r="VQC2" s="62"/>
      <c r="VQD2" s="62"/>
      <c r="VQE2" s="62"/>
      <c r="VQF2" s="62"/>
      <c r="VQG2" s="62"/>
      <c r="VQH2" s="62"/>
      <c r="VQI2" s="62"/>
      <c r="VQJ2" s="62"/>
      <c r="VQK2" s="62"/>
      <c r="VQL2" s="62"/>
      <c r="VQM2" s="62"/>
      <c r="VQN2" s="62"/>
      <c r="VQO2" s="62"/>
      <c r="VQP2" s="62"/>
      <c r="VQQ2" s="62"/>
      <c r="VQR2" s="62"/>
      <c r="VQS2" s="62"/>
      <c r="VQT2" s="62"/>
      <c r="VQU2" s="62"/>
      <c r="VQV2" s="62"/>
      <c r="VQW2" s="62"/>
      <c r="VQX2" s="62"/>
      <c r="VQY2" s="62"/>
      <c r="VQZ2" s="62"/>
      <c r="VRA2" s="62"/>
      <c r="VRB2" s="62"/>
      <c r="VRC2" s="62"/>
      <c r="VRD2" s="62"/>
      <c r="VRE2" s="62"/>
      <c r="VRF2" s="62"/>
      <c r="VRG2" s="62"/>
      <c r="VRH2" s="62"/>
      <c r="VRI2" s="62"/>
      <c r="VRJ2" s="62"/>
      <c r="VRK2" s="62"/>
      <c r="VRL2" s="62"/>
      <c r="VRM2" s="62"/>
      <c r="VRN2" s="62"/>
      <c r="VRO2" s="62"/>
      <c r="VRP2" s="62"/>
      <c r="VRQ2" s="62"/>
      <c r="VRR2" s="62"/>
      <c r="VRS2" s="62"/>
      <c r="VRT2" s="62"/>
      <c r="VRU2" s="62"/>
      <c r="VRV2" s="62"/>
      <c r="VRW2" s="62"/>
      <c r="VRX2" s="62"/>
      <c r="VRY2" s="62"/>
      <c r="VRZ2" s="62"/>
      <c r="VSA2" s="62"/>
      <c r="VSB2" s="62"/>
      <c r="VSC2" s="62"/>
      <c r="VSD2" s="62"/>
      <c r="VSE2" s="62"/>
      <c r="VSF2" s="62"/>
      <c r="VSG2" s="62"/>
      <c r="VSH2" s="62"/>
      <c r="VSI2" s="62"/>
      <c r="VSJ2" s="62"/>
      <c r="VSK2" s="62"/>
      <c r="VSL2" s="62"/>
      <c r="VSM2" s="62"/>
      <c r="VSN2" s="62"/>
      <c r="VSO2" s="62"/>
      <c r="VSP2" s="62"/>
      <c r="VSQ2" s="62"/>
      <c r="VSR2" s="62"/>
      <c r="VSS2" s="62"/>
      <c r="VST2" s="62"/>
      <c r="VSU2" s="62"/>
      <c r="VSV2" s="62"/>
      <c r="VSW2" s="62"/>
      <c r="VSX2" s="62"/>
      <c r="VSY2" s="62"/>
      <c r="VSZ2" s="62"/>
      <c r="VTA2" s="62"/>
      <c r="VTB2" s="62"/>
      <c r="VTC2" s="62"/>
      <c r="VTD2" s="62"/>
      <c r="VTE2" s="62"/>
      <c r="VTF2" s="62"/>
      <c r="VTG2" s="62"/>
      <c r="VTH2" s="62"/>
      <c r="VTI2" s="62"/>
      <c r="VTJ2" s="62"/>
      <c r="VTK2" s="62"/>
      <c r="VTL2" s="62"/>
      <c r="VTM2" s="62"/>
      <c r="VTN2" s="62"/>
      <c r="VTO2" s="62"/>
      <c r="VTP2" s="62"/>
      <c r="VTQ2" s="62"/>
      <c r="VTR2" s="62"/>
      <c r="VTS2" s="62"/>
      <c r="VTT2" s="62"/>
      <c r="VTU2" s="62"/>
      <c r="VTV2" s="62"/>
      <c r="VTW2" s="62"/>
      <c r="VTX2" s="62"/>
      <c r="VTY2" s="62"/>
      <c r="VTZ2" s="62"/>
      <c r="VUA2" s="62"/>
      <c r="VUB2" s="62"/>
      <c r="VUC2" s="62"/>
      <c r="VUD2" s="62"/>
      <c r="VUE2" s="62"/>
      <c r="VUF2" s="62"/>
      <c r="VUG2" s="62"/>
      <c r="VUH2" s="62"/>
      <c r="VUI2" s="62"/>
      <c r="VUJ2" s="62"/>
      <c r="VUK2" s="62"/>
      <c r="VUL2" s="62"/>
      <c r="VUM2" s="62"/>
      <c r="VUN2" s="62"/>
      <c r="VUO2" s="62"/>
      <c r="VUP2" s="62"/>
      <c r="VUQ2" s="62"/>
      <c r="VUR2" s="62"/>
      <c r="VUS2" s="62"/>
      <c r="VUT2" s="62"/>
      <c r="VUU2" s="62"/>
      <c r="VUV2" s="62"/>
      <c r="VUW2" s="62"/>
      <c r="VUX2" s="62"/>
      <c r="VUY2" s="62"/>
      <c r="VUZ2" s="62"/>
      <c r="VVA2" s="62"/>
      <c r="VVB2" s="62"/>
      <c r="VVC2" s="62"/>
      <c r="VVD2" s="62"/>
      <c r="VVE2" s="62"/>
      <c r="VVF2" s="62"/>
      <c r="VVG2" s="62"/>
      <c r="VVH2" s="62"/>
      <c r="VVI2" s="62"/>
      <c r="VVJ2" s="62"/>
      <c r="VVK2" s="62"/>
      <c r="VVL2" s="62"/>
      <c r="VVM2" s="62"/>
      <c r="VVN2" s="62"/>
      <c r="VVO2" s="62"/>
      <c r="VVP2" s="62"/>
      <c r="VVQ2" s="62"/>
      <c r="VVR2" s="62"/>
      <c r="VVS2" s="62"/>
      <c r="VVT2" s="62"/>
      <c r="VVU2" s="62"/>
      <c r="VVV2" s="62"/>
      <c r="VVW2" s="62"/>
      <c r="VVX2" s="62"/>
      <c r="VVY2" s="62"/>
      <c r="VVZ2" s="62"/>
      <c r="VWA2" s="62"/>
      <c r="VWB2" s="62"/>
      <c r="VWC2" s="62"/>
      <c r="VWD2" s="62"/>
      <c r="VWE2" s="62"/>
      <c r="VWF2" s="62"/>
      <c r="VWG2" s="62"/>
      <c r="VWH2" s="62"/>
      <c r="VWI2" s="62"/>
      <c r="VWJ2" s="62"/>
      <c r="VWK2" s="62"/>
      <c r="VWL2" s="62"/>
      <c r="VWM2" s="62"/>
      <c r="VWN2" s="62"/>
      <c r="VWO2" s="62"/>
      <c r="VWP2" s="62"/>
      <c r="VWQ2" s="62"/>
      <c r="VWR2" s="62"/>
      <c r="VWS2" s="62"/>
      <c r="VWT2" s="62"/>
      <c r="VWU2" s="62"/>
      <c r="VWV2" s="62"/>
      <c r="VWW2" s="62"/>
      <c r="VWX2" s="62"/>
      <c r="VWY2" s="62"/>
      <c r="VWZ2" s="62"/>
      <c r="VXA2" s="62"/>
      <c r="VXB2" s="62"/>
      <c r="VXC2" s="62"/>
      <c r="VXD2" s="62"/>
      <c r="VXE2" s="62"/>
      <c r="VXF2" s="62"/>
      <c r="VXG2" s="62"/>
      <c r="VXH2" s="62"/>
      <c r="VXI2" s="62"/>
      <c r="VXJ2" s="62"/>
      <c r="VXK2" s="62"/>
      <c r="VXL2" s="62"/>
      <c r="VXM2" s="62"/>
      <c r="VXN2" s="62"/>
      <c r="VXO2" s="62"/>
      <c r="VXP2" s="62"/>
      <c r="VXQ2" s="62"/>
      <c r="VXR2" s="62"/>
      <c r="VXS2" s="62"/>
      <c r="VXT2" s="62"/>
      <c r="VXU2" s="62"/>
      <c r="VXV2" s="62"/>
      <c r="VXW2" s="62"/>
      <c r="VXX2" s="62"/>
      <c r="VXY2" s="62"/>
      <c r="VXZ2" s="62"/>
      <c r="VYA2" s="62"/>
      <c r="VYB2" s="62"/>
      <c r="VYC2" s="62"/>
      <c r="VYD2" s="62"/>
      <c r="VYE2" s="62"/>
      <c r="VYF2" s="62"/>
      <c r="VYG2" s="62"/>
      <c r="VYH2" s="62"/>
      <c r="VYI2" s="62"/>
      <c r="VYJ2" s="62"/>
      <c r="VYK2" s="62"/>
      <c r="VYL2" s="62"/>
      <c r="VYM2" s="62"/>
      <c r="VYN2" s="62"/>
      <c r="VYO2" s="62"/>
      <c r="VYP2" s="62"/>
      <c r="VYQ2" s="62"/>
      <c r="VYR2" s="62"/>
      <c r="VYS2" s="62"/>
      <c r="VYT2" s="62"/>
      <c r="VYU2" s="62"/>
      <c r="VYV2" s="62"/>
      <c r="VYW2" s="62"/>
      <c r="VYX2" s="62"/>
      <c r="VYY2" s="62"/>
      <c r="VYZ2" s="62"/>
      <c r="VZA2" s="62"/>
      <c r="VZB2" s="62"/>
      <c r="VZC2" s="62"/>
      <c r="VZD2" s="62"/>
      <c r="VZE2" s="62"/>
      <c r="VZF2" s="62"/>
      <c r="VZG2" s="62"/>
      <c r="VZH2" s="62"/>
      <c r="VZI2" s="62"/>
      <c r="VZJ2" s="62"/>
      <c r="VZK2" s="62"/>
      <c r="VZL2" s="62"/>
      <c r="VZM2" s="62"/>
      <c r="VZN2" s="62"/>
      <c r="VZO2" s="62"/>
      <c r="VZP2" s="62"/>
      <c r="VZQ2" s="62"/>
      <c r="VZR2" s="62"/>
      <c r="VZS2" s="62"/>
      <c r="VZT2" s="62"/>
      <c r="VZU2" s="62"/>
      <c r="VZV2" s="62"/>
      <c r="VZW2" s="62"/>
      <c r="VZX2" s="62"/>
      <c r="VZY2" s="62"/>
      <c r="VZZ2" s="62"/>
      <c r="WAA2" s="62"/>
      <c r="WAB2" s="62"/>
      <c r="WAC2" s="62"/>
      <c r="WAD2" s="62"/>
      <c r="WAE2" s="62"/>
      <c r="WAF2" s="62"/>
      <c r="WAG2" s="62"/>
      <c r="WAH2" s="62"/>
      <c r="WAI2" s="62"/>
      <c r="WAJ2" s="62"/>
      <c r="WAK2" s="62"/>
      <c r="WAL2" s="62"/>
      <c r="WAM2" s="62"/>
      <c r="WAN2" s="62"/>
      <c r="WAO2" s="62"/>
      <c r="WAP2" s="62"/>
      <c r="WAQ2" s="62"/>
      <c r="WAR2" s="62"/>
      <c r="WAS2" s="62"/>
      <c r="WAT2" s="62"/>
      <c r="WAU2" s="62"/>
      <c r="WAV2" s="62"/>
      <c r="WAW2" s="62"/>
      <c r="WAX2" s="62"/>
      <c r="WAY2" s="62"/>
      <c r="WAZ2" s="62"/>
      <c r="WBA2" s="62"/>
      <c r="WBB2" s="62"/>
      <c r="WBC2" s="62"/>
      <c r="WBD2" s="62"/>
      <c r="WBE2" s="62"/>
      <c r="WBF2" s="62"/>
      <c r="WBG2" s="62"/>
      <c r="WBH2" s="62"/>
      <c r="WBI2" s="62"/>
      <c r="WBJ2" s="62"/>
      <c r="WBK2" s="62"/>
      <c r="WBL2" s="62"/>
      <c r="WBM2" s="62"/>
      <c r="WBN2" s="62"/>
      <c r="WBO2" s="62"/>
      <c r="WBP2" s="62"/>
      <c r="WBQ2" s="62"/>
      <c r="WBR2" s="62"/>
      <c r="WBS2" s="62"/>
      <c r="WBT2" s="62"/>
      <c r="WBU2" s="62"/>
      <c r="WBV2" s="62"/>
      <c r="WBW2" s="62"/>
      <c r="WBX2" s="62"/>
      <c r="WBY2" s="62"/>
      <c r="WBZ2" s="62"/>
      <c r="WCA2" s="62"/>
      <c r="WCB2" s="62"/>
      <c r="WCC2" s="62"/>
      <c r="WCD2" s="62"/>
      <c r="WCE2" s="62"/>
      <c r="WCF2" s="62"/>
      <c r="WCG2" s="62"/>
      <c r="WCH2" s="62"/>
      <c r="WCI2" s="62"/>
      <c r="WCJ2" s="62"/>
      <c r="WCK2" s="62"/>
      <c r="WCL2" s="62"/>
      <c r="WCM2" s="62"/>
      <c r="WCN2" s="62"/>
      <c r="WCO2" s="62"/>
      <c r="WCP2" s="62"/>
      <c r="WCQ2" s="62"/>
      <c r="WCR2" s="62"/>
      <c r="WCS2" s="62"/>
      <c r="WCT2" s="62"/>
      <c r="WCU2" s="62"/>
      <c r="WCV2" s="62"/>
      <c r="WCW2" s="62"/>
      <c r="WCX2" s="62"/>
      <c r="WCY2" s="62"/>
      <c r="WCZ2" s="62"/>
      <c r="WDA2" s="62"/>
      <c r="WDB2" s="62"/>
      <c r="WDC2" s="62"/>
      <c r="WDD2" s="62"/>
      <c r="WDE2" s="62"/>
      <c r="WDF2" s="62"/>
      <c r="WDG2" s="62"/>
      <c r="WDH2" s="62"/>
      <c r="WDI2" s="62"/>
      <c r="WDJ2" s="62"/>
      <c r="WDK2" s="62"/>
      <c r="WDL2" s="62"/>
      <c r="WDM2" s="62"/>
      <c r="WDN2" s="62"/>
      <c r="WDO2" s="62"/>
      <c r="WDP2" s="62"/>
      <c r="WDQ2" s="62"/>
      <c r="WDR2" s="62"/>
      <c r="WDS2" s="62"/>
      <c r="WDT2" s="62"/>
      <c r="WDU2" s="62"/>
      <c r="WDV2" s="62"/>
      <c r="WDW2" s="62"/>
      <c r="WDX2" s="62"/>
      <c r="WDY2" s="62"/>
      <c r="WDZ2" s="62"/>
      <c r="WEA2" s="62"/>
      <c r="WEB2" s="62"/>
      <c r="WEC2" s="62"/>
      <c r="WED2" s="62"/>
      <c r="WEE2" s="62"/>
      <c r="WEF2" s="62"/>
      <c r="WEG2" s="62"/>
      <c r="WEH2" s="62"/>
      <c r="WEI2" s="62"/>
      <c r="WEJ2" s="62"/>
      <c r="WEK2" s="62"/>
      <c r="WEL2" s="62"/>
      <c r="WEM2" s="62"/>
      <c r="WEN2" s="62"/>
      <c r="WEO2" s="62"/>
      <c r="WEP2" s="62"/>
      <c r="WEQ2" s="62"/>
      <c r="WER2" s="62"/>
      <c r="WES2" s="62"/>
      <c r="WET2" s="62"/>
      <c r="WEU2" s="62"/>
      <c r="WEV2" s="62"/>
      <c r="WEW2" s="62"/>
      <c r="WEX2" s="62"/>
      <c r="WEY2" s="62"/>
      <c r="WEZ2" s="62"/>
      <c r="WFA2" s="62"/>
      <c r="WFB2" s="62"/>
      <c r="WFC2" s="62"/>
      <c r="WFD2" s="62"/>
      <c r="WFE2" s="62"/>
      <c r="WFF2" s="62"/>
      <c r="WFG2" s="62"/>
      <c r="WFH2" s="62"/>
      <c r="WFI2" s="62"/>
      <c r="WFJ2" s="62"/>
      <c r="WFK2" s="62"/>
      <c r="WFL2" s="62"/>
      <c r="WFM2" s="62"/>
      <c r="WFN2" s="62"/>
      <c r="WFO2" s="62"/>
      <c r="WFP2" s="62"/>
      <c r="WFQ2" s="62"/>
      <c r="WFR2" s="62"/>
      <c r="WFS2" s="62"/>
      <c r="WFT2" s="62"/>
      <c r="WFU2" s="62"/>
      <c r="WFV2" s="62"/>
      <c r="WFW2" s="62"/>
      <c r="WFX2" s="62"/>
      <c r="WFY2" s="62"/>
      <c r="WFZ2" s="62"/>
      <c r="WGA2" s="62"/>
      <c r="WGB2" s="62"/>
      <c r="WGC2" s="62"/>
      <c r="WGD2" s="62"/>
      <c r="WGE2" s="62"/>
      <c r="WGF2" s="62"/>
      <c r="WGG2" s="62"/>
      <c r="WGH2" s="62"/>
      <c r="WGI2" s="62"/>
      <c r="WGJ2" s="62"/>
      <c r="WGK2" s="62"/>
      <c r="WGL2" s="62"/>
      <c r="WGM2" s="62"/>
      <c r="WGN2" s="62"/>
      <c r="WGO2" s="62"/>
      <c r="WGP2" s="62"/>
      <c r="WGQ2" s="62"/>
      <c r="WGR2" s="62"/>
      <c r="WGS2" s="62"/>
      <c r="WGT2" s="62"/>
      <c r="WGU2" s="62"/>
      <c r="WGV2" s="62"/>
      <c r="WGW2" s="62"/>
      <c r="WGX2" s="62"/>
      <c r="WGY2" s="62"/>
      <c r="WGZ2" s="62"/>
      <c r="WHA2" s="62"/>
      <c r="WHB2" s="62"/>
      <c r="WHC2" s="62"/>
      <c r="WHD2" s="62"/>
      <c r="WHE2" s="62"/>
      <c r="WHF2" s="62"/>
      <c r="WHG2" s="62"/>
      <c r="WHH2" s="62"/>
      <c r="WHI2" s="62"/>
      <c r="WHJ2" s="62"/>
      <c r="WHK2" s="62"/>
      <c r="WHL2" s="62"/>
      <c r="WHM2" s="62"/>
      <c r="WHN2" s="62"/>
      <c r="WHO2" s="62"/>
      <c r="WHP2" s="62"/>
      <c r="WHQ2" s="62"/>
      <c r="WHR2" s="62"/>
      <c r="WHS2" s="62"/>
      <c r="WHT2" s="62"/>
      <c r="WHU2" s="62"/>
      <c r="WHV2" s="62"/>
      <c r="WHW2" s="62"/>
      <c r="WHX2" s="62"/>
      <c r="WHY2" s="62"/>
      <c r="WHZ2" s="62"/>
      <c r="WIA2" s="62"/>
      <c r="WIB2" s="62"/>
      <c r="WIC2" s="62"/>
      <c r="WID2" s="62"/>
      <c r="WIE2" s="62"/>
      <c r="WIF2" s="62"/>
      <c r="WIG2" s="62"/>
      <c r="WIH2" s="62"/>
      <c r="WII2" s="62"/>
      <c r="WIJ2" s="62"/>
      <c r="WIK2" s="62"/>
      <c r="WIL2" s="62"/>
      <c r="WIM2" s="62"/>
      <c r="WIN2" s="62"/>
      <c r="WIO2" s="62"/>
      <c r="WIP2" s="62"/>
      <c r="WIQ2" s="62"/>
      <c r="WIR2" s="62"/>
      <c r="WIS2" s="62"/>
      <c r="WIT2" s="62"/>
      <c r="WIU2" s="62"/>
      <c r="WIV2" s="62"/>
      <c r="WIW2" s="62"/>
      <c r="WIX2" s="62"/>
      <c r="WIY2" s="62"/>
      <c r="WIZ2" s="62"/>
      <c r="WJA2" s="62"/>
      <c r="WJB2" s="62"/>
      <c r="WJC2" s="62"/>
      <c r="WJD2" s="62"/>
      <c r="WJE2" s="62"/>
      <c r="WJF2" s="62"/>
      <c r="WJG2" s="62"/>
      <c r="WJH2" s="62"/>
      <c r="WJI2" s="62"/>
      <c r="WJJ2" s="62"/>
      <c r="WJK2" s="62"/>
      <c r="WJL2" s="62"/>
      <c r="WJM2" s="62"/>
      <c r="WJN2" s="62"/>
      <c r="WJO2" s="62"/>
      <c r="WJP2" s="62"/>
      <c r="WJQ2" s="62"/>
      <c r="WJR2" s="62"/>
      <c r="WJS2" s="62"/>
      <c r="WJT2" s="62"/>
      <c r="WJU2" s="62"/>
      <c r="WJV2" s="62"/>
      <c r="WJW2" s="62"/>
      <c r="WJX2" s="62"/>
      <c r="WJY2" s="62"/>
      <c r="WJZ2" s="62"/>
      <c r="WKA2" s="62"/>
      <c r="WKB2" s="62"/>
      <c r="WKC2" s="62"/>
      <c r="WKD2" s="62"/>
      <c r="WKE2" s="62"/>
      <c r="WKF2" s="62"/>
      <c r="WKG2" s="62"/>
      <c r="WKH2" s="62"/>
      <c r="WKI2" s="62"/>
      <c r="WKJ2" s="62"/>
      <c r="WKK2" s="62"/>
      <c r="WKL2" s="62"/>
      <c r="WKM2" s="62"/>
      <c r="WKN2" s="62"/>
      <c r="WKO2" s="62"/>
      <c r="WKP2" s="62"/>
      <c r="WKQ2" s="62"/>
      <c r="WKR2" s="62"/>
      <c r="WKS2" s="62"/>
      <c r="WKT2" s="62"/>
      <c r="WKU2" s="62"/>
      <c r="WKV2" s="62"/>
      <c r="WKW2" s="62"/>
      <c r="WKX2" s="62"/>
      <c r="WKY2" s="62"/>
      <c r="WKZ2" s="62"/>
      <c r="WLA2" s="62"/>
      <c r="WLB2" s="62"/>
      <c r="WLC2" s="62"/>
      <c r="WLD2" s="62"/>
      <c r="WLE2" s="62"/>
      <c r="WLF2" s="62"/>
      <c r="WLG2" s="62"/>
      <c r="WLH2" s="62"/>
      <c r="WLI2" s="62"/>
      <c r="WLJ2" s="62"/>
      <c r="WLK2" s="62"/>
      <c r="WLL2" s="62"/>
      <c r="WLM2" s="62"/>
      <c r="WLN2" s="62"/>
      <c r="WLO2" s="62"/>
      <c r="WLP2" s="62"/>
      <c r="WLQ2" s="62"/>
      <c r="WLR2" s="62"/>
      <c r="WLS2" s="62"/>
      <c r="WLT2" s="62"/>
      <c r="WLU2" s="62"/>
      <c r="WLV2" s="62"/>
      <c r="WLW2" s="62"/>
      <c r="WLX2" s="62"/>
      <c r="WLY2" s="62"/>
      <c r="WLZ2" s="62"/>
      <c r="WMA2" s="62"/>
      <c r="WMB2" s="62"/>
      <c r="WMC2" s="62"/>
      <c r="WMD2" s="62"/>
      <c r="WME2" s="62"/>
      <c r="WMF2" s="62"/>
      <c r="WMG2" s="62"/>
      <c r="WMH2" s="62"/>
      <c r="WMI2" s="62"/>
      <c r="WMJ2" s="62"/>
      <c r="WMK2" s="62"/>
      <c r="WML2" s="62"/>
      <c r="WMM2" s="62"/>
      <c r="WMN2" s="62"/>
      <c r="WMO2" s="62"/>
      <c r="WMP2" s="62"/>
      <c r="WMQ2" s="62"/>
      <c r="WMR2" s="62"/>
      <c r="WMS2" s="62"/>
      <c r="WMT2" s="62"/>
      <c r="WMU2" s="62"/>
      <c r="WMV2" s="62"/>
      <c r="WMW2" s="62"/>
      <c r="WMX2" s="62"/>
      <c r="WMY2" s="62"/>
      <c r="WMZ2" s="62"/>
      <c r="WNA2" s="62"/>
      <c r="WNB2" s="62"/>
      <c r="WNC2" s="62"/>
      <c r="WND2" s="62"/>
      <c r="WNE2" s="62"/>
      <c r="WNF2" s="62"/>
      <c r="WNG2" s="62"/>
      <c r="WNH2" s="62"/>
      <c r="WNI2" s="62"/>
      <c r="WNJ2" s="62"/>
      <c r="WNK2" s="62"/>
      <c r="WNL2" s="62"/>
      <c r="WNM2" s="62"/>
      <c r="WNN2" s="62"/>
      <c r="WNO2" s="62"/>
      <c r="WNP2" s="62"/>
      <c r="WNQ2" s="62"/>
      <c r="WNR2" s="62"/>
      <c r="WNS2" s="62"/>
      <c r="WNT2" s="62"/>
      <c r="WNU2" s="62"/>
      <c r="WNV2" s="62"/>
      <c r="WNW2" s="62"/>
      <c r="WNX2" s="62"/>
      <c r="WNY2" s="62"/>
      <c r="WNZ2" s="62"/>
      <c r="WOA2" s="62"/>
      <c r="WOB2" s="62"/>
      <c r="WOC2" s="62"/>
      <c r="WOD2" s="62"/>
      <c r="WOE2" s="62"/>
      <c r="WOF2" s="62"/>
      <c r="WOG2" s="62"/>
      <c r="WOH2" s="62"/>
      <c r="WOI2" s="62"/>
      <c r="WOJ2" s="62"/>
      <c r="WOK2" s="62"/>
      <c r="WOL2" s="62"/>
      <c r="WOM2" s="62"/>
      <c r="WON2" s="62"/>
      <c r="WOO2" s="62"/>
      <c r="WOP2" s="62"/>
      <c r="WOQ2" s="62"/>
      <c r="WOR2" s="62"/>
      <c r="WOS2" s="62"/>
      <c r="WOT2" s="62"/>
      <c r="WOU2" s="62"/>
      <c r="WOV2" s="62"/>
      <c r="WOW2" s="62"/>
      <c r="WOX2" s="62"/>
      <c r="WOY2" s="62"/>
      <c r="WOZ2" s="62"/>
      <c r="WPA2" s="62"/>
      <c r="WPB2" s="62"/>
      <c r="WPC2" s="62"/>
      <c r="WPD2" s="62"/>
      <c r="WPE2" s="62"/>
      <c r="WPF2" s="62"/>
      <c r="WPG2" s="62"/>
      <c r="WPH2" s="62"/>
      <c r="WPI2" s="62"/>
      <c r="WPJ2" s="62"/>
      <c r="WPK2" s="62"/>
      <c r="WPL2" s="62"/>
      <c r="WPM2" s="62"/>
      <c r="WPN2" s="62"/>
      <c r="WPO2" s="62"/>
      <c r="WPP2" s="62"/>
      <c r="WPQ2" s="62"/>
      <c r="WPR2" s="62"/>
      <c r="WPS2" s="62"/>
      <c r="WPT2" s="62"/>
      <c r="WPU2" s="62"/>
      <c r="WPV2" s="62"/>
      <c r="WPW2" s="62"/>
      <c r="WPX2" s="62"/>
      <c r="WPY2" s="62"/>
      <c r="WPZ2" s="62"/>
      <c r="WQA2" s="62"/>
      <c r="WQB2" s="62"/>
      <c r="WQC2" s="62"/>
      <c r="WQD2" s="62"/>
      <c r="WQE2" s="62"/>
      <c r="WQF2" s="62"/>
      <c r="WQG2" s="62"/>
      <c r="WQH2" s="62"/>
      <c r="WQI2" s="62"/>
      <c r="WQJ2" s="62"/>
      <c r="WQK2" s="62"/>
      <c r="WQL2" s="62"/>
      <c r="WQM2" s="62"/>
      <c r="WQN2" s="62"/>
      <c r="WQO2" s="62"/>
      <c r="WQP2" s="62"/>
      <c r="WQQ2" s="62"/>
      <c r="WQR2" s="62"/>
      <c r="WQS2" s="62"/>
      <c r="WQT2" s="62"/>
      <c r="WQU2" s="62"/>
      <c r="WQV2" s="62"/>
      <c r="WQW2" s="62"/>
      <c r="WQX2" s="62"/>
      <c r="WQY2" s="62"/>
      <c r="WQZ2" s="62"/>
      <c r="WRA2" s="62"/>
      <c r="WRB2" s="62"/>
      <c r="WRC2" s="62"/>
      <c r="WRD2" s="62"/>
      <c r="WRE2" s="62"/>
      <c r="WRF2" s="62"/>
      <c r="WRG2" s="62"/>
      <c r="WRH2" s="62"/>
      <c r="WRI2" s="62"/>
      <c r="WRJ2" s="62"/>
      <c r="WRK2" s="62"/>
      <c r="WRL2" s="62"/>
      <c r="WRM2" s="62"/>
      <c r="WRN2" s="62"/>
      <c r="WRO2" s="62"/>
      <c r="WRP2" s="62"/>
      <c r="WRQ2" s="62"/>
      <c r="WRR2" s="62"/>
      <c r="WRS2" s="62"/>
      <c r="WRT2" s="62"/>
      <c r="WRU2" s="62"/>
      <c r="WRV2" s="62"/>
      <c r="WRW2" s="62"/>
      <c r="WRX2" s="62"/>
      <c r="WRY2" s="62"/>
      <c r="WRZ2" s="62"/>
      <c r="WSA2" s="62"/>
      <c r="WSB2" s="62"/>
      <c r="WSC2" s="62"/>
      <c r="WSD2" s="62"/>
      <c r="WSE2" s="62"/>
      <c r="WSF2" s="62"/>
      <c r="WSG2" s="62"/>
      <c r="WSH2" s="62"/>
      <c r="WSI2" s="62"/>
      <c r="WSJ2" s="62"/>
      <c r="WSK2" s="62"/>
      <c r="WSL2" s="62"/>
      <c r="WSM2" s="62"/>
      <c r="WSN2" s="62"/>
      <c r="WSO2" s="62"/>
      <c r="WSP2" s="62"/>
      <c r="WSQ2" s="62"/>
      <c r="WSR2" s="62"/>
      <c r="WSS2" s="62"/>
      <c r="WST2" s="62"/>
      <c r="WSU2" s="62"/>
      <c r="WSV2" s="62"/>
      <c r="WSW2" s="62"/>
      <c r="WSX2" s="62"/>
      <c r="WSY2" s="62"/>
      <c r="WSZ2" s="62"/>
      <c r="WTA2" s="62"/>
      <c r="WTB2" s="62"/>
      <c r="WTC2" s="62"/>
      <c r="WTD2" s="62"/>
      <c r="WTE2" s="62"/>
      <c r="WTF2" s="62"/>
      <c r="WTG2" s="62"/>
      <c r="WTH2" s="62"/>
      <c r="WTI2" s="62"/>
      <c r="WTJ2" s="62"/>
      <c r="WTK2" s="62"/>
      <c r="WTL2" s="62"/>
      <c r="WTM2" s="62"/>
      <c r="WTN2" s="62"/>
      <c r="WTO2" s="62"/>
      <c r="WTP2" s="62"/>
      <c r="WTQ2" s="62"/>
      <c r="WTR2" s="62"/>
      <c r="WTS2" s="62"/>
      <c r="WTT2" s="62"/>
      <c r="WTU2" s="62"/>
      <c r="WTV2" s="62"/>
      <c r="WTW2" s="62"/>
      <c r="WTX2" s="62"/>
      <c r="WTY2" s="62"/>
      <c r="WTZ2" s="62"/>
      <c r="WUA2" s="62"/>
      <c r="WUB2" s="62"/>
      <c r="WUC2" s="62"/>
      <c r="WUD2" s="62"/>
      <c r="WUE2" s="62"/>
      <c r="WUF2" s="62"/>
      <c r="WUG2" s="62"/>
      <c r="WUH2" s="62"/>
      <c r="WUI2" s="62"/>
      <c r="WUJ2" s="62"/>
      <c r="WUK2" s="62"/>
      <c r="WUL2" s="62"/>
      <c r="WUM2" s="62"/>
      <c r="WUN2" s="62"/>
      <c r="WUO2" s="62"/>
      <c r="WUP2" s="62"/>
      <c r="WUQ2" s="62"/>
      <c r="WUR2" s="62"/>
      <c r="WUS2" s="62"/>
      <c r="WUT2" s="62"/>
      <c r="WUU2" s="62"/>
      <c r="WUV2" s="62"/>
      <c r="WUW2" s="62"/>
      <c r="WUX2" s="62"/>
      <c r="WUY2" s="62"/>
      <c r="WUZ2" s="62"/>
      <c r="WVA2" s="62"/>
      <c r="WVB2" s="62"/>
      <c r="WVC2" s="62"/>
      <c r="WVD2" s="62"/>
      <c r="WVE2" s="62"/>
      <c r="WVF2" s="62"/>
      <c r="WVG2" s="62"/>
      <c r="WVH2" s="62"/>
      <c r="WVI2" s="62"/>
      <c r="WVJ2" s="62"/>
      <c r="WVK2" s="62"/>
      <c r="WVL2" s="62"/>
      <c r="WVM2" s="62"/>
      <c r="WVN2" s="62"/>
      <c r="WVO2" s="62"/>
      <c r="WVP2" s="62"/>
      <c r="WVQ2" s="62"/>
      <c r="WVR2" s="62"/>
      <c r="WVS2" s="62"/>
      <c r="WVT2" s="62"/>
      <c r="WVU2" s="62"/>
      <c r="WVV2" s="62"/>
      <c r="WVW2" s="62"/>
      <c r="WVX2" s="62"/>
      <c r="WVY2" s="62"/>
      <c r="WVZ2" s="62"/>
      <c r="WWA2" s="62"/>
      <c r="WWB2" s="62"/>
      <c r="WWC2" s="62"/>
      <c r="WWD2" s="62"/>
      <c r="WWE2" s="62"/>
      <c r="WWF2" s="62"/>
      <c r="WWG2" s="62"/>
      <c r="WWH2" s="62"/>
      <c r="WWI2" s="62"/>
      <c r="WWJ2" s="62"/>
      <c r="WWK2" s="62"/>
      <c r="WWL2" s="62"/>
      <c r="WWM2" s="62"/>
      <c r="WWN2" s="62"/>
      <c r="WWO2" s="62"/>
      <c r="WWP2" s="62"/>
      <c r="WWQ2" s="62"/>
      <c r="WWR2" s="62"/>
      <c r="WWS2" s="62"/>
      <c r="WWT2" s="62"/>
      <c r="WWU2" s="62"/>
      <c r="WWV2" s="62"/>
      <c r="WWW2" s="62"/>
      <c r="WWX2" s="62"/>
      <c r="WWY2" s="62"/>
      <c r="WWZ2" s="62"/>
      <c r="WXA2" s="62"/>
      <c r="WXB2" s="62"/>
      <c r="WXC2" s="62"/>
      <c r="WXD2" s="62"/>
      <c r="WXE2" s="62"/>
      <c r="WXF2" s="62"/>
      <c r="WXG2" s="62"/>
      <c r="WXH2" s="62"/>
      <c r="WXI2" s="62"/>
      <c r="WXJ2" s="62"/>
      <c r="WXK2" s="62"/>
      <c r="WXL2" s="62"/>
      <c r="WXM2" s="62"/>
      <c r="WXN2" s="62"/>
      <c r="WXO2" s="62"/>
      <c r="WXP2" s="62"/>
      <c r="WXQ2" s="62"/>
      <c r="WXR2" s="62"/>
      <c r="WXS2" s="62"/>
      <c r="WXT2" s="62"/>
      <c r="WXU2" s="62"/>
      <c r="WXV2" s="62"/>
      <c r="WXW2" s="62"/>
      <c r="WXX2" s="62"/>
      <c r="WXY2" s="62"/>
      <c r="WXZ2" s="62"/>
      <c r="WYA2" s="62"/>
      <c r="WYB2" s="62"/>
      <c r="WYC2" s="62"/>
      <c r="WYD2" s="62"/>
      <c r="WYE2" s="62"/>
      <c r="WYF2" s="62"/>
      <c r="WYG2" s="62"/>
      <c r="WYH2" s="62"/>
      <c r="WYI2" s="62"/>
      <c r="WYJ2" s="62"/>
      <c r="WYK2" s="62"/>
      <c r="WYL2" s="62"/>
      <c r="WYM2" s="62"/>
      <c r="WYN2" s="62"/>
      <c r="WYO2" s="62"/>
      <c r="WYP2" s="62"/>
      <c r="WYQ2" s="62"/>
      <c r="WYR2" s="62"/>
      <c r="WYS2" s="62"/>
      <c r="WYT2" s="62"/>
      <c r="WYU2" s="62"/>
      <c r="WYV2" s="62"/>
      <c r="WYW2" s="62"/>
      <c r="WYX2" s="62"/>
      <c r="WYY2" s="62"/>
      <c r="WYZ2" s="62"/>
      <c r="WZA2" s="62"/>
      <c r="WZB2" s="62"/>
      <c r="WZC2" s="62"/>
      <c r="WZD2" s="62"/>
      <c r="WZE2" s="62"/>
      <c r="WZF2" s="62"/>
      <c r="WZG2" s="62"/>
      <c r="WZH2" s="62"/>
      <c r="WZI2" s="62"/>
      <c r="WZJ2" s="62"/>
      <c r="WZK2" s="62"/>
      <c r="WZL2" s="62"/>
      <c r="WZM2" s="62"/>
      <c r="WZN2" s="62"/>
      <c r="WZO2" s="62"/>
      <c r="WZP2" s="62"/>
      <c r="WZQ2" s="62"/>
      <c r="WZR2" s="62"/>
      <c r="WZS2" s="62"/>
      <c r="WZT2" s="62"/>
      <c r="WZU2" s="62"/>
      <c r="WZV2" s="62"/>
      <c r="WZW2" s="62"/>
      <c r="WZX2" s="62"/>
      <c r="WZY2" s="62"/>
      <c r="WZZ2" s="62"/>
      <c r="XAA2" s="62"/>
      <c r="XAB2" s="62"/>
      <c r="XAC2" s="62"/>
      <c r="XAD2" s="62"/>
      <c r="XAE2" s="62"/>
      <c r="XAF2" s="62"/>
      <c r="XAG2" s="62"/>
      <c r="XAH2" s="62"/>
      <c r="XAI2" s="62"/>
      <c r="XAJ2" s="62"/>
      <c r="XAK2" s="62"/>
      <c r="XAL2" s="62"/>
      <c r="XAM2" s="62"/>
      <c r="XAN2" s="62"/>
      <c r="XAO2" s="62"/>
      <c r="XAP2" s="62"/>
      <c r="XAQ2" s="62"/>
      <c r="XAR2" s="62"/>
      <c r="XAS2" s="62"/>
      <c r="XAT2" s="62"/>
      <c r="XAU2" s="62"/>
      <c r="XAV2" s="62"/>
      <c r="XAW2" s="62"/>
      <c r="XAX2" s="62"/>
      <c r="XAY2" s="62"/>
      <c r="XAZ2" s="62"/>
      <c r="XBA2" s="62"/>
      <c r="XBB2" s="62"/>
      <c r="XBC2" s="62"/>
      <c r="XBD2" s="62"/>
      <c r="XBE2" s="62"/>
      <c r="XBF2" s="62"/>
      <c r="XBG2" s="62"/>
      <c r="XBH2" s="62"/>
      <c r="XBI2" s="62"/>
      <c r="XBJ2" s="62"/>
      <c r="XBK2" s="62"/>
      <c r="XBL2" s="62"/>
      <c r="XBM2" s="62"/>
      <c r="XBN2" s="62"/>
      <c r="XBO2" s="62"/>
      <c r="XBP2" s="62"/>
      <c r="XBQ2" s="62"/>
      <c r="XBR2" s="62"/>
      <c r="XBS2" s="62"/>
      <c r="XBT2" s="62"/>
      <c r="XBU2" s="62"/>
      <c r="XBV2" s="62"/>
      <c r="XBW2" s="62"/>
      <c r="XBX2" s="62"/>
      <c r="XBY2" s="62"/>
      <c r="XBZ2" s="62"/>
      <c r="XCA2" s="62"/>
      <c r="XCB2" s="62"/>
      <c r="XCC2" s="62"/>
      <c r="XCD2" s="62"/>
      <c r="XCE2" s="62"/>
      <c r="XCF2" s="62"/>
      <c r="XCG2" s="62"/>
      <c r="XCH2" s="62"/>
      <c r="XCI2" s="62"/>
      <c r="XCJ2" s="62"/>
      <c r="XCK2" s="62"/>
      <c r="XCL2" s="62"/>
      <c r="XCM2" s="62"/>
      <c r="XCN2" s="62"/>
      <c r="XCO2" s="62"/>
      <c r="XCP2" s="62"/>
      <c r="XCQ2" s="62"/>
      <c r="XCR2" s="62"/>
      <c r="XCS2" s="62"/>
      <c r="XCT2" s="62"/>
      <c r="XCU2" s="62"/>
      <c r="XCV2" s="62"/>
      <c r="XCW2" s="62"/>
      <c r="XCX2" s="62"/>
      <c r="XCY2" s="62"/>
      <c r="XCZ2" s="62"/>
      <c r="XDA2" s="62"/>
      <c r="XDB2" s="62"/>
      <c r="XDC2" s="62"/>
      <c r="XDD2" s="62"/>
      <c r="XDE2" s="62"/>
      <c r="XDF2" s="62"/>
      <c r="XDG2" s="62"/>
      <c r="XDH2" s="62"/>
      <c r="XDI2" s="62"/>
      <c r="XDJ2" s="62"/>
      <c r="XDK2" s="62"/>
      <c r="XDL2" s="62"/>
      <c r="XDM2" s="62"/>
      <c r="XDN2" s="62"/>
      <c r="XDO2" s="62"/>
      <c r="XDP2" s="62"/>
      <c r="XDQ2" s="62"/>
      <c r="XDR2" s="62"/>
      <c r="XDS2" s="62"/>
      <c r="XDT2" s="62"/>
      <c r="XDU2" s="62"/>
      <c r="XDV2" s="62"/>
      <c r="XET2" s="66"/>
      <c r="XEU2" s="66"/>
      <c r="XEV2" s="66"/>
      <c r="XEW2" s="66"/>
      <c r="XEX2" s="66"/>
      <c r="XEY2" s="66"/>
    </row>
    <row r="3" s="66" customFormat="1" ht="24" customHeight="1" spans="1:1024 1025:16379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99">
        <f>灯价格!A3</f>
        <v>0</v>
      </c>
      <c r="M3" s="99">
        <f>灯价格!B3</f>
        <v>0</v>
      </c>
      <c r="N3" s="99">
        <f>灯价格!C3</f>
        <v>0</v>
      </c>
      <c r="O3" s="45"/>
      <c r="P3" s="84"/>
      <c r="Q3" s="45"/>
      <c r="R3" s="45"/>
      <c r="S3" s="62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38">
        <f>灯价格!A7</f>
        <v>0</v>
      </c>
      <c r="AF3" s="38">
        <f>灯价格!B7</f>
        <v>0</v>
      </c>
      <c r="AG3" s="38">
        <f>灯价格!C7</f>
        <v>0</v>
      </c>
      <c r="AH3" s="39"/>
      <c r="AI3" s="40"/>
      <c r="AJ3" s="39"/>
      <c r="AK3" s="39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  <c r="FK3" s="62"/>
      <c r="FL3" s="62"/>
      <c r="FM3" s="62"/>
      <c r="FN3" s="62"/>
      <c r="FO3" s="62"/>
      <c r="FP3" s="62"/>
      <c r="FQ3" s="62"/>
      <c r="FR3" s="62"/>
      <c r="FS3" s="62"/>
      <c r="FT3" s="62"/>
      <c r="FU3" s="62"/>
      <c r="FV3" s="62"/>
      <c r="FW3" s="62"/>
      <c r="FX3" s="62"/>
      <c r="FY3" s="62"/>
      <c r="FZ3" s="62"/>
      <c r="GA3" s="62"/>
      <c r="GB3" s="62"/>
      <c r="GC3" s="62"/>
      <c r="GD3" s="62"/>
      <c r="GE3" s="62"/>
      <c r="GF3" s="62"/>
      <c r="GG3" s="62"/>
      <c r="GH3" s="62"/>
      <c r="GI3" s="62"/>
      <c r="GJ3" s="62"/>
      <c r="GK3" s="62"/>
      <c r="GL3" s="62"/>
      <c r="GM3" s="62"/>
      <c r="GN3" s="62"/>
      <c r="GO3" s="62"/>
      <c r="GP3" s="62"/>
      <c r="GQ3" s="62"/>
      <c r="GR3" s="62"/>
      <c r="GS3" s="62"/>
      <c r="GT3" s="62"/>
      <c r="GU3" s="62"/>
      <c r="GV3" s="62"/>
      <c r="GW3" s="62"/>
      <c r="GX3" s="62"/>
      <c r="GY3" s="62"/>
      <c r="GZ3" s="62"/>
      <c r="HA3" s="62"/>
      <c r="HB3" s="62"/>
      <c r="HC3" s="62"/>
      <c r="HD3" s="62"/>
      <c r="HE3" s="62"/>
      <c r="HF3" s="62"/>
      <c r="HG3" s="62"/>
      <c r="HH3" s="62"/>
      <c r="HI3" s="62"/>
      <c r="HJ3" s="62"/>
      <c r="HK3" s="62"/>
      <c r="HL3" s="62"/>
      <c r="HM3" s="62"/>
      <c r="HN3" s="62"/>
      <c r="HO3" s="62"/>
      <c r="HP3" s="62"/>
      <c r="HQ3" s="62"/>
      <c r="HR3" s="62"/>
      <c r="HS3" s="62"/>
      <c r="HT3" s="62"/>
      <c r="HU3" s="62"/>
      <c r="HV3" s="62"/>
      <c r="HW3" s="62"/>
      <c r="HX3" s="62"/>
      <c r="HY3" s="62"/>
      <c r="HZ3" s="62"/>
      <c r="IA3" s="62"/>
      <c r="IB3" s="62"/>
      <c r="IC3" s="62"/>
      <c r="ID3" s="62"/>
      <c r="IE3" s="62"/>
      <c r="IF3" s="62"/>
      <c r="IG3" s="62"/>
      <c r="IH3" s="62"/>
      <c r="II3" s="62"/>
      <c r="IJ3" s="62"/>
      <c r="IK3" s="62"/>
      <c r="IL3" s="62"/>
      <c r="IM3" s="62"/>
      <c r="IN3" s="62"/>
      <c r="IO3" s="62"/>
      <c r="IP3" s="62"/>
      <c r="IQ3" s="62"/>
      <c r="IR3" s="62"/>
      <c r="IS3" s="62"/>
      <c r="IT3" s="62"/>
      <c r="IU3" s="62"/>
      <c r="IV3" s="62"/>
      <c r="IW3" s="62"/>
      <c r="IX3" s="62"/>
      <c r="IY3" s="62"/>
      <c r="IZ3" s="62"/>
      <c r="JA3" s="62"/>
      <c r="JB3" s="62"/>
      <c r="JC3" s="62"/>
      <c r="JD3" s="62"/>
      <c r="JE3" s="62"/>
      <c r="JF3" s="62"/>
      <c r="JG3" s="62"/>
      <c r="JH3" s="62"/>
      <c r="JI3" s="62"/>
      <c r="JJ3" s="62"/>
      <c r="JK3" s="62"/>
      <c r="JL3" s="62"/>
      <c r="JM3" s="62"/>
      <c r="JN3" s="62"/>
      <c r="JO3" s="62"/>
      <c r="JP3" s="62"/>
      <c r="JQ3" s="62"/>
      <c r="JR3" s="62"/>
      <c r="JS3" s="62"/>
      <c r="JT3" s="62"/>
      <c r="JU3" s="62"/>
      <c r="JV3" s="62"/>
      <c r="JW3" s="62"/>
      <c r="JX3" s="62"/>
      <c r="JY3" s="62"/>
      <c r="JZ3" s="62"/>
      <c r="KA3" s="62"/>
      <c r="KB3" s="62"/>
      <c r="KC3" s="62"/>
      <c r="KD3" s="62"/>
      <c r="KE3" s="62"/>
      <c r="KF3" s="62"/>
      <c r="KG3" s="62"/>
      <c r="KH3" s="62"/>
      <c r="KI3" s="62"/>
      <c r="KJ3" s="62"/>
      <c r="KK3" s="62"/>
      <c r="KL3" s="62"/>
      <c r="KM3" s="62"/>
      <c r="KN3" s="62"/>
      <c r="KO3" s="62"/>
      <c r="KP3" s="62"/>
      <c r="KQ3" s="62"/>
      <c r="KR3" s="62"/>
      <c r="KS3" s="62"/>
      <c r="KT3" s="62"/>
      <c r="KU3" s="62"/>
      <c r="KV3" s="62"/>
      <c r="KW3" s="62"/>
      <c r="KX3" s="62"/>
      <c r="KY3" s="62"/>
      <c r="KZ3" s="62"/>
      <c r="LA3" s="62"/>
      <c r="LB3" s="62"/>
      <c r="LC3" s="62"/>
      <c r="LD3" s="62"/>
      <c r="LE3" s="62"/>
      <c r="LF3" s="62"/>
      <c r="LG3" s="62"/>
      <c r="LH3" s="62"/>
      <c r="LI3" s="62"/>
      <c r="LJ3" s="62"/>
      <c r="LK3" s="62"/>
      <c r="LL3" s="62"/>
      <c r="LM3" s="62"/>
      <c r="LN3" s="62"/>
      <c r="LO3" s="62"/>
      <c r="LP3" s="62"/>
      <c r="LQ3" s="62"/>
      <c r="LR3" s="62"/>
      <c r="LS3" s="62"/>
      <c r="LT3" s="62"/>
      <c r="LU3" s="62"/>
      <c r="LV3" s="62"/>
      <c r="LW3" s="62"/>
      <c r="LX3" s="62"/>
      <c r="LY3" s="62"/>
      <c r="LZ3" s="62"/>
      <c r="MA3" s="62"/>
      <c r="MB3" s="62"/>
      <c r="MC3" s="62"/>
      <c r="MD3" s="62"/>
      <c r="ME3" s="62"/>
      <c r="MF3" s="62"/>
      <c r="MG3" s="62"/>
      <c r="MH3" s="62"/>
      <c r="MI3" s="62"/>
      <c r="MJ3" s="62"/>
      <c r="MK3" s="62"/>
      <c r="ML3" s="62"/>
      <c r="MM3" s="62"/>
      <c r="MN3" s="62"/>
      <c r="MO3" s="62"/>
      <c r="MP3" s="62"/>
      <c r="MQ3" s="62"/>
      <c r="MR3" s="62"/>
      <c r="MS3" s="62"/>
      <c r="MT3" s="62"/>
      <c r="MU3" s="62"/>
      <c r="MV3" s="62"/>
      <c r="MW3" s="62"/>
      <c r="MX3" s="62"/>
      <c r="MY3" s="62"/>
      <c r="MZ3" s="62"/>
      <c r="NA3" s="62"/>
      <c r="NB3" s="62"/>
      <c r="NC3" s="62"/>
      <c r="ND3" s="62"/>
      <c r="NE3" s="62"/>
      <c r="NF3" s="62"/>
      <c r="NG3" s="62"/>
      <c r="NH3" s="62"/>
      <c r="NI3" s="62"/>
      <c r="NJ3" s="62"/>
      <c r="NK3" s="62"/>
      <c r="NL3" s="62"/>
      <c r="NM3" s="62"/>
      <c r="NN3" s="62"/>
      <c r="NO3" s="62"/>
      <c r="NP3" s="62"/>
      <c r="NQ3" s="62"/>
      <c r="NR3" s="62"/>
      <c r="NS3" s="62"/>
      <c r="NT3" s="62"/>
      <c r="NU3" s="62"/>
      <c r="NV3" s="62"/>
      <c r="NW3" s="62"/>
      <c r="NX3" s="62"/>
      <c r="NY3" s="62"/>
      <c r="NZ3" s="62"/>
      <c r="OA3" s="62"/>
      <c r="OB3" s="62"/>
      <c r="OC3" s="62"/>
      <c r="OD3" s="62"/>
      <c r="OE3" s="62"/>
      <c r="OF3" s="62"/>
      <c r="OG3" s="62"/>
      <c r="OH3" s="62"/>
      <c r="OI3" s="62"/>
      <c r="OJ3" s="62"/>
      <c r="OK3" s="62"/>
      <c r="OL3" s="62"/>
      <c r="OM3" s="62"/>
      <c r="ON3" s="62"/>
      <c r="OO3" s="62"/>
      <c r="OP3" s="62"/>
      <c r="OQ3" s="62"/>
      <c r="OR3" s="62"/>
      <c r="OS3" s="62"/>
      <c r="OT3" s="62"/>
      <c r="OU3" s="62"/>
      <c r="OV3" s="62"/>
      <c r="OW3" s="62"/>
      <c r="OX3" s="62"/>
      <c r="OY3" s="62"/>
      <c r="OZ3" s="62"/>
      <c r="PA3" s="62"/>
      <c r="PB3" s="62"/>
      <c r="PC3" s="62"/>
      <c r="PD3" s="62"/>
      <c r="PE3" s="62"/>
      <c r="PF3" s="62"/>
      <c r="PG3" s="62"/>
      <c r="PH3" s="62"/>
      <c r="PI3" s="62"/>
      <c r="PJ3" s="62"/>
      <c r="PK3" s="62"/>
      <c r="PL3" s="62"/>
      <c r="PM3" s="62"/>
      <c r="PN3" s="62"/>
      <c r="PO3" s="62"/>
      <c r="PP3" s="62"/>
      <c r="PQ3" s="62"/>
      <c r="PR3" s="62"/>
      <c r="PS3" s="62"/>
      <c r="PT3" s="62"/>
      <c r="PU3" s="62"/>
      <c r="PV3" s="62"/>
      <c r="PW3" s="62"/>
      <c r="PX3" s="62"/>
      <c r="PY3" s="62"/>
      <c r="PZ3" s="62"/>
      <c r="QA3" s="62"/>
      <c r="QB3" s="62"/>
      <c r="QC3" s="62"/>
      <c r="QD3" s="62"/>
      <c r="QE3" s="62"/>
      <c r="QF3" s="62"/>
      <c r="QG3" s="62"/>
      <c r="QH3" s="62"/>
      <c r="QI3" s="62"/>
      <c r="QJ3" s="62"/>
      <c r="QK3" s="62"/>
      <c r="QL3" s="62"/>
      <c r="QM3" s="62"/>
      <c r="QN3" s="62"/>
      <c r="QO3" s="62"/>
      <c r="QP3" s="62"/>
      <c r="QQ3" s="62"/>
      <c r="QR3" s="62"/>
      <c r="QS3" s="62"/>
      <c r="QT3" s="62"/>
      <c r="QU3" s="62"/>
      <c r="QV3" s="62"/>
      <c r="QW3" s="62"/>
      <c r="QX3" s="62"/>
      <c r="QY3" s="62"/>
      <c r="QZ3" s="62"/>
      <c r="RA3" s="62"/>
      <c r="RB3" s="62"/>
      <c r="RC3" s="62"/>
      <c r="RD3" s="62"/>
      <c r="RE3" s="62"/>
      <c r="RF3" s="62"/>
      <c r="RG3" s="62"/>
      <c r="RH3" s="62"/>
      <c r="RI3" s="62"/>
      <c r="RJ3" s="62"/>
      <c r="RK3" s="62"/>
      <c r="RL3" s="62"/>
      <c r="RM3" s="62"/>
      <c r="RN3" s="62"/>
      <c r="RO3" s="62"/>
      <c r="RP3" s="62"/>
      <c r="RQ3" s="62"/>
      <c r="RR3" s="62"/>
      <c r="RS3" s="62"/>
      <c r="RT3" s="62"/>
      <c r="RU3" s="62"/>
      <c r="RV3" s="62"/>
      <c r="RW3" s="62"/>
      <c r="RX3" s="62"/>
      <c r="RY3" s="62"/>
      <c r="RZ3" s="62"/>
      <c r="SA3" s="62"/>
      <c r="SB3" s="62"/>
      <c r="SC3" s="62"/>
      <c r="SD3" s="62"/>
      <c r="SE3" s="62"/>
      <c r="SF3" s="62"/>
      <c r="SG3" s="62"/>
      <c r="SH3" s="62"/>
      <c r="SI3" s="62"/>
      <c r="SJ3" s="62"/>
      <c r="SK3" s="62"/>
      <c r="SL3" s="62"/>
      <c r="SM3" s="62"/>
      <c r="SN3" s="62"/>
      <c r="SO3" s="62"/>
      <c r="SP3" s="62"/>
      <c r="SQ3" s="62"/>
      <c r="SR3" s="62"/>
      <c r="SS3" s="62"/>
      <c r="ST3" s="62"/>
      <c r="SU3" s="62"/>
      <c r="SV3" s="62"/>
      <c r="SW3" s="62"/>
      <c r="SX3" s="62"/>
      <c r="SY3" s="62"/>
      <c r="SZ3" s="62"/>
      <c r="TA3" s="62"/>
      <c r="TB3" s="62"/>
      <c r="TC3" s="62"/>
      <c r="TD3" s="62"/>
      <c r="TE3" s="62"/>
      <c r="TF3" s="62"/>
      <c r="TG3" s="62"/>
      <c r="TH3" s="62"/>
      <c r="TI3" s="62"/>
      <c r="TJ3" s="62"/>
      <c r="TK3" s="62"/>
      <c r="TL3" s="62"/>
      <c r="TM3" s="62"/>
      <c r="TN3" s="62"/>
      <c r="TO3" s="62"/>
      <c r="TP3" s="62"/>
      <c r="TQ3" s="62"/>
      <c r="TR3" s="62"/>
      <c r="TS3" s="62"/>
      <c r="TT3" s="62"/>
      <c r="TU3" s="62"/>
      <c r="TV3" s="62"/>
      <c r="TW3" s="62"/>
      <c r="TX3" s="62"/>
      <c r="TY3" s="62"/>
      <c r="TZ3" s="62"/>
      <c r="UA3" s="62"/>
      <c r="UB3" s="62"/>
      <c r="UC3" s="62"/>
      <c r="UD3" s="62"/>
      <c r="UE3" s="62"/>
      <c r="UF3" s="62"/>
      <c r="UG3" s="62"/>
      <c r="UH3" s="62"/>
      <c r="UI3" s="62"/>
      <c r="UJ3" s="62"/>
      <c r="UK3" s="62"/>
      <c r="UL3" s="62"/>
      <c r="UM3" s="62"/>
      <c r="UN3" s="62"/>
      <c r="UO3" s="62"/>
      <c r="UP3" s="62"/>
      <c r="UQ3" s="62"/>
      <c r="UR3" s="62"/>
      <c r="US3" s="62"/>
      <c r="UT3" s="62"/>
      <c r="UU3" s="62"/>
      <c r="UV3" s="62"/>
      <c r="UW3" s="62"/>
      <c r="UX3" s="62"/>
      <c r="UY3" s="62"/>
      <c r="UZ3" s="62"/>
      <c r="VA3" s="62"/>
      <c r="VB3" s="62"/>
      <c r="VC3" s="62"/>
      <c r="VD3" s="62"/>
      <c r="VE3" s="62"/>
      <c r="VF3" s="62"/>
      <c r="VG3" s="62"/>
      <c r="VH3" s="62"/>
      <c r="VI3" s="62"/>
      <c r="VJ3" s="62"/>
      <c r="VK3" s="62"/>
      <c r="VL3" s="62"/>
      <c r="VM3" s="62"/>
      <c r="VN3" s="62"/>
      <c r="VO3" s="62"/>
      <c r="VP3" s="62"/>
      <c r="VQ3" s="62"/>
      <c r="VR3" s="62"/>
      <c r="VS3" s="62"/>
      <c r="VT3" s="62"/>
      <c r="VU3" s="62"/>
      <c r="VV3" s="62"/>
      <c r="VW3" s="62"/>
      <c r="VX3" s="62"/>
      <c r="VY3" s="62"/>
      <c r="VZ3" s="62"/>
      <c r="WA3" s="62"/>
      <c r="WB3" s="62"/>
      <c r="WC3" s="62"/>
      <c r="WD3" s="62"/>
      <c r="WE3" s="62"/>
      <c r="WF3" s="62"/>
      <c r="WG3" s="62"/>
      <c r="WH3" s="62"/>
      <c r="WI3" s="62"/>
      <c r="WJ3" s="62"/>
      <c r="WK3" s="62"/>
      <c r="WL3" s="62"/>
      <c r="WM3" s="62"/>
      <c r="WN3" s="62"/>
      <c r="WO3" s="62"/>
      <c r="WP3" s="62"/>
      <c r="WQ3" s="62"/>
      <c r="WR3" s="62"/>
      <c r="WS3" s="62"/>
      <c r="WT3" s="62"/>
      <c r="WU3" s="62"/>
      <c r="WV3" s="62"/>
      <c r="WW3" s="62"/>
      <c r="WX3" s="62"/>
      <c r="WY3" s="62"/>
      <c r="WZ3" s="62"/>
      <c r="XA3" s="62"/>
      <c r="XB3" s="62"/>
      <c r="XC3" s="62"/>
      <c r="XD3" s="62"/>
      <c r="XE3" s="62"/>
      <c r="XF3" s="62"/>
      <c r="XG3" s="62"/>
      <c r="XH3" s="62"/>
      <c r="XI3" s="62"/>
      <c r="XJ3" s="62"/>
      <c r="XK3" s="62"/>
      <c r="XL3" s="62"/>
      <c r="XM3" s="62"/>
      <c r="XN3" s="62"/>
      <c r="XO3" s="62"/>
      <c r="XP3" s="62"/>
      <c r="XQ3" s="62"/>
      <c r="XR3" s="62"/>
      <c r="XS3" s="62"/>
      <c r="XT3" s="62"/>
      <c r="XU3" s="62"/>
      <c r="XV3" s="62"/>
      <c r="XW3" s="62"/>
      <c r="XX3" s="62"/>
      <c r="XY3" s="62"/>
      <c r="XZ3" s="62"/>
      <c r="YA3" s="62"/>
      <c r="YB3" s="62"/>
      <c r="YC3" s="62"/>
      <c r="YD3" s="62"/>
      <c r="YE3" s="62"/>
      <c r="YF3" s="62"/>
      <c r="YG3" s="62"/>
      <c r="YH3" s="62"/>
      <c r="YI3" s="62"/>
      <c r="YJ3" s="62"/>
      <c r="YK3" s="62"/>
      <c r="YL3" s="62"/>
      <c r="YM3" s="62"/>
      <c r="YN3" s="62"/>
      <c r="YO3" s="62"/>
      <c r="YP3" s="62"/>
      <c r="YQ3" s="62"/>
      <c r="YR3" s="62"/>
      <c r="YS3" s="62"/>
      <c r="YT3" s="62"/>
      <c r="YU3" s="62"/>
      <c r="YV3" s="62"/>
      <c r="YW3" s="62"/>
      <c r="YX3" s="62"/>
      <c r="YY3" s="62"/>
      <c r="YZ3" s="62"/>
      <c r="ZA3" s="62"/>
      <c r="ZB3" s="62"/>
      <c r="ZC3" s="62"/>
      <c r="ZD3" s="62"/>
      <c r="ZE3" s="62"/>
      <c r="ZF3" s="62"/>
      <c r="ZG3" s="62"/>
      <c r="ZH3" s="62"/>
      <c r="ZI3" s="62"/>
      <c r="ZJ3" s="62"/>
      <c r="ZK3" s="62"/>
      <c r="ZL3" s="62"/>
      <c r="ZM3" s="62"/>
      <c r="ZN3" s="62"/>
      <c r="ZO3" s="62"/>
      <c r="ZP3" s="62"/>
      <c r="ZQ3" s="62"/>
      <c r="ZR3" s="62"/>
      <c r="ZS3" s="62"/>
      <c r="ZT3" s="62"/>
      <c r="ZU3" s="62"/>
      <c r="ZV3" s="62"/>
      <c r="ZW3" s="62"/>
      <c r="ZX3" s="62"/>
      <c r="ZY3" s="62"/>
      <c r="ZZ3" s="62"/>
      <c r="AAA3" s="62"/>
      <c r="AAB3" s="62"/>
      <c r="AAC3" s="62"/>
      <c r="AAD3" s="62"/>
      <c r="AAE3" s="62"/>
      <c r="AAF3" s="62"/>
      <c r="AAG3" s="62"/>
      <c r="AAH3" s="62"/>
      <c r="AAI3" s="62"/>
      <c r="AAJ3" s="62"/>
      <c r="AAK3" s="62"/>
      <c r="AAL3" s="62"/>
      <c r="AAM3" s="62"/>
      <c r="AAN3" s="62"/>
      <c r="AAO3" s="62"/>
      <c r="AAP3" s="62"/>
      <c r="AAQ3" s="62"/>
      <c r="AAR3" s="62"/>
      <c r="AAS3" s="62"/>
      <c r="AAT3" s="62"/>
      <c r="AAU3" s="62"/>
      <c r="AAV3" s="62"/>
      <c r="AAW3" s="62"/>
      <c r="AAX3" s="62"/>
      <c r="AAY3" s="62"/>
      <c r="AAZ3" s="62"/>
      <c r="ABA3" s="62"/>
      <c r="ABB3" s="62"/>
      <c r="ABC3" s="62"/>
      <c r="ABD3" s="62"/>
      <c r="ABE3" s="62"/>
      <c r="ABF3" s="62"/>
      <c r="ABG3" s="62"/>
      <c r="ABH3" s="62"/>
      <c r="ABI3" s="62"/>
      <c r="ABJ3" s="62"/>
      <c r="ABK3" s="62"/>
      <c r="ABL3" s="62"/>
      <c r="ABM3" s="62"/>
      <c r="ABN3" s="62"/>
      <c r="ABO3" s="62"/>
      <c r="ABP3" s="62"/>
      <c r="ABQ3" s="62"/>
      <c r="ABR3" s="62"/>
      <c r="ABS3" s="62"/>
      <c r="ABT3" s="62"/>
      <c r="ABU3" s="62"/>
      <c r="ABV3" s="62"/>
      <c r="ABW3" s="62"/>
      <c r="ABX3" s="62"/>
      <c r="ABY3" s="62"/>
      <c r="ABZ3" s="62"/>
      <c r="ACA3" s="62"/>
      <c r="ACB3" s="62"/>
      <c r="ACC3" s="62"/>
      <c r="ACD3" s="62"/>
      <c r="ACE3" s="62"/>
      <c r="ACF3" s="62"/>
      <c r="ACG3" s="62"/>
      <c r="ACH3" s="62"/>
      <c r="ACI3" s="62"/>
      <c r="ACJ3" s="62"/>
      <c r="ACK3" s="62"/>
      <c r="ACL3" s="62"/>
      <c r="ACM3" s="62"/>
      <c r="ACN3" s="62"/>
      <c r="ACO3" s="62"/>
      <c r="ACP3" s="62"/>
      <c r="ACQ3" s="62"/>
      <c r="ACR3" s="62"/>
      <c r="ACS3" s="62"/>
      <c r="ACT3" s="62"/>
      <c r="ACU3" s="62"/>
      <c r="ACV3" s="62"/>
      <c r="ACW3" s="62"/>
      <c r="ACX3" s="62"/>
      <c r="ACY3" s="62"/>
      <c r="ACZ3" s="62"/>
      <c r="ADA3" s="62"/>
      <c r="ADB3" s="62"/>
      <c r="ADC3" s="62"/>
      <c r="ADD3" s="62"/>
      <c r="ADE3" s="62"/>
      <c r="ADF3" s="62"/>
      <c r="ADG3" s="62"/>
      <c r="ADH3" s="62"/>
      <c r="ADI3" s="62"/>
      <c r="ADJ3" s="62"/>
      <c r="ADK3" s="62"/>
      <c r="ADL3" s="62"/>
      <c r="ADM3" s="62"/>
      <c r="ADN3" s="62"/>
      <c r="ADO3" s="62"/>
      <c r="ADP3" s="62"/>
      <c r="ADQ3" s="62"/>
      <c r="ADR3" s="62"/>
      <c r="ADS3" s="62"/>
      <c r="ADT3" s="62"/>
      <c r="ADU3" s="62"/>
      <c r="ADV3" s="62"/>
      <c r="ADW3" s="62"/>
      <c r="ADX3" s="62"/>
      <c r="ADY3" s="62"/>
      <c r="ADZ3" s="62"/>
      <c r="AEA3" s="62"/>
      <c r="AEB3" s="62"/>
      <c r="AEC3" s="62"/>
      <c r="AED3" s="62"/>
      <c r="AEE3" s="62"/>
      <c r="AEF3" s="62"/>
      <c r="AEG3" s="62"/>
      <c r="AEH3" s="62"/>
      <c r="AEI3" s="62"/>
      <c r="AEJ3" s="62"/>
      <c r="AEK3" s="62"/>
      <c r="AEL3" s="62"/>
      <c r="AEM3" s="62"/>
      <c r="AEN3" s="62"/>
      <c r="AEO3" s="62"/>
      <c r="AEP3" s="62"/>
      <c r="AEQ3" s="62"/>
      <c r="AER3" s="62"/>
      <c r="AES3" s="62"/>
      <c r="AET3" s="62"/>
      <c r="AEU3" s="62"/>
      <c r="AEV3" s="62"/>
      <c r="AEW3" s="62"/>
      <c r="AEX3" s="62"/>
      <c r="AEY3" s="62"/>
      <c r="AEZ3" s="62"/>
      <c r="AFA3" s="62"/>
      <c r="AFB3" s="62"/>
      <c r="AFC3" s="62"/>
      <c r="AFD3" s="62"/>
      <c r="AFE3" s="62"/>
      <c r="AFF3" s="62"/>
      <c r="AFG3" s="62"/>
      <c r="AFH3" s="62"/>
      <c r="AFI3" s="62"/>
      <c r="AFJ3" s="62"/>
      <c r="AFK3" s="62"/>
      <c r="AFL3" s="62"/>
      <c r="AFM3" s="62"/>
      <c r="AFN3" s="62"/>
      <c r="AFO3" s="62"/>
      <c r="AFP3" s="62"/>
      <c r="AFQ3" s="62"/>
      <c r="AFR3" s="62"/>
      <c r="AFS3" s="62"/>
      <c r="AFT3" s="62"/>
      <c r="AFU3" s="62"/>
      <c r="AFV3" s="62"/>
      <c r="AFW3" s="62"/>
      <c r="AFX3" s="62"/>
      <c r="AFY3" s="62"/>
      <c r="AFZ3" s="62"/>
      <c r="AGA3" s="62"/>
      <c r="AGB3" s="62"/>
      <c r="AGC3" s="62"/>
      <c r="AGD3" s="62"/>
      <c r="AGE3" s="62"/>
      <c r="AGF3" s="62"/>
      <c r="AGG3" s="62"/>
      <c r="AGH3" s="62"/>
      <c r="AGI3" s="62"/>
      <c r="AGJ3" s="62"/>
      <c r="AGK3" s="62"/>
      <c r="AGL3" s="62"/>
      <c r="AGM3" s="62"/>
      <c r="AGN3" s="62"/>
      <c r="AGO3" s="62"/>
      <c r="AGP3" s="62"/>
      <c r="AGQ3" s="62"/>
      <c r="AGR3" s="62"/>
      <c r="AGS3" s="62"/>
      <c r="AGT3" s="62"/>
      <c r="AGU3" s="62"/>
      <c r="AGV3" s="62"/>
      <c r="AGW3" s="62"/>
      <c r="AGX3" s="62"/>
      <c r="AGY3" s="62"/>
      <c r="AGZ3" s="62"/>
      <c r="AHA3" s="62"/>
      <c r="AHB3" s="62"/>
      <c r="AHC3" s="62"/>
      <c r="AHD3" s="62"/>
      <c r="AHE3" s="62"/>
      <c r="AHF3" s="62"/>
      <c r="AHG3" s="62"/>
      <c r="AHH3" s="62"/>
      <c r="AHI3" s="62"/>
      <c r="AHJ3" s="62"/>
      <c r="AHK3" s="62"/>
      <c r="AHL3" s="62"/>
      <c r="AHM3" s="62"/>
      <c r="AHN3" s="62"/>
      <c r="AHO3" s="62"/>
      <c r="AHP3" s="62"/>
      <c r="AHQ3" s="62"/>
      <c r="AHR3" s="62"/>
      <c r="AHS3" s="62"/>
      <c r="AHT3" s="62"/>
      <c r="AHU3" s="62"/>
      <c r="AHV3" s="62"/>
      <c r="AHW3" s="62"/>
      <c r="AHX3" s="62"/>
      <c r="AHY3" s="62"/>
      <c r="AHZ3" s="62"/>
      <c r="AIA3" s="62"/>
      <c r="AIB3" s="62"/>
      <c r="AIC3" s="62"/>
      <c r="AID3" s="62"/>
      <c r="AIE3" s="62"/>
      <c r="AIF3" s="62"/>
      <c r="AIG3" s="62"/>
      <c r="AIH3" s="62"/>
      <c r="AII3" s="62"/>
      <c r="AIJ3" s="62"/>
      <c r="AIK3" s="62"/>
      <c r="AIL3" s="62"/>
      <c r="AIM3" s="62"/>
      <c r="AIN3" s="62"/>
      <c r="AIO3" s="62"/>
      <c r="AIP3" s="62"/>
      <c r="AIQ3" s="62"/>
      <c r="AIR3" s="62"/>
      <c r="AIS3" s="62"/>
      <c r="AIT3" s="62"/>
      <c r="AIU3" s="62"/>
      <c r="AIV3" s="62"/>
      <c r="AIW3" s="62"/>
      <c r="AIX3" s="62"/>
      <c r="AIY3" s="62"/>
      <c r="AIZ3" s="62"/>
      <c r="AJA3" s="62"/>
      <c r="AJB3" s="62"/>
      <c r="AJC3" s="62"/>
      <c r="AJD3" s="62"/>
      <c r="AJE3" s="62"/>
      <c r="AJF3" s="62"/>
      <c r="AJG3" s="62"/>
      <c r="AJH3" s="62"/>
      <c r="AJI3" s="62"/>
      <c r="AJJ3" s="62"/>
      <c r="AJK3" s="62"/>
      <c r="AJL3" s="62"/>
      <c r="AJM3" s="62"/>
      <c r="AJN3" s="62"/>
      <c r="AJO3" s="62"/>
      <c r="AJP3" s="62"/>
      <c r="AJQ3" s="62"/>
      <c r="AJR3" s="62"/>
      <c r="AJS3" s="62"/>
      <c r="AJT3" s="62"/>
      <c r="AJU3" s="62"/>
      <c r="AJV3" s="62"/>
      <c r="AJW3" s="62"/>
      <c r="AJX3" s="62"/>
      <c r="AJY3" s="62"/>
      <c r="AJZ3" s="62"/>
      <c r="AKA3" s="62"/>
      <c r="AKB3" s="62"/>
      <c r="AKC3" s="62"/>
      <c r="AKD3" s="62"/>
      <c r="AKE3" s="62"/>
      <c r="AKF3" s="62"/>
      <c r="AKG3" s="62"/>
      <c r="AKH3" s="62"/>
      <c r="AKI3" s="62"/>
      <c r="AKJ3" s="62"/>
      <c r="AKK3" s="62"/>
      <c r="AKL3" s="62"/>
      <c r="AKM3" s="62"/>
      <c r="AKN3" s="62"/>
      <c r="AKO3" s="62"/>
      <c r="AKP3" s="62"/>
      <c r="AKQ3" s="62"/>
      <c r="AKR3" s="62"/>
      <c r="AKS3" s="62"/>
      <c r="AKT3" s="62"/>
      <c r="AKU3" s="62"/>
      <c r="AKV3" s="62"/>
      <c r="AKW3" s="62"/>
      <c r="AKX3" s="62"/>
      <c r="AKY3" s="62"/>
      <c r="AKZ3" s="62"/>
      <c r="ALA3" s="62"/>
      <c r="ALB3" s="62"/>
      <c r="ALC3" s="62"/>
      <c r="ALD3" s="62"/>
      <c r="ALE3" s="62"/>
      <c r="ALF3" s="62"/>
      <c r="ALG3" s="62"/>
      <c r="ALH3" s="62"/>
      <c r="ALI3" s="62"/>
      <c r="ALJ3" s="62"/>
      <c r="ALK3" s="62"/>
      <c r="ALL3" s="62"/>
      <c r="ALM3" s="62"/>
      <c r="ALN3" s="62"/>
      <c r="ALO3" s="62"/>
      <c r="ALP3" s="62"/>
      <c r="ALQ3" s="62"/>
      <c r="ALR3" s="62"/>
      <c r="ALS3" s="62"/>
      <c r="ALT3" s="62"/>
      <c r="ALU3" s="62"/>
      <c r="ALV3" s="62"/>
      <c r="ALW3" s="62"/>
      <c r="ALX3" s="62"/>
      <c r="ALY3" s="62"/>
      <c r="ALZ3" s="62"/>
      <c r="AMA3" s="62"/>
      <c r="AMB3" s="62"/>
      <c r="AMC3" s="62"/>
      <c r="AMD3" s="62"/>
      <c r="AME3" s="62"/>
      <c r="AMF3" s="62"/>
      <c r="AMG3" s="62"/>
      <c r="AMH3" s="62"/>
      <c r="AMI3" s="62"/>
      <c r="AMJ3" s="62"/>
      <c r="AMK3" s="62"/>
      <c r="AML3" s="62"/>
      <c r="AMM3" s="62"/>
      <c r="AMN3" s="62"/>
      <c r="AMO3" s="62"/>
      <c r="AMP3" s="62"/>
      <c r="AMQ3" s="62"/>
      <c r="AMR3" s="62"/>
      <c r="AMS3" s="62"/>
      <c r="AMT3" s="62"/>
      <c r="AMU3" s="62"/>
      <c r="AMV3" s="62"/>
      <c r="AMW3" s="62"/>
      <c r="AMX3" s="62"/>
      <c r="AMY3" s="62"/>
      <c r="AMZ3" s="62"/>
      <c r="ANA3" s="62"/>
      <c r="ANB3" s="62"/>
      <c r="ANC3" s="62"/>
      <c r="AND3" s="62"/>
      <c r="ANE3" s="62"/>
      <c r="ANF3" s="62"/>
      <c r="ANG3" s="62"/>
      <c r="ANH3" s="62"/>
      <c r="ANI3" s="62"/>
      <c r="ANJ3" s="62"/>
      <c r="ANK3" s="62"/>
      <c r="ANL3" s="62"/>
      <c r="ANM3" s="62"/>
      <c r="ANN3" s="62"/>
      <c r="ANO3" s="62"/>
      <c r="ANP3" s="62"/>
      <c r="ANQ3" s="62"/>
      <c r="ANR3" s="62"/>
      <c r="ANS3" s="62"/>
      <c r="ANT3" s="62"/>
      <c r="ANU3" s="62"/>
      <c r="ANV3" s="62"/>
      <c r="ANW3" s="62"/>
      <c r="ANX3" s="62"/>
      <c r="ANY3" s="62"/>
      <c r="ANZ3" s="62"/>
      <c r="AOA3" s="62"/>
      <c r="AOB3" s="62"/>
      <c r="AOC3" s="62"/>
      <c r="AOD3" s="62"/>
      <c r="AOE3" s="62"/>
      <c r="AOF3" s="62"/>
      <c r="AOG3" s="62"/>
      <c r="AOH3" s="62"/>
      <c r="AOI3" s="62"/>
      <c r="AOJ3" s="62"/>
      <c r="AOK3" s="62"/>
      <c r="AOL3" s="62"/>
      <c r="AOM3" s="62"/>
      <c r="AON3" s="62"/>
      <c r="AOO3" s="62"/>
      <c r="AOP3" s="62"/>
      <c r="AOQ3" s="62"/>
      <c r="AOR3" s="62"/>
      <c r="AOS3" s="62"/>
      <c r="AOT3" s="62"/>
      <c r="AOU3" s="62"/>
      <c r="AOV3" s="62"/>
      <c r="AOW3" s="62"/>
      <c r="AOX3" s="62"/>
      <c r="AOY3" s="62"/>
      <c r="AOZ3" s="62"/>
      <c r="APA3" s="62"/>
      <c r="APB3" s="62"/>
      <c r="APC3" s="62"/>
      <c r="APD3" s="62"/>
      <c r="APE3" s="62"/>
      <c r="APF3" s="62"/>
      <c r="APG3" s="62"/>
      <c r="APH3" s="62"/>
      <c r="API3" s="62"/>
      <c r="APJ3" s="62"/>
      <c r="APK3" s="62"/>
      <c r="APL3" s="62"/>
      <c r="APM3" s="62"/>
      <c r="APN3" s="62"/>
      <c r="APO3" s="62"/>
      <c r="APP3" s="62"/>
      <c r="APQ3" s="62"/>
      <c r="APR3" s="62"/>
      <c r="APS3" s="62"/>
      <c r="APT3" s="62"/>
      <c r="APU3" s="62"/>
      <c r="APV3" s="62"/>
      <c r="APW3" s="62"/>
      <c r="APX3" s="62"/>
      <c r="APY3" s="62"/>
      <c r="APZ3" s="62"/>
      <c r="AQA3" s="62"/>
      <c r="AQB3" s="62"/>
      <c r="AQC3" s="62"/>
      <c r="AQD3" s="62"/>
      <c r="AQE3" s="62"/>
      <c r="AQF3" s="62"/>
      <c r="AQG3" s="62"/>
      <c r="AQH3" s="62"/>
      <c r="AQI3" s="62"/>
      <c r="AQJ3" s="62"/>
      <c r="AQK3" s="62"/>
      <c r="AQL3" s="62"/>
      <c r="AQM3" s="62"/>
      <c r="AQN3" s="62"/>
      <c r="AQO3" s="62"/>
      <c r="AQP3" s="62"/>
      <c r="AQQ3" s="62"/>
      <c r="AQR3" s="62"/>
      <c r="AQS3" s="62"/>
      <c r="AQT3" s="62"/>
      <c r="AQU3" s="62"/>
      <c r="AQV3" s="62"/>
      <c r="AQW3" s="62"/>
      <c r="AQX3" s="62"/>
      <c r="AQY3" s="62"/>
      <c r="AQZ3" s="62"/>
      <c r="ARA3" s="62"/>
      <c r="ARB3" s="62"/>
      <c r="ARC3" s="62"/>
      <c r="ARD3" s="62"/>
      <c r="ARE3" s="62"/>
      <c r="ARF3" s="62"/>
      <c r="ARG3" s="62"/>
      <c r="ARH3" s="62"/>
      <c r="ARI3" s="62"/>
      <c r="ARJ3" s="62"/>
      <c r="ARK3" s="62"/>
      <c r="ARL3" s="62"/>
      <c r="ARM3" s="62"/>
      <c r="ARN3" s="62"/>
      <c r="ARO3" s="62"/>
      <c r="ARP3" s="62"/>
      <c r="ARQ3" s="62"/>
      <c r="ARR3" s="62"/>
      <c r="ARS3" s="62"/>
      <c r="ART3" s="62"/>
      <c r="ARU3" s="62"/>
      <c r="ARV3" s="62"/>
      <c r="ARW3" s="62"/>
      <c r="ARX3" s="62"/>
      <c r="ARY3" s="62"/>
      <c r="ARZ3" s="62"/>
      <c r="ASA3" s="62"/>
      <c r="ASB3" s="62"/>
      <c r="ASC3" s="62"/>
      <c r="ASD3" s="62"/>
      <c r="ASE3" s="62"/>
      <c r="ASF3" s="62"/>
      <c r="ASG3" s="62"/>
      <c r="ASH3" s="62"/>
      <c r="ASI3" s="62"/>
      <c r="ASJ3" s="62"/>
      <c r="ASK3" s="62"/>
      <c r="ASL3" s="62"/>
      <c r="ASM3" s="62"/>
      <c r="ASN3" s="62"/>
      <c r="ASO3" s="62"/>
      <c r="ASP3" s="62"/>
      <c r="ASQ3" s="62"/>
      <c r="ASR3" s="62"/>
      <c r="ASS3" s="62"/>
      <c r="AST3" s="62"/>
      <c r="ASU3" s="62"/>
      <c r="ASV3" s="62"/>
      <c r="ASW3" s="62"/>
      <c r="ASX3" s="62"/>
      <c r="ASY3" s="62"/>
      <c r="ASZ3" s="62"/>
      <c r="ATA3" s="62"/>
      <c r="ATB3" s="62"/>
      <c r="ATC3" s="62"/>
      <c r="ATD3" s="62"/>
      <c r="ATE3" s="62"/>
      <c r="ATF3" s="62"/>
      <c r="ATG3" s="62"/>
      <c r="ATH3" s="62"/>
      <c r="ATI3" s="62"/>
      <c r="ATJ3" s="62"/>
      <c r="ATK3" s="62"/>
      <c r="ATL3" s="62"/>
      <c r="ATM3" s="62"/>
      <c r="ATN3" s="62"/>
      <c r="ATO3" s="62"/>
      <c r="ATP3" s="62"/>
      <c r="ATQ3" s="62"/>
      <c r="ATR3" s="62"/>
      <c r="ATS3" s="62"/>
      <c r="ATT3" s="62"/>
      <c r="ATU3" s="62"/>
      <c r="ATV3" s="62"/>
      <c r="ATW3" s="62"/>
      <c r="ATX3" s="62"/>
      <c r="ATY3" s="62"/>
      <c r="ATZ3" s="62"/>
      <c r="AUA3" s="62"/>
      <c r="AUB3" s="62"/>
      <c r="AUC3" s="62"/>
      <c r="AUD3" s="62"/>
      <c r="AUE3" s="62"/>
      <c r="AUF3" s="62"/>
      <c r="AUG3" s="62"/>
      <c r="AUH3" s="62"/>
      <c r="AUI3" s="62"/>
      <c r="AUJ3" s="62"/>
      <c r="AUK3" s="62"/>
      <c r="AUL3" s="62"/>
      <c r="AUM3" s="62"/>
      <c r="AUN3" s="62"/>
      <c r="AUO3" s="62"/>
      <c r="AUP3" s="62"/>
      <c r="AUQ3" s="62"/>
      <c r="AUR3" s="62"/>
      <c r="AUS3" s="62"/>
      <c r="AUT3" s="62"/>
      <c r="AUU3" s="62"/>
      <c r="AUV3" s="62"/>
      <c r="AUW3" s="62"/>
      <c r="AUX3" s="62"/>
      <c r="AUY3" s="62"/>
      <c r="AUZ3" s="62"/>
      <c r="AVA3" s="62"/>
      <c r="AVB3" s="62"/>
      <c r="AVC3" s="62"/>
      <c r="AVD3" s="62"/>
      <c r="AVE3" s="62"/>
      <c r="AVF3" s="62"/>
      <c r="AVG3" s="62"/>
      <c r="AVH3" s="62"/>
      <c r="AVI3" s="62"/>
      <c r="AVJ3" s="62"/>
      <c r="AVK3" s="62"/>
      <c r="AVL3" s="62"/>
      <c r="AVM3" s="62"/>
      <c r="AVN3" s="62"/>
      <c r="AVO3" s="62"/>
      <c r="AVP3" s="62"/>
      <c r="AVQ3" s="62"/>
      <c r="AVR3" s="62"/>
      <c r="AVS3" s="62"/>
      <c r="AVT3" s="62"/>
      <c r="AVU3" s="62"/>
      <c r="AVV3" s="62"/>
      <c r="AVW3" s="62"/>
      <c r="AVX3" s="62"/>
      <c r="AVY3" s="62"/>
      <c r="AVZ3" s="62"/>
      <c r="AWA3" s="62"/>
      <c r="AWB3" s="62"/>
      <c r="AWC3" s="62"/>
      <c r="AWD3" s="62"/>
      <c r="AWE3" s="62"/>
      <c r="AWF3" s="62"/>
      <c r="AWG3" s="62"/>
      <c r="AWH3" s="62"/>
      <c r="AWI3" s="62"/>
      <c r="AWJ3" s="62"/>
      <c r="AWK3" s="62"/>
      <c r="AWL3" s="62"/>
      <c r="AWM3" s="62"/>
      <c r="AWN3" s="62"/>
      <c r="AWO3" s="62"/>
      <c r="AWP3" s="62"/>
      <c r="AWQ3" s="62"/>
      <c r="AWR3" s="62"/>
      <c r="AWS3" s="62"/>
      <c r="AWT3" s="62"/>
      <c r="AWU3" s="62"/>
      <c r="AWV3" s="62"/>
      <c r="AWW3" s="62"/>
      <c r="AWX3" s="62"/>
      <c r="AWY3" s="62"/>
      <c r="AWZ3" s="62"/>
      <c r="AXA3" s="62"/>
      <c r="AXB3" s="62"/>
      <c r="AXC3" s="62"/>
      <c r="AXD3" s="62"/>
      <c r="AXE3" s="62"/>
      <c r="AXF3" s="62"/>
      <c r="AXG3" s="62"/>
      <c r="AXH3" s="62"/>
      <c r="AXI3" s="62"/>
      <c r="AXJ3" s="62"/>
      <c r="AXK3" s="62"/>
      <c r="AXL3" s="62"/>
      <c r="AXM3" s="62"/>
      <c r="AXN3" s="62"/>
      <c r="AXO3" s="62"/>
      <c r="AXP3" s="62"/>
      <c r="AXQ3" s="62"/>
      <c r="AXR3" s="62"/>
      <c r="AXS3" s="62"/>
      <c r="AXT3" s="62"/>
      <c r="AXU3" s="62"/>
      <c r="AXV3" s="62"/>
      <c r="AXW3" s="62"/>
      <c r="AXX3" s="62"/>
      <c r="AXY3" s="62"/>
      <c r="AXZ3" s="62"/>
      <c r="AYA3" s="62"/>
      <c r="AYB3" s="62"/>
      <c r="AYC3" s="62"/>
      <c r="AYD3" s="62"/>
      <c r="AYE3" s="62"/>
      <c r="AYF3" s="62"/>
      <c r="AYG3" s="62"/>
      <c r="AYH3" s="62"/>
      <c r="AYI3" s="62"/>
      <c r="AYJ3" s="62"/>
      <c r="AYK3" s="62"/>
      <c r="AYL3" s="62"/>
      <c r="AYM3" s="62"/>
      <c r="AYN3" s="62"/>
      <c r="AYO3" s="62"/>
      <c r="AYP3" s="62"/>
      <c r="AYQ3" s="62"/>
      <c r="AYR3" s="62"/>
      <c r="AYS3" s="62"/>
      <c r="AYT3" s="62"/>
      <c r="AYU3" s="62"/>
      <c r="AYV3" s="62"/>
      <c r="AYW3" s="62"/>
      <c r="AYX3" s="62"/>
      <c r="AYY3" s="62"/>
      <c r="AYZ3" s="62"/>
      <c r="AZA3" s="62"/>
      <c r="AZB3" s="62"/>
      <c r="AZC3" s="62"/>
      <c r="AZD3" s="62"/>
      <c r="AZE3" s="62"/>
      <c r="AZF3" s="62"/>
      <c r="AZG3" s="62"/>
      <c r="AZH3" s="62"/>
      <c r="AZI3" s="62"/>
      <c r="AZJ3" s="62"/>
      <c r="AZK3" s="62"/>
      <c r="AZL3" s="62"/>
      <c r="AZM3" s="62"/>
      <c r="AZN3" s="62"/>
      <c r="AZO3" s="62"/>
      <c r="AZP3" s="62"/>
      <c r="AZQ3" s="62"/>
      <c r="AZR3" s="62"/>
      <c r="AZS3" s="62"/>
      <c r="AZT3" s="62"/>
      <c r="AZU3" s="62"/>
      <c r="AZV3" s="62"/>
      <c r="AZW3" s="62"/>
      <c r="AZX3" s="62"/>
      <c r="AZY3" s="62"/>
      <c r="AZZ3" s="62"/>
      <c r="BAA3" s="62"/>
      <c r="BAB3" s="62"/>
      <c r="BAC3" s="62"/>
      <c r="BAD3" s="62"/>
      <c r="BAE3" s="62"/>
      <c r="BAF3" s="62"/>
      <c r="BAG3" s="62"/>
      <c r="BAH3" s="62"/>
      <c r="BAI3" s="62"/>
      <c r="BAJ3" s="62"/>
      <c r="BAK3" s="62"/>
      <c r="BAL3" s="62"/>
      <c r="BAM3" s="62"/>
      <c r="BAN3" s="62"/>
      <c r="BAO3" s="62"/>
      <c r="BAP3" s="62"/>
      <c r="BAQ3" s="62"/>
      <c r="BAR3" s="62"/>
      <c r="BAS3" s="62"/>
      <c r="BAT3" s="62"/>
      <c r="BAU3" s="62"/>
      <c r="BAV3" s="62"/>
      <c r="BAW3" s="62"/>
      <c r="BAX3" s="62"/>
      <c r="BAY3" s="62"/>
      <c r="BAZ3" s="62"/>
      <c r="BBA3" s="62"/>
      <c r="BBB3" s="62"/>
      <c r="BBC3" s="62"/>
      <c r="BBD3" s="62"/>
      <c r="BBE3" s="62"/>
      <c r="BBF3" s="62"/>
      <c r="BBG3" s="62"/>
      <c r="BBH3" s="62"/>
      <c r="BBI3" s="62"/>
      <c r="BBJ3" s="62"/>
      <c r="BBK3" s="62"/>
      <c r="BBL3" s="62"/>
      <c r="BBM3" s="62"/>
      <c r="BBN3" s="62"/>
      <c r="BBO3" s="62"/>
      <c r="BBP3" s="62"/>
      <c r="BBQ3" s="62"/>
      <c r="BBR3" s="62"/>
      <c r="BBS3" s="62"/>
      <c r="BBT3" s="62"/>
      <c r="BBU3" s="62"/>
      <c r="BBV3" s="62"/>
      <c r="BBW3" s="62"/>
      <c r="BBX3" s="62"/>
      <c r="BBY3" s="62"/>
      <c r="BBZ3" s="62"/>
      <c r="BCA3" s="62"/>
      <c r="BCB3" s="62"/>
      <c r="BCC3" s="62"/>
      <c r="BCD3" s="62"/>
      <c r="BCE3" s="62"/>
      <c r="BCF3" s="62"/>
      <c r="BCG3" s="62"/>
      <c r="BCH3" s="62"/>
      <c r="BCI3" s="62"/>
      <c r="BCJ3" s="62"/>
      <c r="BCK3" s="62"/>
      <c r="BCL3" s="62"/>
      <c r="BCM3" s="62"/>
      <c r="BCN3" s="62"/>
      <c r="BCO3" s="62"/>
      <c r="BCP3" s="62"/>
      <c r="BCQ3" s="62"/>
      <c r="BCR3" s="62"/>
      <c r="BCS3" s="62"/>
      <c r="BCT3" s="62"/>
      <c r="BCU3" s="62"/>
      <c r="BCV3" s="62"/>
      <c r="BCW3" s="62"/>
      <c r="BCX3" s="62"/>
      <c r="BCY3" s="62"/>
      <c r="BCZ3" s="62"/>
      <c r="BDA3" s="62"/>
      <c r="BDB3" s="62"/>
      <c r="BDC3" s="62"/>
      <c r="BDD3" s="62"/>
      <c r="BDE3" s="62"/>
      <c r="BDF3" s="62"/>
      <c r="BDG3" s="62"/>
      <c r="BDH3" s="62"/>
      <c r="BDI3" s="62"/>
      <c r="BDJ3" s="62"/>
      <c r="BDK3" s="62"/>
      <c r="BDL3" s="62"/>
      <c r="BDM3" s="62"/>
      <c r="BDN3" s="62"/>
      <c r="BDO3" s="62"/>
      <c r="BDP3" s="62"/>
      <c r="BDQ3" s="62"/>
      <c r="BDR3" s="62"/>
      <c r="BDS3" s="62"/>
      <c r="BDT3" s="62"/>
      <c r="BDU3" s="62"/>
      <c r="BDV3" s="62"/>
      <c r="BDW3" s="62"/>
      <c r="BDX3" s="62"/>
      <c r="BDY3" s="62"/>
      <c r="BDZ3" s="62"/>
      <c r="BEA3" s="62"/>
      <c r="BEB3" s="62"/>
      <c r="BEC3" s="62"/>
      <c r="BED3" s="62"/>
      <c r="BEE3" s="62"/>
      <c r="BEF3" s="62"/>
      <c r="BEG3" s="62"/>
      <c r="BEH3" s="62"/>
      <c r="BEI3" s="62"/>
      <c r="BEJ3" s="62"/>
      <c r="BEK3" s="62"/>
      <c r="BEL3" s="62"/>
      <c r="BEM3" s="62"/>
      <c r="BEN3" s="62"/>
      <c r="BEO3" s="62"/>
      <c r="BEP3" s="62"/>
      <c r="BEQ3" s="62"/>
      <c r="BER3" s="62"/>
      <c r="BES3" s="62"/>
      <c r="BET3" s="62"/>
      <c r="BEU3" s="62"/>
      <c r="BEV3" s="62"/>
      <c r="BEW3" s="62"/>
      <c r="BEX3" s="62"/>
      <c r="BEY3" s="62"/>
      <c r="BEZ3" s="62"/>
      <c r="BFA3" s="62"/>
      <c r="BFB3" s="62"/>
      <c r="BFC3" s="62"/>
      <c r="BFD3" s="62"/>
      <c r="BFE3" s="62"/>
      <c r="BFF3" s="62"/>
      <c r="BFG3" s="62"/>
      <c r="BFH3" s="62"/>
      <c r="BFI3" s="62"/>
      <c r="BFJ3" s="62"/>
      <c r="BFK3" s="62"/>
      <c r="BFL3" s="62"/>
      <c r="BFM3" s="62"/>
      <c r="BFN3" s="62"/>
      <c r="BFO3" s="62"/>
      <c r="BFP3" s="62"/>
      <c r="BFQ3" s="62"/>
      <c r="BFR3" s="62"/>
      <c r="BFS3" s="62"/>
      <c r="BFT3" s="62"/>
      <c r="BFU3" s="62"/>
      <c r="BFV3" s="62"/>
      <c r="BFW3" s="62"/>
      <c r="BFX3" s="62"/>
      <c r="BFY3" s="62"/>
      <c r="BFZ3" s="62"/>
      <c r="BGA3" s="62"/>
      <c r="BGB3" s="62"/>
      <c r="BGC3" s="62"/>
      <c r="BGD3" s="62"/>
      <c r="BGE3" s="62"/>
      <c r="BGF3" s="62"/>
      <c r="BGG3" s="62"/>
      <c r="BGH3" s="62"/>
      <c r="BGI3" s="62"/>
      <c r="BGJ3" s="62"/>
      <c r="BGK3" s="62"/>
      <c r="BGL3" s="62"/>
      <c r="BGM3" s="62"/>
      <c r="BGN3" s="62"/>
      <c r="BGO3" s="62"/>
      <c r="BGP3" s="62"/>
      <c r="BGQ3" s="62"/>
      <c r="BGR3" s="62"/>
      <c r="BGS3" s="62"/>
      <c r="BGT3" s="62"/>
      <c r="BGU3" s="62"/>
      <c r="BGV3" s="62"/>
      <c r="BGW3" s="62"/>
      <c r="BGX3" s="62"/>
      <c r="BGY3" s="62"/>
      <c r="BGZ3" s="62"/>
      <c r="BHA3" s="62"/>
      <c r="BHB3" s="62"/>
      <c r="BHC3" s="62"/>
      <c r="BHD3" s="62"/>
      <c r="BHE3" s="62"/>
      <c r="BHF3" s="62"/>
      <c r="BHG3" s="62"/>
      <c r="BHH3" s="62"/>
      <c r="BHI3" s="62"/>
      <c r="BHJ3" s="62"/>
      <c r="BHK3" s="62"/>
      <c r="BHL3" s="62"/>
      <c r="BHM3" s="62"/>
      <c r="BHN3" s="62"/>
      <c r="BHO3" s="62"/>
      <c r="BHP3" s="62"/>
      <c r="BHQ3" s="62"/>
      <c r="BHR3" s="62"/>
      <c r="BHS3" s="62"/>
      <c r="BHT3" s="62"/>
      <c r="BHU3" s="62"/>
      <c r="BHV3" s="62"/>
      <c r="BHW3" s="62"/>
      <c r="BHX3" s="62"/>
      <c r="BHY3" s="62"/>
      <c r="BHZ3" s="62"/>
      <c r="BIA3" s="62"/>
      <c r="BIB3" s="62"/>
      <c r="BIC3" s="62"/>
      <c r="BID3" s="62"/>
      <c r="BIE3" s="62"/>
      <c r="BIF3" s="62"/>
      <c r="BIG3" s="62"/>
      <c r="BIH3" s="62"/>
      <c r="BII3" s="62"/>
      <c r="BIJ3" s="62"/>
      <c r="BIK3" s="62"/>
      <c r="BIL3" s="62"/>
      <c r="BIM3" s="62"/>
      <c r="BIN3" s="62"/>
      <c r="BIO3" s="62"/>
      <c r="BIP3" s="62"/>
      <c r="BIQ3" s="62"/>
      <c r="BIR3" s="62"/>
      <c r="BIS3" s="62"/>
      <c r="BIT3" s="62"/>
      <c r="BIU3" s="62"/>
      <c r="BIV3" s="62"/>
      <c r="BIW3" s="62"/>
      <c r="BIX3" s="62"/>
      <c r="BIY3" s="62"/>
      <c r="BIZ3" s="62"/>
      <c r="BJA3" s="62"/>
      <c r="BJB3" s="62"/>
      <c r="BJC3" s="62"/>
      <c r="BJD3" s="62"/>
      <c r="BJE3" s="62"/>
      <c r="BJF3" s="62"/>
      <c r="BJG3" s="62"/>
      <c r="BJH3" s="62"/>
      <c r="BJI3" s="62"/>
      <c r="BJJ3" s="62"/>
      <c r="BJK3" s="62"/>
      <c r="BJL3" s="62"/>
      <c r="BJM3" s="62"/>
      <c r="BJN3" s="62"/>
      <c r="BJO3" s="62"/>
      <c r="BJP3" s="62"/>
      <c r="BJQ3" s="62"/>
      <c r="BJR3" s="62"/>
      <c r="BJS3" s="62"/>
      <c r="BJT3" s="62"/>
      <c r="BJU3" s="62"/>
      <c r="BJV3" s="62"/>
      <c r="BJW3" s="62"/>
      <c r="BJX3" s="62"/>
      <c r="BJY3" s="62"/>
      <c r="BJZ3" s="62"/>
      <c r="BKA3" s="62"/>
      <c r="BKB3" s="62"/>
      <c r="BKC3" s="62"/>
      <c r="BKD3" s="62"/>
      <c r="BKE3" s="62"/>
      <c r="BKF3" s="62"/>
      <c r="BKG3" s="62"/>
      <c r="BKH3" s="62"/>
      <c r="BKI3" s="62"/>
      <c r="BKJ3" s="62"/>
      <c r="BKK3" s="62"/>
      <c r="BKL3" s="62"/>
      <c r="BKM3" s="62"/>
      <c r="BKN3" s="62"/>
      <c r="BKO3" s="62"/>
      <c r="BKP3" s="62"/>
      <c r="BKQ3" s="62"/>
      <c r="BKR3" s="62"/>
      <c r="BKS3" s="62"/>
      <c r="BKT3" s="62"/>
      <c r="BKU3" s="62"/>
      <c r="BKV3" s="62"/>
      <c r="BKW3" s="62"/>
      <c r="BKX3" s="62"/>
      <c r="BKY3" s="62"/>
      <c r="BKZ3" s="62"/>
      <c r="BLA3" s="62"/>
      <c r="BLB3" s="62"/>
      <c r="BLC3" s="62"/>
      <c r="BLD3" s="62"/>
      <c r="BLE3" s="62"/>
      <c r="BLF3" s="62"/>
      <c r="BLG3" s="62"/>
      <c r="BLH3" s="62"/>
      <c r="BLI3" s="62"/>
      <c r="BLJ3" s="62"/>
      <c r="BLK3" s="62"/>
      <c r="BLL3" s="62"/>
      <c r="BLM3" s="62"/>
      <c r="BLN3" s="62"/>
      <c r="BLO3" s="62"/>
      <c r="BLP3" s="62"/>
      <c r="BLQ3" s="62"/>
      <c r="BLR3" s="62"/>
      <c r="BLS3" s="62"/>
      <c r="BLT3" s="62"/>
      <c r="BLU3" s="62"/>
      <c r="BLV3" s="62"/>
      <c r="BLW3" s="62"/>
      <c r="BLX3" s="62"/>
      <c r="BLY3" s="62"/>
      <c r="BLZ3" s="62"/>
      <c r="BMA3" s="62"/>
      <c r="BMB3" s="62"/>
      <c r="BMC3" s="62"/>
      <c r="BMD3" s="62"/>
      <c r="BME3" s="62"/>
      <c r="BMF3" s="62"/>
      <c r="BMG3" s="62"/>
      <c r="BMH3" s="62"/>
      <c r="BMI3" s="62"/>
      <c r="BMJ3" s="62"/>
      <c r="BMK3" s="62"/>
      <c r="BML3" s="62"/>
      <c r="BMM3" s="62"/>
      <c r="BMN3" s="62"/>
      <c r="BMO3" s="62"/>
      <c r="BMP3" s="62"/>
      <c r="BMQ3" s="62"/>
      <c r="BMR3" s="62"/>
      <c r="BMS3" s="62"/>
      <c r="BMT3" s="62"/>
      <c r="BMU3" s="62"/>
      <c r="BMV3" s="62"/>
      <c r="BMW3" s="62"/>
      <c r="BMX3" s="62"/>
      <c r="BMY3" s="62"/>
      <c r="BMZ3" s="62"/>
      <c r="BNA3" s="62"/>
      <c r="BNB3" s="62"/>
      <c r="BNC3" s="62"/>
      <c r="BND3" s="62"/>
      <c r="BNE3" s="62"/>
      <c r="BNF3" s="62"/>
      <c r="BNG3" s="62"/>
      <c r="BNH3" s="62"/>
      <c r="BNI3" s="62"/>
      <c r="BNJ3" s="62"/>
      <c r="BNK3" s="62"/>
      <c r="BNL3" s="62"/>
      <c r="BNM3" s="62"/>
      <c r="BNN3" s="62"/>
      <c r="BNO3" s="62"/>
      <c r="BNP3" s="62"/>
      <c r="BNQ3" s="62"/>
      <c r="BNR3" s="62"/>
      <c r="BNS3" s="62"/>
      <c r="BNT3" s="62"/>
      <c r="BNU3" s="62"/>
      <c r="BNV3" s="62"/>
      <c r="BNW3" s="62"/>
      <c r="BNX3" s="62"/>
      <c r="BNY3" s="62"/>
      <c r="BNZ3" s="62"/>
      <c r="BOA3" s="62"/>
      <c r="BOB3" s="62"/>
      <c r="BOC3" s="62"/>
      <c r="BOD3" s="62"/>
      <c r="BOE3" s="62"/>
      <c r="BOF3" s="62"/>
      <c r="BOG3" s="62"/>
      <c r="BOH3" s="62"/>
      <c r="BOI3" s="62"/>
      <c r="BOJ3" s="62"/>
      <c r="BOK3" s="62"/>
      <c r="BOL3" s="62"/>
      <c r="BOM3" s="62"/>
      <c r="BON3" s="62"/>
      <c r="BOO3" s="62"/>
      <c r="BOP3" s="62"/>
      <c r="BOQ3" s="62"/>
      <c r="BOR3" s="62"/>
      <c r="BOS3" s="62"/>
      <c r="BOT3" s="62"/>
      <c r="BOU3" s="62"/>
      <c r="BOV3" s="62"/>
      <c r="BOW3" s="62"/>
      <c r="BOX3" s="62"/>
      <c r="BOY3" s="62"/>
      <c r="BOZ3" s="62"/>
      <c r="BPA3" s="62"/>
      <c r="BPB3" s="62"/>
      <c r="BPC3" s="62"/>
      <c r="BPD3" s="62"/>
      <c r="BPE3" s="62"/>
      <c r="BPF3" s="62"/>
      <c r="BPG3" s="62"/>
      <c r="BPH3" s="62"/>
      <c r="BPI3" s="62"/>
      <c r="BPJ3" s="62"/>
      <c r="BPK3" s="62"/>
      <c r="BPL3" s="62"/>
      <c r="BPM3" s="62"/>
      <c r="BPN3" s="62"/>
      <c r="BPO3" s="62"/>
      <c r="BPP3" s="62"/>
      <c r="BPQ3" s="62"/>
      <c r="BPR3" s="62"/>
      <c r="BPS3" s="62"/>
      <c r="BPT3" s="62"/>
      <c r="BPU3" s="62"/>
      <c r="BPV3" s="62"/>
      <c r="BPW3" s="62"/>
      <c r="BPX3" s="62"/>
      <c r="BPY3" s="62"/>
      <c r="BPZ3" s="62"/>
      <c r="BQA3" s="62"/>
      <c r="BQB3" s="62"/>
      <c r="BQC3" s="62"/>
      <c r="BQD3" s="62"/>
      <c r="BQE3" s="62"/>
      <c r="BQF3" s="62"/>
      <c r="BQG3" s="62"/>
      <c r="BQH3" s="62"/>
      <c r="BQI3" s="62"/>
      <c r="BQJ3" s="62"/>
      <c r="BQK3" s="62"/>
      <c r="BQL3" s="62"/>
      <c r="BQM3" s="62"/>
      <c r="BQN3" s="62"/>
      <c r="BQO3" s="62"/>
      <c r="BQP3" s="62"/>
      <c r="BQQ3" s="62"/>
      <c r="BQR3" s="62"/>
      <c r="BQS3" s="62"/>
      <c r="BQT3" s="62"/>
      <c r="BQU3" s="62"/>
      <c r="BQV3" s="62"/>
      <c r="BQW3" s="62"/>
      <c r="BQX3" s="62"/>
      <c r="BQY3" s="62"/>
      <c r="BQZ3" s="62"/>
      <c r="BRA3" s="62"/>
      <c r="BRB3" s="62"/>
      <c r="BRC3" s="62"/>
      <c r="BRD3" s="62"/>
      <c r="BRE3" s="62"/>
      <c r="BRF3" s="62"/>
      <c r="BRG3" s="62"/>
      <c r="BRH3" s="62"/>
      <c r="BRI3" s="62"/>
      <c r="BRJ3" s="62"/>
      <c r="BRK3" s="62"/>
      <c r="BRL3" s="62"/>
      <c r="BRM3" s="62"/>
      <c r="BRN3" s="62"/>
      <c r="BRO3" s="62"/>
      <c r="BRP3" s="62"/>
      <c r="BRQ3" s="62"/>
      <c r="BRR3" s="62"/>
      <c r="BRS3" s="62"/>
      <c r="BRT3" s="62"/>
      <c r="BRU3" s="62"/>
      <c r="BRV3" s="62"/>
      <c r="BRW3" s="62"/>
      <c r="BRX3" s="62"/>
      <c r="BRY3" s="62"/>
      <c r="BRZ3" s="62"/>
      <c r="BSA3" s="62"/>
      <c r="BSB3" s="62"/>
      <c r="BSC3" s="62"/>
      <c r="BSD3" s="62"/>
      <c r="BSE3" s="62"/>
      <c r="BSF3" s="62"/>
      <c r="BSG3" s="62"/>
      <c r="BSH3" s="62"/>
      <c r="BSI3" s="62"/>
      <c r="BSJ3" s="62"/>
      <c r="BSK3" s="62"/>
      <c r="BSL3" s="62"/>
      <c r="BSM3" s="62"/>
      <c r="BSN3" s="62"/>
      <c r="BSO3" s="62"/>
      <c r="BSP3" s="62"/>
      <c r="BSQ3" s="62"/>
      <c r="BSR3" s="62"/>
      <c r="BSS3" s="62"/>
      <c r="BST3" s="62"/>
      <c r="BSU3" s="62"/>
      <c r="BSV3" s="62"/>
      <c r="BSW3" s="62"/>
      <c r="BSX3" s="62"/>
      <c r="BSY3" s="62"/>
      <c r="BSZ3" s="62"/>
      <c r="BTA3" s="62"/>
      <c r="BTB3" s="62"/>
      <c r="BTC3" s="62"/>
      <c r="BTD3" s="62"/>
      <c r="BTE3" s="62"/>
      <c r="BTF3" s="62"/>
      <c r="BTG3" s="62"/>
      <c r="BTH3" s="62"/>
      <c r="BTI3" s="62"/>
      <c r="BTJ3" s="62"/>
      <c r="BTK3" s="62"/>
      <c r="BTL3" s="62"/>
      <c r="BTM3" s="62"/>
      <c r="BTN3" s="62"/>
      <c r="BTO3" s="62"/>
      <c r="BTP3" s="62"/>
      <c r="BTQ3" s="62"/>
      <c r="BTR3" s="62"/>
      <c r="BTS3" s="62"/>
      <c r="BTT3" s="62"/>
      <c r="BTU3" s="62"/>
      <c r="BTV3" s="62"/>
      <c r="BTW3" s="62"/>
      <c r="BTX3" s="62"/>
      <c r="BTY3" s="62"/>
      <c r="BTZ3" s="62"/>
      <c r="BUA3" s="62"/>
      <c r="BUB3" s="62"/>
      <c r="BUC3" s="62"/>
      <c r="BUD3" s="62"/>
      <c r="BUE3" s="62"/>
      <c r="BUF3" s="62"/>
      <c r="BUG3" s="62"/>
      <c r="BUH3" s="62"/>
      <c r="BUI3" s="62"/>
      <c r="BUJ3" s="62"/>
      <c r="BUK3" s="62"/>
      <c r="BUL3" s="62"/>
      <c r="BUM3" s="62"/>
      <c r="BUN3" s="62"/>
      <c r="BUO3" s="62"/>
      <c r="BUP3" s="62"/>
      <c r="BUQ3" s="62"/>
      <c r="BUR3" s="62"/>
      <c r="BUS3" s="62"/>
      <c r="BUT3" s="62"/>
      <c r="BUU3" s="62"/>
      <c r="BUV3" s="62"/>
      <c r="BUW3" s="62"/>
      <c r="BUX3" s="62"/>
      <c r="BUY3" s="62"/>
      <c r="BUZ3" s="62"/>
      <c r="BVA3" s="62"/>
      <c r="BVB3" s="62"/>
      <c r="BVC3" s="62"/>
      <c r="BVD3" s="62"/>
      <c r="BVE3" s="62"/>
      <c r="BVF3" s="62"/>
      <c r="BVG3" s="62"/>
      <c r="BVH3" s="62"/>
      <c r="BVI3" s="62"/>
      <c r="BVJ3" s="62"/>
      <c r="BVK3" s="62"/>
      <c r="BVL3" s="62"/>
      <c r="BVM3" s="62"/>
      <c r="BVN3" s="62"/>
      <c r="BVO3" s="62"/>
      <c r="BVP3" s="62"/>
      <c r="BVQ3" s="62"/>
      <c r="BVR3" s="62"/>
      <c r="BVS3" s="62"/>
      <c r="BVT3" s="62"/>
      <c r="BVU3" s="62"/>
      <c r="BVV3" s="62"/>
      <c r="BVW3" s="62"/>
      <c r="BVX3" s="62"/>
      <c r="BVY3" s="62"/>
      <c r="BVZ3" s="62"/>
      <c r="BWA3" s="62"/>
      <c r="BWB3" s="62"/>
      <c r="BWC3" s="62"/>
      <c r="BWD3" s="62"/>
      <c r="BWE3" s="62"/>
      <c r="BWF3" s="62"/>
      <c r="BWG3" s="62"/>
      <c r="BWH3" s="62"/>
      <c r="BWI3" s="62"/>
      <c r="BWJ3" s="62"/>
      <c r="BWK3" s="62"/>
      <c r="BWL3" s="62"/>
      <c r="BWM3" s="62"/>
      <c r="BWN3" s="62"/>
      <c r="BWO3" s="62"/>
      <c r="BWP3" s="62"/>
      <c r="BWQ3" s="62"/>
      <c r="BWR3" s="62"/>
      <c r="BWS3" s="62"/>
      <c r="BWT3" s="62"/>
      <c r="BWU3" s="62"/>
      <c r="BWV3" s="62"/>
      <c r="BWW3" s="62"/>
      <c r="BWX3" s="62"/>
      <c r="BWY3" s="62"/>
      <c r="BWZ3" s="62"/>
      <c r="BXA3" s="62"/>
      <c r="BXB3" s="62"/>
      <c r="BXC3" s="62"/>
      <c r="BXD3" s="62"/>
      <c r="BXE3" s="62"/>
      <c r="BXF3" s="62"/>
      <c r="BXG3" s="62"/>
      <c r="BXH3" s="62"/>
      <c r="BXI3" s="62"/>
      <c r="BXJ3" s="62"/>
      <c r="BXK3" s="62"/>
      <c r="BXL3" s="62"/>
      <c r="BXM3" s="62"/>
      <c r="BXN3" s="62"/>
      <c r="BXO3" s="62"/>
      <c r="BXP3" s="62"/>
      <c r="BXQ3" s="62"/>
      <c r="BXR3" s="62"/>
      <c r="BXS3" s="62"/>
      <c r="BXT3" s="62"/>
      <c r="BXU3" s="62"/>
      <c r="BXV3" s="62"/>
      <c r="BXW3" s="62"/>
      <c r="BXX3" s="62"/>
      <c r="BXY3" s="62"/>
      <c r="BXZ3" s="62"/>
      <c r="BYA3" s="62"/>
      <c r="BYB3" s="62"/>
      <c r="BYC3" s="62"/>
      <c r="BYD3" s="62"/>
      <c r="BYE3" s="62"/>
      <c r="BYF3" s="62"/>
      <c r="BYG3" s="62"/>
      <c r="BYH3" s="62"/>
      <c r="BYI3" s="62"/>
      <c r="BYJ3" s="62"/>
      <c r="BYK3" s="62"/>
      <c r="BYL3" s="62"/>
      <c r="BYM3" s="62"/>
      <c r="BYN3" s="62"/>
      <c r="BYO3" s="62"/>
      <c r="BYP3" s="62"/>
      <c r="BYQ3" s="62"/>
      <c r="BYR3" s="62"/>
      <c r="BYS3" s="62"/>
      <c r="BYT3" s="62"/>
      <c r="BYU3" s="62"/>
      <c r="BYV3" s="62"/>
      <c r="BYW3" s="62"/>
      <c r="BYX3" s="62"/>
      <c r="BYY3" s="62"/>
      <c r="BYZ3" s="62"/>
      <c r="BZA3" s="62"/>
      <c r="BZB3" s="62"/>
      <c r="BZC3" s="62"/>
      <c r="BZD3" s="62"/>
      <c r="BZE3" s="62"/>
      <c r="BZF3" s="62"/>
      <c r="BZG3" s="62"/>
      <c r="BZH3" s="62"/>
      <c r="BZI3" s="62"/>
      <c r="BZJ3" s="62"/>
      <c r="BZK3" s="62"/>
      <c r="BZL3" s="62"/>
      <c r="BZM3" s="62"/>
      <c r="BZN3" s="62"/>
      <c r="BZO3" s="62"/>
      <c r="BZP3" s="62"/>
      <c r="BZQ3" s="62"/>
      <c r="BZR3" s="62"/>
      <c r="BZS3" s="62"/>
      <c r="BZT3" s="62"/>
      <c r="BZU3" s="62"/>
      <c r="BZV3" s="62"/>
      <c r="BZW3" s="62"/>
      <c r="BZX3" s="62"/>
      <c r="BZY3" s="62"/>
      <c r="BZZ3" s="62"/>
      <c r="CAA3" s="62"/>
      <c r="CAB3" s="62"/>
      <c r="CAC3" s="62"/>
      <c r="CAD3" s="62"/>
      <c r="CAE3" s="62"/>
      <c r="CAF3" s="62"/>
      <c r="CAG3" s="62"/>
      <c r="CAH3" s="62"/>
      <c r="CAI3" s="62"/>
      <c r="CAJ3" s="62"/>
      <c r="CAK3" s="62"/>
      <c r="CAL3" s="62"/>
      <c r="CAM3" s="62"/>
      <c r="CAN3" s="62"/>
      <c r="CAO3" s="62"/>
      <c r="CAP3" s="62"/>
      <c r="CAQ3" s="62"/>
      <c r="CAR3" s="62"/>
      <c r="CAS3" s="62"/>
      <c r="CAT3" s="62"/>
      <c r="CAU3" s="62"/>
      <c r="CAV3" s="62"/>
      <c r="CAW3" s="62"/>
      <c r="CAX3" s="62"/>
      <c r="CAY3" s="62"/>
      <c r="CAZ3" s="62"/>
      <c r="CBA3" s="62"/>
      <c r="CBB3" s="62"/>
      <c r="CBC3" s="62"/>
      <c r="CBD3" s="62"/>
      <c r="CBE3" s="62"/>
      <c r="CBF3" s="62"/>
      <c r="CBG3" s="62"/>
      <c r="CBH3" s="62"/>
      <c r="CBI3" s="62"/>
      <c r="CBJ3" s="62"/>
      <c r="CBK3" s="62"/>
      <c r="CBL3" s="62"/>
      <c r="CBM3" s="62"/>
      <c r="CBN3" s="62"/>
      <c r="CBO3" s="62"/>
      <c r="CBP3" s="62"/>
      <c r="CBQ3" s="62"/>
      <c r="CBR3" s="62"/>
      <c r="CBS3" s="62"/>
      <c r="CBT3" s="62"/>
      <c r="CBU3" s="62"/>
      <c r="CBV3" s="62"/>
      <c r="CBW3" s="62"/>
      <c r="CBX3" s="62"/>
      <c r="CBY3" s="62"/>
      <c r="CBZ3" s="62"/>
      <c r="CCA3" s="62"/>
      <c r="CCB3" s="62"/>
      <c r="CCC3" s="62"/>
      <c r="CCD3" s="62"/>
      <c r="CCE3" s="62"/>
      <c r="CCF3" s="62"/>
      <c r="CCG3" s="62"/>
      <c r="CCH3" s="62"/>
      <c r="CCI3" s="62"/>
      <c r="CCJ3" s="62"/>
      <c r="CCK3" s="62"/>
      <c r="CCL3" s="62"/>
      <c r="CCM3" s="62"/>
      <c r="CCN3" s="62"/>
      <c r="CCO3" s="62"/>
      <c r="CCP3" s="62"/>
      <c r="CCQ3" s="62"/>
      <c r="CCR3" s="62"/>
      <c r="CCS3" s="62"/>
      <c r="CCT3" s="62"/>
      <c r="CCU3" s="62"/>
      <c r="CCV3" s="62"/>
      <c r="CCW3" s="62"/>
      <c r="CCX3" s="62"/>
      <c r="CCY3" s="62"/>
      <c r="CCZ3" s="62"/>
      <c r="CDA3" s="62"/>
      <c r="CDB3" s="62"/>
      <c r="CDC3" s="62"/>
      <c r="CDD3" s="62"/>
      <c r="CDE3" s="62"/>
      <c r="CDF3" s="62"/>
      <c r="CDG3" s="62"/>
      <c r="CDH3" s="62"/>
      <c r="CDI3" s="62"/>
      <c r="CDJ3" s="62"/>
      <c r="CDK3" s="62"/>
      <c r="CDL3" s="62"/>
      <c r="CDM3" s="62"/>
      <c r="CDN3" s="62"/>
      <c r="CDO3" s="62"/>
      <c r="CDP3" s="62"/>
      <c r="CDQ3" s="62"/>
      <c r="CDR3" s="62"/>
      <c r="CDS3" s="62"/>
      <c r="CDT3" s="62"/>
      <c r="CDU3" s="62"/>
      <c r="CDV3" s="62"/>
      <c r="CDW3" s="62"/>
      <c r="CDX3" s="62"/>
      <c r="CDY3" s="62"/>
      <c r="CDZ3" s="62"/>
      <c r="CEA3" s="62"/>
      <c r="CEB3" s="62"/>
      <c r="CEC3" s="62"/>
      <c r="CED3" s="62"/>
      <c r="CEE3" s="62"/>
      <c r="CEF3" s="62"/>
      <c r="CEG3" s="62"/>
      <c r="CEH3" s="62"/>
      <c r="CEI3" s="62"/>
      <c r="CEJ3" s="62"/>
      <c r="CEK3" s="62"/>
      <c r="CEL3" s="62"/>
      <c r="CEM3" s="62"/>
      <c r="CEN3" s="62"/>
      <c r="CEO3" s="62"/>
      <c r="CEP3" s="62"/>
      <c r="CEQ3" s="62"/>
      <c r="CER3" s="62"/>
      <c r="CES3" s="62"/>
      <c r="CET3" s="62"/>
      <c r="CEU3" s="62"/>
      <c r="CEV3" s="62"/>
      <c r="CEW3" s="62"/>
      <c r="CEX3" s="62"/>
      <c r="CEY3" s="62"/>
      <c r="CEZ3" s="62"/>
      <c r="CFA3" s="62"/>
      <c r="CFB3" s="62"/>
      <c r="CFC3" s="62"/>
      <c r="CFD3" s="62"/>
      <c r="CFE3" s="62"/>
      <c r="CFF3" s="62"/>
      <c r="CFG3" s="62"/>
      <c r="CFH3" s="62"/>
      <c r="CFI3" s="62"/>
      <c r="CFJ3" s="62"/>
      <c r="CFK3" s="62"/>
      <c r="CFL3" s="62"/>
      <c r="CFM3" s="62"/>
      <c r="CFN3" s="62"/>
      <c r="CFO3" s="62"/>
      <c r="CFP3" s="62"/>
      <c r="CFQ3" s="62"/>
      <c r="CFR3" s="62"/>
      <c r="CFS3" s="62"/>
      <c r="CFT3" s="62"/>
      <c r="CFU3" s="62"/>
      <c r="CFV3" s="62"/>
      <c r="CFW3" s="62"/>
      <c r="CFX3" s="62"/>
      <c r="CFY3" s="62"/>
      <c r="CFZ3" s="62"/>
      <c r="CGA3" s="62"/>
      <c r="CGB3" s="62"/>
      <c r="CGC3" s="62"/>
      <c r="CGD3" s="62"/>
      <c r="CGE3" s="62"/>
      <c r="CGF3" s="62"/>
      <c r="CGG3" s="62"/>
      <c r="CGH3" s="62"/>
      <c r="CGI3" s="62"/>
      <c r="CGJ3" s="62"/>
      <c r="CGK3" s="62"/>
      <c r="CGL3" s="62"/>
      <c r="CGM3" s="62"/>
      <c r="CGN3" s="62"/>
      <c r="CGO3" s="62"/>
      <c r="CGP3" s="62"/>
      <c r="CGQ3" s="62"/>
      <c r="CGR3" s="62"/>
      <c r="CGS3" s="62"/>
      <c r="CGT3" s="62"/>
      <c r="CGU3" s="62"/>
      <c r="CGV3" s="62"/>
      <c r="CGW3" s="62"/>
      <c r="CGX3" s="62"/>
      <c r="CGY3" s="62"/>
      <c r="CGZ3" s="62"/>
      <c r="CHA3" s="62"/>
      <c r="CHB3" s="62"/>
      <c r="CHC3" s="62"/>
      <c r="CHD3" s="62"/>
      <c r="CHE3" s="62"/>
      <c r="CHF3" s="62"/>
      <c r="CHG3" s="62"/>
      <c r="CHH3" s="62"/>
      <c r="CHI3" s="62"/>
      <c r="CHJ3" s="62"/>
      <c r="CHK3" s="62"/>
      <c r="CHL3" s="62"/>
      <c r="CHM3" s="62"/>
      <c r="CHN3" s="62"/>
      <c r="CHO3" s="62"/>
      <c r="CHP3" s="62"/>
      <c r="CHQ3" s="62"/>
      <c r="CHR3" s="62"/>
      <c r="CHS3" s="62"/>
      <c r="CHT3" s="62"/>
      <c r="CHU3" s="62"/>
      <c r="CHV3" s="62"/>
      <c r="CHW3" s="62"/>
      <c r="CHX3" s="62"/>
      <c r="CHY3" s="62"/>
      <c r="CHZ3" s="62"/>
      <c r="CIA3" s="62"/>
      <c r="CIB3" s="62"/>
      <c r="CIC3" s="62"/>
      <c r="CID3" s="62"/>
      <c r="CIE3" s="62"/>
      <c r="CIF3" s="62"/>
      <c r="CIG3" s="62"/>
      <c r="CIH3" s="62"/>
      <c r="CII3" s="62"/>
      <c r="CIJ3" s="62"/>
      <c r="CIK3" s="62"/>
      <c r="CIL3" s="62"/>
      <c r="CIM3" s="62"/>
      <c r="CIN3" s="62"/>
      <c r="CIO3" s="62"/>
      <c r="CIP3" s="62"/>
      <c r="CIQ3" s="62"/>
      <c r="CIR3" s="62"/>
      <c r="CIS3" s="62"/>
      <c r="CIT3" s="62"/>
      <c r="CIU3" s="62"/>
      <c r="CIV3" s="62"/>
      <c r="CIW3" s="62"/>
      <c r="CIX3" s="62"/>
      <c r="CIY3" s="62"/>
      <c r="CIZ3" s="62"/>
      <c r="CJA3" s="62"/>
      <c r="CJB3" s="62"/>
      <c r="CJC3" s="62"/>
      <c r="CJD3" s="62"/>
      <c r="CJE3" s="62"/>
      <c r="CJF3" s="62"/>
      <c r="CJG3" s="62"/>
      <c r="CJH3" s="62"/>
      <c r="CJI3" s="62"/>
      <c r="CJJ3" s="62"/>
      <c r="CJK3" s="62"/>
      <c r="CJL3" s="62"/>
      <c r="CJM3" s="62"/>
      <c r="CJN3" s="62"/>
      <c r="CJO3" s="62"/>
      <c r="CJP3" s="62"/>
      <c r="CJQ3" s="62"/>
      <c r="CJR3" s="62"/>
      <c r="CJS3" s="62"/>
      <c r="CJT3" s="62"/>
      <c r="CJU3" s="62"/>
      <c r="CJV3" s="62"/>
      <c r="CJW3" s="62"/>
      <c r="CJX3" s="62"/>
      <c r="CJY3" s="62"/>
      <c r="CJZ3" s="62"/>
      <c r="CKA3" s="62"/>
      <c r="CKB3" s="62"/>
      <c r="CKC3" s="62"/>
      <c r="CKD3" s="62"/>
      <c r="CKE3" s="62"/>
      <c r="CKF3" s="62"/>
      <c r="CKG3" s="62"/>
      <c r="CKH3" s="62"/>
      <c r="CKI3" s="62"/>
      <c r="CKJ3" s="62"/>
      <c r="CKK3" s="62"/>
      <c r="CKL3" s="62"/>
      <c r="CKM3" s="62"/>
      <c r="CKN3" s="62"/>
      <c r="CKO3" s="62"/>
      <c r="CKP3" s="62"/>
      <c r="CKQ3" s="62"/>
      <c r="CKR3" s="62"/>
      <c r="CKS3" s="62"/>
      <c r="CKT3" s="62"/>
      <c r="CKU3" s="62"/>
      <c r="CKV3" s="62"/>
      <c r="CKW3" s="62"/>
      <c r="CKX3" s="62"/>
      <c r="CKY3" s="62"/>
      <c r="CKZ3" s="62"/>
      <c r="CLA3" s="62"/>
      <c r="CLB3" s="62"/>
      <c r="CLC3" s="62"/>
      <c r="CLD3" s="62"/>
      <c r="CLE3" s="62"/>
      <c r="CLF3" s="62"/>
      <c r="CLG3" s="62"/>
      <c r="CLH3" s="62"/>
      <c r="CLI3" s="62"/>
      <c r="CLJ3" s="62"/>
      <c r="CLK3" s="62"/>
      <c r="CLL3" s="62"/>
      <c r="CLM3" s="62"/>
      <c r="CLN3" s="62"/>
      <c r="CLO3" s="62"/>
      <c r="CLP3" s="62"/>
      <c r="CLQ3" s="62"/>
      <c r="CLR3" s="62"/>
      <c r="CLS3" s="62"/>
      <c r="CLT3" s="62"/>
      <c r="CLU3" s="62"/>
      <c r="CLV3" s="62"/>
      <c r="CLW3" s="62"/>
      <c r="CLX3" s="62"/>
      <c r="CLY3" s="62"/>
      <c r="CLZ3" s="62"/>
      <c r="CMA3" s="62"/>
      <c r="CMB3" s="62"/>
      <c r="CMC3" s="62"/>
      <c r="CMD3" s="62"/>
      <c r="CME3" s="62"/>
      <c r="CMF3" s="62"/>
      <c r="CMG3" s="62"/>
      <c r="CMH3" s="62"/>
      <c r="CMI3" s="62"/>
      <c r="CMJ3" s="62"/>
      <c r="CMK3" s="62"/>
      <c r="CML3" s="62"/>
      <c r="CMM3" s="62"/>
      <c r="CMN3" s="62"/>
      <c r="CMO3" s="62"/>
      <c r="CMP3" s="62"/>
      <c r="CMQ3" s="62"/>
      <c r="CMR3" s="62"/>
      <c r="CMS3" s="62"/>
      <c r="CMT3" s="62"/>
      <c r="CMU3" s="62"/>
      <c r="CMV3" s="62"/>
      <c r="CMW3" s="62"/>
      <c r="CMX3" s="62"/>
      <c r="CMY3" s="62"/>
      <c r="CMZ3" s="62"/>
      <c r="CNA3" s="62"/>
      <c r="CNB3" s="62"/>
      <c r="CNC3" s="62"/>
      <c r="CND3" s="62"/>
      <c r="CNE3" s="62"/>
      <c r="CNF3" s="62"/>
      <c r="CNG3" s="62"/>
      <c r="CNH3" s="62"/>
      <c r="CNI3" s="62"/>
      <c r="CNJ3" s="62"/>
      <c r="CNK3" s="62"/>
      <c r="CNL3" s="62"/>
      <c r="CNM3" s="62"/>
      <c r="CNN3" s="62"/>
      <c r="CNO3" s="62"/>
      <c r="CNP3" s="62"/>
      <c r="CNQ3" s="62"/>
      <c r="CNR3" s="62"/>
      <c r="CNS3" s="62"/>
      <c r="CNT3" s="62"/>
      <c r="CNU3" s="62"/>
      <c r="CNV3" s="62"/>
      <c r="CNW3" s="62"/>
      <c r="CNX3" s="62"/>
      <c r="CNY3" s="62"/>
      <c r="CNZ3" s="62"/>
      <c r="COA3" s="62"/>
      <c r="COB3" s="62"/>
      <c r="COC3" s="62"/>
      <c r="COD3" s="62"/>
      <c r="COE3" s="62"/>
      <c r="COF3" s="62"/>
      <c r="COG3" s="62"/>
      <c r="COH3" s="62"/>
      <c r="COI3" s="62"/>
      <c r="COJ3" s="62"/>
      <c r="COK3" s="62"/>
      <c r="COL3" s="62"/>
      <c r="COM3" s="62"/>
      <c r="CON3" s="62"/>
      <c r="COO3" s="62"/>
      <c r="COP3" s="62"/>
      <c r="COQ3" s="62"/>
      <c r="COR3" s="62"/>
      <c r="COS3" s="62"/>
      <c r="COT3" s="62"/>
      <c r="COU3" s="62"/>
      <c r="COV3" s="62"/>
      <c r="COW3" s="62"/>
      <c r="COX3" s="62"/>
      <c r="COY3" s="62"/>
      <c r="COZ3" s="62"/>
      <c r="CPA3" s="62"/>
      <c r="CPB3" s="62"/>
      <c r="CPC3" s="62"/>
      <c r="CPD3" s="62"/>
      <c r="CPE3" s="62"/>
      <c r="CPF3" s="62"/>
      <c r="CPG3" s="62"/>
      <c r="CPH3" s="62"/>
      <c r="CPI3" s="62"/>
      <c r="CPJ3" s="62"/>
      <c r="CPK3" s="62"/>
      <c r="CPL3" s="62"/>
      <c r="CPM3" s="62"/>
      <c r="CPN3" s="62"/>
      <c r="CPO3" s="62"/>
      <c r="CPP3" s="62"/>
      <c r="CPQ3" s="62"/>
      <c r="CPR3" s="62"/>
      <c r="CPS3" s="62"/>
      <c r="CPT3" s="62"/>
      <c r="CPU3" s="62"/>
      <c r="CPV3" s="62"/>
      <c r="CPW3" s="62"/>
      <c r="CPX3" s="62"/>
      <c r="CPY3" s="62"/>
      <c r="CPZ3" s="62"/>
      <c r="CQA3" s="62"/>
      <c r="CQB3" s="62"/>
      <c r="CQC3" s="62"/>
      <c r="CQD3" s="62"/>
      <c r="CQE3" s="62"/>
      <c r="CQF3" s="62"/>
      <c r="CQG3" s="62"/>
      <c r="CQH3" s="62"/>
      <c r="CQI3" s="62"/>
      <c r="CQJ3" s="62"/>
      <c r="CQK3" s="62"/>
      <c r="CQL3" s="62"/>
      <c r="CQM3" s="62"/>
      <c r="CQN3" s="62"/>
      <c r="CQO3" s="62"/>
      <c r="CQP3" s="62"/>
      <c r="CQQ3" s="62"/>
      <c r="CQR3" s="62"/>
      <c r="CQS3" s="62"/>
      <c r="CQT3" s="62"/>
      <c r="CQU3" s="62"/>
      <c r="CQV3" s="62"/>
      <c r="CQW3" s="62"/>
      <c r="CQX3" s="62"/>
      <c r="CQY3" s="62"/>
      <c r="CQZ3" s="62"/>
      <c r="CRA3" s="62"/>
      <c r="CRB3" s="62"/>
      <c r="CRC3" s="62"/>
      <c r="CRD3" s="62"/>
      <c r="CRE3" s="62"/>
      <c r="CRF3" s="62"/>
      <c r="CRG3" s="62"/>
      <c r="CRH3" s="62"/>
      <c r="CRI3" s="62"/>
      <c r="CRJ3" s="62"/>
      <c r="CRK3" s="62"/>
      <c r="CRL3" s="62"/>
      <c r="CRM3" s="62"/>
      <c r="CRN3" s="62"/>
      <c r="CRO3" s="62"/>
      <c r="CRP3" s="62"/>
      <c r="CRQ3" s="62"/>
      <c r="CRR3" s="62"/>
      <c r="CRS3" s="62"/>
      <c r="CRT3" s="62"/>
      <c r="CRU3" s="62"/>
      <c r="CRV3" s="62"/>
      <c r="CRW3" s="62"/>
      <c r="CRX3" s="62"/>
      <c r="CRY3" s="62"/>
      <c r="CRZ3" s="62"/>
      <c r="CSA3" s="62"/>
      <c r="CSB3" s="62"/>
      <c r="CSC3" s="62"/>
      <c r="CSD3" s="62"/>
      <c r="CSE3" s="62"/>
      <c r="CSF3" s="62"/>
      <c r="CSG3" s="62"/>
      <c r="CSH3" s="62"/>
      <c r="CSI3" s="62"/>
      <c r="CSJ3" s="62"/>
      <c r="CSK3" s="62"/>
      <c r="CSL3" s="62"/>
      <c r="CSM3" s="62"/>
      <c r="CSN3" s="62"/>
      <c r="CSO3" s="62"/>
      <c r="CSP3" s="62"/>
      <c r="CSQ3" s="62"/>
      <c r="CSR3" s="62"/>
      <c r="CSS3" s="62"/>
      <c r="CST3" s="62"/>
      <c r="CSU3" s="62"/>
      <c r="CSV3" s="62"/>
      <c r="CSW3" s="62"/>
      <c r="CSX3" s="62"/>
      <c r="CSY3" s="62"/>
      <c r="CSZ3" s="62"/>
      <c r="CTA3" s="62"/>
      <c r="CTB3" s="62"/>
      <c r="CTC3" s="62"/>
      <c r="CTD3" s="62"/>
      <c r="CTE3" s="62"/>
      <c r="CTF3" s="62"/>
      <c r="CTG3" s="62"/>
      <c r="CTH3" s="62"/>
      <c r="CTI3" s="62"/>
      <c r="CTJ3" s="62"/>
      <c r="CTK3" s="62"/>
      <c r="CTL3" s="62"/>
      <c r="CTM3" s="62"/>
      <c r="CTN3" s="62"/>
      <c r="CTO3" s="62"/>
      <c r="CTP3" s="62"/>
      <c r="CTQ3" s="62"/>
      <c r="CTR3" s="62"/>
      <c r="CTS3" s="62"/>
      <c r="CTT3" s="62"/>
      <c r="CTU3" s="62"/>
      <c r="CTV3" s="62"/>
      <c r="CTW3" s="62"/>
      <c r="CTX3" s="62"/>
      <c r="CTY3" s="62"/>
      <c r="CTZ3" s="62"/>
      <c r="CUA3" s="62"/>
      <c r="CUB3" s="62"/>
      <c r="CUC3" s="62"/>
      <c r="CUD3" s="62"/>
      <c r="CUE3" s="62"/>
      <c r="CUF3" s="62"/>
      <c r="CUG3" s="62"/>
      <c r="CUH3" s="62"/>
      <c r="CUI3" s="62"/>
      <c r="CUJ3" s="62"/>
      <c r="CUK3" s="62"/>
      <c r="CUL3" s="62"/>
      <c r="CUM3" s="62"/>
      <c r="CUN3" s="62"/>
      <c r="CUO3" s="62"/>
      <c r="CUP3" s="62"/>
      <c r="CUQ3" s="62"/>
      <c r="CUR3" s="62"/>
      <c r="CUS3" s="62"/>
      <c r="CUT3" s="62"/>
      <c r="CUU3" s="62"/>
      <c r="CUV3" s="62"/>
      <c r="CUW3" s="62"/>
      <c r="CUX3" s="62"/>
      <c r="CUY3" s="62"/>
      <c r="CUZ3" s="62"/>
      <c r="CVA3" s="62"/>
      <c r="CVB3" s="62"/>
      <c r="CVC3" s="62"/>
      <c r="CVD3" s="62"/>
      <c r="CVE3" s="62"/>
      <c r="CVF3" s="62"/>
      <c r="CVG3" s="62"/>
      <c r="CVH3" s="62"/>
      <c r="CVI3" s="62"/>
      <c r="CVJ3" s="62"/>
      <c r="CVK3" s="62"/>
      <c r="CVL3" s="62"/>
      <c r="CVM3" s="62"/>
      <c r="CVN3" s="62"/>
      <c r="CVO3" s="62"/>
      <c r="CVP3" s="62"/>
      <c r="CVQ3" s="62"/>
      <c r="CVR3" s="62"/>
      <c r="CVS3" s="62"/>
      <c r="CVT3" s="62"/>
      <c r="CVU3" s="62"/>
      <c r="CVV3" s="62"/>
      <c r="CVW3" s="62"/>
      <c r="CVX3" s="62"/>
      <c r="CVY3" s="62"/>
      <c r="CVZ3" s="62"/>
      <c r="CWA3" s="62"/>
      <c r="CWB3" s="62"/>
      <c r="CWC3" s="62"/>
      <c r="CWD3" s="62"/>
      <c r="CWE3" s="62"/>
      <c r="CWF3" s="62"/>
      <c r="CWG3" s="62"/>
      <c r="CWH3" s="62"/>
      <c r="CWI3" s="62"/>
      <c r="CWJ3" s="62"/>
      <c r="CWK3" s="62"/>
      <c r="CWL3" s="62"/>
      <c r="CWM3" s="62"/>
      <c r="CWN3" s="62"/>
      <c r="CWO3" s="62"/>
      <c r="CWP3" s="62"/>
      <c r="CWQ3" s="62"/>
      <c r="CWR3" s="62"/>
      <c r="CWS3" s="62"/>
      <c r="CWT3" s="62"/>
      <c r="CWU3" s="62"/>
      <c r="CWV3" s="62"/>
      <c r="CWW3" s="62"/>
      <c r="CWX3" s="62"/>
      <c r="CWY3" s="62"/>
      <c r="CWZ3" s="62"/>
      <c r="CXA3" s="62"/>
      <c r="CXB3" s="62"/>
      <c r="CXC3" s="62"/>
      <c r="CXD3" s="62"/>
      <c r="CXE3" s="62"/>
      <c r="CXF3" s="62"/>
      <c r="CXG3" s="62"/>
      <c r="CXH3" s="62"/>
      <c r="CXI3" s="62"/>
      <c r="CXJ3" s="62"/>
      <c r="CXK3" s="62"/>
      <c r="CXL3" s="62"/>
      <c r="CXM3" s="62"/>
      <c r="CXN3" s="62"/>
      <c r="CXO3" s="62"/>
      <c r="CXP3" s="62"/>
      <c r="CXQ3" s="62"/>
      <c r="CXR3" s="62"/>
      <c r="CXS3" s="62"/>
      <c r="CXT3" s="62"/>
      <c r="CXU3" s="62"/>
      <c r="CXV3" s="62"/>
      <c r="CXW3" s="62"/>
      <c r="CXX3" s="62"/>
      <c r="CXY3" s="62"/>
      <c r="CXZ3" s="62"/>
      <c r="CYA3" s="62"/>
      <c r="CYB3" s="62"/>
      <c r="CYC3" s="62"/>
      <c r="CYD3" s="62"/>
      <c r="CYE3" s="62"/>
      <c r="CYF3" s="62"/>
      <c r="CYG3" s="62"/>
      <c r="CYH3" s="62"/>
      <c r="CYI3" s="62"/>
      <c r="CYJ3" s="62"/>
      <c r="CYK3" s="62"/>
      <c r="CYL3" s="62"/>
      <c r="CYM3" s="62"/>
      <c r="CYN3" s="62"/>
      <c r="CYO3" s="62"/>
      <c r="CYP3" s="62"/>
      <c r="CYQ3" s="62"/>
      <c r="CYR3" s="62"/>
      <c r="CYS3" s="62"/>
      <c r="CYT3" s="62"/>
      <c r="CYU3" s="62"/>
      <c r="CYV3" s="62"/>
      <c r="CYW3" s="62"/>
      <c r="CYX3" s="62"/>
      <c r="CYY3" s="62"/>
      <c r="CYZ3" s="62"/>
      <c r="CZA3" s="62"/>
      <c r="CZB3" s="62"/>
      <c r="CZC3" s="62"/>
      <c r="CZD3" s="62"/>
      <c r="CZE3" s="62"/>
      <c r="CZF3" s="62"/>
      <c r="CZG3" s="62"/>
      <c r="CZH3" s="62"/>
      <c r="CZI3" s="62"/>
      <c r="CZJ3" s="62"/>
      <c r="CZK3" s="62"/>
      <c r="CZL3" s="62"/>
      <c r="CZM3" s="62"/>
      <c r="CZN3" s="62"/>
      <c r="CZO3" s="62"/>
      <c r="CZP3" s="62"/>
      <c r="CZQ3" s="62"/>
      <c r="CZR3" s="62"/>
      <c r="CZS3" s="62"/>
      <c r="CZT3" s="62"/>
      <c r="CZU3" s="62"/>
      <c r="CZV3" s="62"/>
      <c r="CZW3" s="62"/>
      <c r="CZX3" s="62"/>
      <c r="CZY3" s="62"/>
      <c r="CZZ3" s="62"/>
      <c r="DAA3" s="62"/>
      <c r="DAB3" s="62"/>
      <c r="DAC3" s="62"/>
      <c r="DAD3" s="62"/>
      <c r="DAE3" s="62"/>
      <c r="DAF3" s="62"/>
      <c r="DAG3" s="62"/>
      <c r="DAH3" s="62"/>
      <c r="DAI3" s="62"/>
      <c r="DAJ3" s="62"/>
      <c r="DAK3" s="62"/>
      <c r="DAL3" s="62"/>
      <c r="DAM3" s="62"/>
      <c r="DAN3" s="62"/>
      <c r="DAO3" s="62"/>
      <c r="DAP3" s="62"/>
      <c r="DAQ3" s="62"/>
      <c r="DAR3" s="62"/>
      <c r="DAS3" s="62"/>
      <c r="DAT3" s="62"/>
      <c r="DAU3" s="62"/>
      <c r="DAV3" s="62"/>
      <c r="DAW3" s="62"/>
      <c r="DAX3" s="62"/>
      <c r="DAY3" s="62"/>
      <c r="DAZ3" s="62"/>
      <c r="DBA3" s="62"/>
      <c r="DBB3" s="62"/>
      <c r="DBC3" s="62"/>
      <c r="DBD3" s="62"/>
      <c r="DBE3" s="62"/>
      <c r="DBF3" s="62"/>
      <c r="DBG3" s="62"/>
      <c r="DBH3" s="62"/>
      <c r="DBI3" s="62"/>
      <c r="DBJ3" s="62"/>
      <c r="DBK3" s="62"/>
      <c r="DBL3" s="62"/>
      <c r="DBM3" s="62"/>
      <c r="DBN3" s="62"/>
      <c r="DBO3" s="62"/>
      <c r="DBP3" s="62"/>
      <c r="DBQ3" s="62"/>
      <c r="DBR3" s="62"/>
      <c r="DBS3" s="62"/>
      <c r="DBT3" s="62"/>
      <c r="DBU3" s="62"/>
      <c r="DBV3" s="62"/>
      <c r="DBW3" s="62"/>
      <c r="DBX3" s="62"/>
      <c r="DBY3" s="62"/>
      <c r="DBZ3" s="62"/>
      <c r="DCA3" s="62"/>
      <c r="DCB3" s="62"/>
      <c r="DCC3" s="62"/>
      <c r="DCD3" s="62"/>
      <c r="DCE3" s="62"/>
      <c r="DCF3" s="62"/>
      <c r="DCG3" s="62"/>
      <c r="DCH3" s="62"/>
      <c r="DCI3" s="62"/>
      <c r="DCJ3" s="62"/>
      <c r="DCK3" s="62"/>
      <c r="DCL3" s="62"/>
      <c r="DCM3" s="62"/>
      <c r="DCN3" s="62"/>
      <c r="DCO3" s="62"/>
      <c r="DCP3" s="62"/>
      <c r="DCQ3" s="62"/>
      <c r="DCR3" s="62"/>
      <c r="DCS3" s="62"/>
      <c r="DCT3" s="62"/>
      <c r="DCU3" s="62"/>
      <c r="DCV3" s="62"/>
      <c r="DCW3" s="62"/>
      <c r="DCX3" s="62"/>
      <c r="DCY3" s="62"/>
      <c r="DCZ3" s="62"/>
      <c r="DDA3" s="62"/>
      <c r="DDB3" s="62"/>
      <c r="DDC3" s="62"/>
      <c r="DDD3" s="62"/>
      <c r="DDE3" s="62"/>
      <c r="DDF3" s="62"/>
      <c r="DDG3" s="62"/>
      <c r="DDH3" s="62"/>
      <c r="DDI3" s="62"/>
      <c r="DDJ3" s="62"/>
      <c r="DDK3" s="62"/>
      <c r="DDL3" s="62"/>
      <c r="DDM3" s="62"/>
      <c r="DDN3" s="62"/>
      <c r="DDO3" s="62"/>
      <c r="DDP3" s="62"/>
      <c r="DDQ3" s="62"/>
      <c r="DDR3" s="62"/>
      <c r="DDS3" s="62"/>
      <c r="DDT3" s="62"/>
      <c r="DDU3" s="62"/>
      <c r="DDV3" s="62"/>
      <c r="DDW3" s="62"/>
      <c r="DDX3" s="62"/>
      <c r="DDY3" s="62"/>
      <c r="DDZ3" s="62"/>
      <c r="DEA3" s="62"/>
      <c r="DEB3" s="62"/>
      <c r="DEC3" s="62"/>
      <c r="DED3" s="62"/>
      <c r="DEE3" s="62"/>
      <c r="DEF3" s="62"/>
      <c r="DEG3" s="62"/>
      <c r="DEH3" s="62"/>
      <c r="DEI3" s="62"/>
      <c r="DEJ3" s="62"/>
      <c r="DEK3" s="62"/>
      <c r="DEL3" s="62"/>
      <c r="DEM3" s="62"/>
      <c r="DEN3" s="62"/>
      <c r="DEO3" s="62"/>
      <c r="DEP3" s="62"/>
      <c r="DEQ3" s="62"/>
      <c r="DER3" s="62"/>
      <c r="DES3" s="62"/>
      <c r="DET3" s="62"/>
      <c r="DEU3" s="62"/>
      <c r="DEV3" s="62"/>
      <c r="DEW3" s="62"/>
      <c r="DEX3" s="62"/>
      <c r="DEY3" s="62"/>
      <c r="DEZ3" s="62"/>
      <c r="DFA3" s="62"/>
      <c r="DFB3" s="62"/>
      <c r="DFC3" s="62"/>
      <c r="DFD3" s="62"/>
      <c r="DFE3" s="62"/>
      <c r="DFF3" s="62"/>
      <c r="DFG3" s="62"/>
      <c r="DFH3" s="62"/>
      <c r="DFI3" s="62"/>
      <c r="DFJ3" s="62"/>
      <c r="DFK3" s="62"/>
      <c r="DFL3" s="62"/>
      <c r="DFM3" s="62"/>
      <c r="DFN3" s="62"/>
      <c r="DFO3" s="62"/>
      <c r="DFP3" s="62"/>
      <c r="DFQ3" s="62"/>
      <c r="DFR3" s="62"/>
      <c r="DFS3" s="62"/>
      <c r="DFT3" s="62"/>
      <c r="DFU3" s="62"/>
      <c r="DFV3" s="62"/>
      <c r="DFW3" s="62"/>
      <c r="DFX3" s="62"/>
      <c r="DFY3" s="62"/>
      <c r="DFZ3" s="62"/>
      <c r="DGA3" s="62"/>
      <c r="DGB3" s="62"/>
      <c r="DGC3" s="62"/>
      <c r="DGD3" s="62"/>
      <c r="DGE3" s="62"/>
      <c r="DGF3" s="62"/>
      <c r="DGG3" s="62"/>
      <c r="DGH3" s="62"/>
      <c r="DGI3" s="62"/>
      <c r="DGJ3" s="62"/>
      <c r="DGK3" s="62"/>
      <c r="DGL3" s="62"/>
      <c r="DGM3" s="62"/>
      <c r="DGN3" s="62"/>
      <c r="DGO3" s="62"/>
      <c r="DGP3" s="62"/>
      <c r="DGQ3" s="62"/>
      <c r="DGR3" s="62"/>
      <c r="DGS3" s="62"/>
      <c r="DGT3" s="62"/>
      <c r="DGU3" s="62"/>
      <c r="DGV3" s="62"/>
      <c r="DGW3" s="62"/>
      <c r="DGX3" s="62"/>
      <c r="DGY3" s="62"/>
      <c r="DGZ3" s="62"/>
      <c r="DHA3" s="62"/>
      <c r="DHB3" s="62"/>
      <c r="DHC3" s="62"/>
      <c r="DHD3" s="62"/>
      <c r="DHE3" s="62"/>
      <c r="DHF3" s="62"/>
      <c r="DHG3" s="62"/>
      <c r="DHH3" s="62"/>
      <c r="DHI3" s="62"/>
      <c r="DHJ3" s="62"/>
      <c r="DHK3" s="62"/>
      <c r="DHL3" s="62"/>
      <c r="DHM3" s="62"/>
      <c r="DHN3" s="62"/>
      <c r="DHO3" s="62"/>
      <c r="DHP3" s="62"/>
      <c r="DHQ3" s="62"/>
      <c r="DHR3" s="62"/>
      <c r="DHS3" s="62"/>
      <c r="DHT3" s="62"/>
      <c r="DHU3" s="62"/>
      <c r="DHV3" s="62"/>
      <c r="DHW3" s="62"/>
      <c r="DHX3" s="62"/>
      <c r="DHY3" s="62"/>
      <c r="DHZ3" s="62"/>
      <c r="DIA3" s="62"/>
      <c r="DIB3" s="62"/>
      <c r="DIC3" s="62"/>
      <c r="DID3" s="62"/>
      <c r="DIE3" s="62"/>
      <c r="DIF3" s="62"/>
      <c r="DIG3" s="62"/>
      <c r="DIH3" s="62"/>
      <c r="DII3" s="62"/>
      <c r="DIJ3" s="62"/>
      <c r="DIK3" s="62"/>
      <c r="DIL3" s="62"/>
      <c r="DIM3" s="62"/>
      <c r="DIN3" s="62"/>
      <c r="DIO3" s="62"/>
      <c r="DIP3" s="62"/>
      <c r="DIQ3" s="62"/>
      <c r="DIR3" s="62"/>
      <c r="DIS3" s="62"/>
      <c r="DIT3" s="62"/>
      <c r="DIU3" s="62"/>
      <c r="DIV3" s="62"/>
      <c r="DIW3" s="62"/>
      <c r="DIX3" s="62"/>
      <c r="DIY3" s="62"/>
      <c r="DIZ3" s="62"/>
      <c r="DJA3" s="62"/>
      <c r="DJB3" s="62"/>
      <c r="DJC3" s="62"/>
      <c r="DJD3" s="62"/>
      <c r="DJE3" s="62"/>
      <c r="DJF3" s="62"/>
      <c r="DJG3" s="62"/>
      <c r="DJH3" s="62"/>
      <c r="DJI3" s="62"/>
      <c r="DJJ3" s="62"/>
      <c r="DJK3" s="62"/>
      <c r="DJL3" s="62"/>
      <c r="DJM3" s="62"/>
      <c r="DJN3" s="62"/>
      <c r="DJO3" s="62"/>
      <c r="DJP3" s="62"/>
      <c r="DJQ3" s="62"/>
      <c r="DJR3" s="62"/>
      <c r="DJS3" s="62"/>
      <c r="DJT3" s="62"/>
      <c r="DJU3" s="62"/>
      <c r="DJV3" s="62"/>
      <c r="DJW3" s="62"/>
      <c r="DJX3" s="62"/>
      <c r="DJY3" s="62"/>
      <c r="DJZ3" s="62"/>
      <c r="DKA3" s="62"/>
      <c r="DKB3" s="62"/>
      <c r="DKC3" s="62"/>
      <c r="DKD3" s="62"/>
      <c r="DKE3" s="62"/>
      <c r="DKF3" s="62"/>
      <c r="DKG3" s="62"/>
      <c r="DKH3" s="62"/>
      <c r="DKI3" s="62"/>
      <c r="DKJ3" s="62"/>
      <c r="DKK3" s="62"/>
      <c r="DKL3" s="62"/>
      <c r="DKM3" s="62"/>
      <c r="DKN3" s="62"/>
      <c r="DKO3" s="62"/>
      <c r="DKP3" s="62"/>
      <c r="DKQ3" s="62"/>
      <c r="DKR3" s="62"/>
      <c r="DKS3" s="62"/>
      <c r="DKT3" s="62"/>
      <c r="DKU3" s="62"/>
      <c r="DKV3" s="62"/>
      <c r="DKW3" s="62"/>
      <c r="DKX3" s="62"/>
      <c r="DKY3" s="62"/>
      <c r="DKZ3" s="62"/>
      <c r="DLA3" s="62"/>
      <c r="DLB3" s="62"/>
      <c r="DLC3" s="62"/>
      <c r="DLD3" s="62"/>
      <c r="DLE3" s="62"/>
      <c r="DLF3" s="62"/>
      <c r="DLG3" s="62"/>
      <c r="DLH3" s="62"/>
      <c r="DLI3" s="62"/>
      <c r="DLJ3" s="62"/>
      <c r="DLK3" s="62"/>
      <c r="DLL3" s="62"/>
      <c r="DLM3" s="62"/>
      <c r="DLN3" s="62"/>
      <c r="DLO3" s="62"/>
      <c r="DLP3" s="62"/>
      <c r="DLQ3" s="62"/>
      <c r="DLR3" s="62"/>
      <c r="DLS3" s="62"/>
      <c r="DLT3" s="62"/>
      <c r="DLU3" s="62"/>
      <c r="DLV3" s="62"/>
      <c r="DLW3" s="62"/>
      <c r="DLX3" s="62"/>
      <c r="DLY3" s="62"/>
      <c r="DLZ3" s="62"/>
      <c r="DMA3" s="62"/>
      <c r="DMB3" s="62"/>
      <c r="DMC3" s="62"/>
      <c r="DMD3" s="62"/>
      <c r="DME3" s="62"/>
      <c r="DMF3" s="62"/>
      <c r="DMG3" s="62"/>
      <c r="DMH3" s="62"/>
      <c r="DMI3" s="62"/>
      <c r="DMJ3" s="62"/>
      <c r="DMK3" s="62"/>
      <c r="DML3" s="62"/>
      <c r="DMM3" s="62"/>
      <c r="DMN3" s="62"/>
      <c r="DMO3" s="62"/>
      <c r="DMP3" s="62"/>
      <c r="DMQ3" s="62"/>
      <c r="DMR3" s="62"/>
      <c r="DMS3" s="62"/>
      <c r="DMT3" s="62"/>
      <c r="DMU3" s="62"/>
      <c r="DMV3" s="62"/>
      <c r="DMW3" s="62"/>
      <c r="DMX3" s="62"/>
      <c r="DMY3" s="62"/>
      <c r="DMZ3" s="62"/>
      <c r="DNA3" s="62"/>
      <c r="DNB3" s="62"/>
      <c r="DNC3" s="62"/>
      <c r="DND3" s="62"/>
      <c r="DNE3" s="62"/>
      <c r="DNF3" s="62"/>
      <c r="DNG3" s="62"/>
      <c r="DNH3" s="62"/>
      <c r="DNI3" s="62"/>
      <c r="DNJ3" s="62"/>
      <c r="DNK3" s="62"/>
      <c r="DNL3" s="62"/>
      <c r="DNM3" s="62"/>
      <c r="DNN3" s="62"/>
      <c r="DNO3" s="62"/>
      <c r="DNP3" s="62"/>
      <c r="DNQ3" s="62"/>
      <c r="DNR3" s="62"/>
      <c r="DNS3" s="62"/>
      <c r="DNT3" s="62"/>
      <c r="DNU3" s="62"/>
      <c r="DNV3" s="62"/>
      <c r="DNW3" s="62"/>
      <c r="DNX3" s="62"/>
      <c r="DNY3" s="62"/>
      <c r="DNZ3" s="62"/>
      <c r="DOA3" s="62"/>
      <c r="DOB3" s="62"/>
      <c r="DOC3" s="62"/>
      <c r="DOD3" s="62"/>
      <c r="DOE3" s="62"/>
      <c r="DOF3" s="62"/>
      <c r="DOG3" s="62"/>
      <c r="DOH3" s="62"/>
      <c r="DOI3" s="62"/>
      <c r="DOJ3" s="62"/>
      <c r="DOK3" s="62"/>
      <c r="DOL3" s="62"/>
      <c r="DOM3" s="62"/>
      <c r="DON3" s="62"/>
      <c r="DOO3" s="62"/>
      <c r="DOP3" s="62"/>
      <c r="DOQ3" s="62"/>
      <c r="DOR3" s="62"/>
      <c r="DOS3" s="62"/>
      <c r="DOT3" s="62"/>
      <c r="DOU3" s="62"/>
      <c r="DOV3" s="62"/>
      <c r="DOW3" s="62"/>
      <c r="DOX3" s="62"/>
      <c r="DOY3" s="62"/>
      <c r="DOZ3" s="62"/>
      <c r="DPA3" s="62"/>
      <c r="DPB3" s="62"/>
      <c r="DPC3" s="62"/>
      <c r="DPD3" s="62"/>
      <c r="DPE3" s="62"/>
      <c r="DPF3" s="62"/>
      <c r="DPG3" s="62"/>
      <c r="DPH3" s="62"/>
      <c r="DPI3" s="62"/>
      <c r="DPJ3" s="62"/>
      <c r="DPK3" s="62"/>
      <c r="DPL3" s="62"/>
      <c r="DPM3" s="62"/>
      <c r="DPN3" s="62"/>
      <c r="DPO3" s="62"/>
      <c r="DPP3" s="62"/>
      <c r="DPQ3" s="62"/>
      <c r="DPR3" s="62"/>
      <c r="DPS3" s="62"/>
      <c r="DPT3" s="62"/>
      <c r="DPU3" s="62"/>
      <c r="DPV3" s="62"/>
      <c r="DPW3" s="62"/>
      <c r="DPX3" s="62"/>
      <c r="DPY3" s="62"/>
      <c r="DPZ3" s="62"/>
      <c r="DQA3" s="62"/>
      <c r="DQB3" s="62"/>
      <c r="DQC3" s="62"/>
      <c r="DQD3" s="62"/>
      <c r="DQE3" s="62"/>
      <c r="DQF3" s="62"/>
      <c r="DQG3" s="62"/>
      <c r="DQH3" s="62"/>
      <c r="DQI3" s="62"/>
      <c r="DQJ3" s="62"/>
      <c r="DQK3" s="62"/>
      <c r="DQL3" s="62"/>
      <c r="DQM3" s="62"/>
      <c r="DQN3" s="62"/>
      <c r="DQO3" s="62"/>
      <c r="DQP3" s="62"/>
      <c r="DQQ3" s="62"/>
      <c r="DQR3" s="62"/>
      <c r="DQS3" s="62"/>
      <c r="DQT3" s="62"/>
      <c r="DQU3" s="62"/>
      <c r="DQV3" s="62"/>
      <c r="DQW3" s="62"/>
      <c r="DQX3" s="62"/>
      <c r="DQY3" s="62"/>
      <c r="DQZ3" s="62"/>
      <c r="DRA3" s="62"/>
      <c r="DRB3" s="62"/>
      <c r="DRC3" s="62"/>
      <c r="DRD3" s="62"/>
      <c r="DRE3" s="62"/>
      <c r="DRF3" s="62"/>
      <c r="DRG3" s="62"/>
      <c r="DRH3" s="62"/>
      <c r="DRI3" s="62"/>
      <c r="DRJ3" s="62"/>
      <c r="DRK3" s="62"/>
      <c r="DRL3" s="62"/>
      <c r="DRM3" s="62"/>
      <c r="DRN3" s="62"/>
      <c r="DRO3" s="62"/>
      <c r="DRP3" s="62"/>
      <c r="DRQ3" s="62"/>
      <c r="DRR3" s="62"/>
      <c r="DRS3" s="62"/>
      <c r="DRT3" s="62"/>
      <c r="DRU3" s="62"/>
      <c r="DRV3" s="62"/>
      <c r="DRW3" s="62"/>
      <c r="DRX3" s="62"/>
      <c r="DRY3" s="62"/>
      <c r="DRZ3" s="62"/>
      <c r="DSA3" s="62"/>
      <c r="DSB3" s="62"/>
      <c r="DSC3" s="62"/>
      <c r="DSD3" s="62"/>
      <c r="DSE3" s="62"/>
      <c r="DSF3" s="62"/>
      <c r="DSG3" s="62"/>
      <c r="DSH3" s="62"/>
      <c r="DSI3" s="62"/>
      <c r="DSJ3" s="62"/>
      <c r="DSK3" s="62"/>
      <c r="DSL3" s="62"/>
      <c r="DSM3" s="62"/>
      <c r="DSN3" s="62"/>
      <c r="DSO3" s="62"/>
      <c r="DSP3" s="62"/>
      <c r="DSQ3" s="62"/>
      <c r="DSR3" s="62"/>
      <c r="DSS3" s="62"/>
      <c r="DST3" s="62"/>
      <c r="DSU3" s="62"/>
      <c r="DSV3" s="62"/>
      <c r="DSW3" s="62"/>
      <c r="DSX3" s="62"/>
      <c r="DSY3" s="62"/>
      <c r="DSZ3" s="62"/>
      <c r="DTA3" s="62"/>
      <c r="DTB3" s="62"/>
      <c r="DTC3" s="62"/>
      <c r="DTD3" s="62"/>
      <c r="DTE3" s="62"/>
      <c r="DTF3" s="62"/>
      <c r="DTG3" s="62"/>
      <c r="DTH3" s="62"/>
      <c r="DTI3" s="62"/>
      <c r="DTJ3" s="62"/>
      <c r="DTK3" s="62"/>
      <c r="DTL3" s="62"/>
      <c r="DTM3" s="62"/>
      <c r="DTN3" s="62"/>
      <c r="DTO3" s="62"/>
      <c r="DTP3" s="62"/>
      <c r="DTQ3" s="62"/>
      <c r="DTR3" s="62"/>
      <c r="DTS3" s="62"/>
      <c r="DTT3" s="62"/>
      <c r="DTU3" s="62"/>
      <c r="DTV3" s="62"/>
      <c r="DTW3" s="62"/>
      <c r="DTX3" s="62"/>
      <c r="DTY3" s="62"/>
      <c r="DTZ3" s="62"/>
      <c r="DUA3" s="62"/>
      <c r="DUB3" s="62"/>
      <c r="DUC3" s="62"/>
      <c r="DUD3" s="62"/>
      <c r="DUE3" s="62"/>
      <c r="DUF3" s="62"/>
      <c r="DUG3" s="62"/>
      <c r="DUH3" s="62"/>
      <c r="DUI3" s="62"/>
      <c r="DUJ3" s="62"/>
      <c r="DUK3" s="62"/>
      <c r="DUL3" s="62"/>
      <c r="DUM3" s="62"/>
      <c r="DUN3" s="62"/>
      <c r="DUO3" s="62"/>
      <c r="DUP3" s="62"/>
      <c r="DUQ3" s="62"/>
      <c r="DUR3" s="62"/>
      <c r="DUS3" s="62"/>
      <c r="DUT3" s="62"/>
      <c r="DUU3" s="62"/>
      <c r="DUV3" s="62"/>
      <c r="DUW3" s="62"/>
      <c r="DUX3" s="62"/>
      <c r="DUY3" s="62"/>
      <c r="DUZ3" s="62"/>
      <c r="DVA3" s="62"/>
      <c r="DVB3" s="62"/>
      <c r="DVC3" s="62"/>
      <c r="DVD3" s="62"/>
      <c r="DVE3" s="62"/>
      <c r="DVF3" s="62"/>
      <c r="DVG3" s="62"/>
      <c r="DVH3" s="62"/>
      <c r="DVI3" s="62"/>
      <c r="DVJ3" s="62"/>
      <c r="DVK3" s="62"/>
      <c r="DVL3" s="62"/>
      <c r="DVM3" s="62"/>
      <c r="DVN3" s="62"/>
      <c r="DVO3" s="62"/>
      <c r="DVP3" s="62"/>
      <c r="DVQ3" s="62"/>
      <c r="DVR3" s="62"/>
      <c r="DVS3" s="62"/>
      <c r="DVT3" s="62"/>
      <c r="DVU3" s="62"/>
      <c r="DVV3" s="62"/>
      <c r="DVW3" s="62"/>
      <c r="DVX3" s="62"/>
      <c r="DVY3" s="62"/>
      <c r="DVZ3" s="62"/>
      <c r="DWA3" s="62"/>
      <c r="DWB3" s="62"/>
      <c r="DWC3" s="62"/>
      <c r="DWD3" s="62"/>
      <c r="DWE3" s="62"/>
      <c r="DWF3" s="62"/>
      <c r="DWG3" s="62"/>
      <c r="DWH3" s="62"/>
      <c r="DWI3" s="62"/>
      <c r="DWJ3" s="62"/>
      <c r="DWK3" s="62"/>
      <c r="DWL3" s="62"/>
      <c r="DWM3" s="62"/>
      <c r="DWN3" s="62"/>
      <c r="DWO3" s="62"/>
      <c r="DWP3" s="62"/>
      <c r="DWQ3" s="62"/>
      <c r="DWR3" s="62"/>
      <c r="DWS3" s="62"/>
      <c r="DWT3" s="62"/>
      <c r="DWU3" s="62"/>
      <c r="DWV3" s="62"/>
      <c r="DWW3" s="62"/>
      <c r="DWX3" s="62"/>
      <c r="DWY3" s="62"/>
      <c r="DWZ3" s="62"/>
      <c r="DXA3" s="62"/>
      <c r="DXB3" s="62"/>
      <c r="DXC3" s="62"/>
      <c r="DXD3" s="62"/>
      <c r="DXE3" s="62"/>
      <c r="DXF3" s="62"/>
      <c r="DXG3" s="62"/>
      <c r="DXH3" s="62"/>
      <c r="DXI3" s="62"/>
      <c r="DXJ3" s="62"/>
      <c r="DXK3" s="62"/>
      <c r="DXL3" s="62"/>
      <c r="DXM3" s="62"/>
      <c r="DXN3" s="62"/>
      <c r="DXO3" s="62"/>
      <c r="DXP3" s="62"/>
      <c r="DXQ3" s="62"/>
      <c r="DXR3" s="62"/>
      <c r="DXS3" s="62"/>
      <c r="DXT3" s="62"/>
      <c r="DXU3" s="62"/>
      <c r="DXV3" s="62"/>
      <c r="DXW3" s="62"/>
      <c r="DXX3" s="62"/>
      <c r="DXY3" s="62"/>
      <c r="DXZ3" s="62"/>
      <c r="DYA3" s="62"/>
      <c r="DYB3" s="62"/>
      <c r="DYC3" s="62"/>
      <c r="DYD3" s="62"/>
      <c r="DYE3" s="62"/>
      <c r="DYF3" s="62"/>
      <c r="DYG3" s="62"/>
      <c r="DYH3" s="62"/>
      <c r="DYI3" s="62"/>
      <c r="DYJ3" s="62"/>
      <c r="DYK3" s="62"/>
      <c r="DYL3" s="62"/>
      <c r="DYM3" s="62"/>
      <c r="DYN3" s="62"/>
      <c r="DYO3" s="62"/>
      <c r="DYP3" s="62"/>
      <c r="DYQ3" s="62"/>
      <c r="DYR3" s="62"/>
      <c r="DYS3" s="62"/>
      <c r="DYT3" s="62"/>
      <c r="DYU3" s="62"/>
      <c r="DYV3" s="62"/>
      <c r="DYW3" s="62"/>
      <c r="DYX3" s="62"/>
      <c r="DYY3" s="62"/>
      <c r="DYZ3" s="62"/>
      <c r="DZA3" s="62"/>
      <c r="DZB3" s="62"/>
      <c r="DZC3" s="62"/>
      <c r="DZD3" s="62"/>
      <c r="DZE3" s="62"/>
      <c r="DZF3" s="62"/>
      <c r="DZG3" s="62"/>
      <c r="DZH3" s="62"/>
      <c r="DZI3" s="62"/>
      <c r="DZJ3" s="62"/>
      <c r="DZK3" s="62"/>
      <c r="DZL3" s="62"/>
      <c r="DZM3" s="62"/>
      <c r="DZN3" s="62"/>
      <c r="DZO3" s="62"/>
      <c r="DZP3" s="62"/>
      <c r="DZQ3" s="62"/>
      <c r="DZR3" s="62"/>
      <c r="DZS3" s="62"/>
      <c r="DZT3" s="62"/>
      <c r="DZU3" s="62"/>
      <c r="DZV3" s="62"/>
      <c r="DZW3" s="62"/>
      <c r="DZX3" s="62"/>
      <c r="DZY3" s="62"/>
      <c r="DZZ3" s="62"/>
      <c r="EAA3" s="62"/>
      <c r="EAB3" s="62"/>
      <c r="EAC3" s="62"/>
      <c r="EAD3" s="62"/>
      <c r="EAE3" s="62"/>
      <c r="EAF3" s="62"/>
      <c r="EAG3" s="62"/>
      <c r="EAH3" s="62"/>
      <c r="EAI3" s="62"/>
      <c r="EAJ3" s="62"/>
      <c r="EAK3" s="62"/>
      <c r="EAL3" s="62"/>
      <c r="EAM3" s="62"/>
      <c r="EAN3" s="62"/>
      <c r="EAO3" s="62"/>
      <c r="EAP3" s="62"/>
      <c r="EAQ3" s="62"/>
      <c r="EAR3" s="62"/>
      <c r="EAS3" s="62"/>
      <c r="EAT3" s="62"/>
      <c r="EAU3" s="62"/>
      <c r="EAV3" s="62"/>
      <c r="EAW3" s="62"/>
      <c r="EAX3" s="62"/>
      <c r="EAY3" s="62"/>
      <c r="EAZ3" s="62"/>
      <c r="EBA3" s="62"/>
      <c r="EBB3" s="62"/>
      <c r="EBC3" s="62"/>
      <c r="EBD3" s="62"/>
      <c r="EBE3" s="62"/>
      <c r="EBF3" s="62"/>
      <c r="EBG3" s="62"/>
      <c r="EBH3" s="62"/>
      <c r="EBI3" s="62"/>
      <c r="EBJ3" s="62"/>
      <c r="EBK3" s="62"/>
      <c r="EBL3" s="62"/>
      <c r="EBM3" s="62"/>
      <c r="EBN3" s="62"/>
      <c r="EBO3" s="62"/>
      <c r="EBP3" s="62"/>
      <c r="EBQ3" s="62"/>
      <c r="EBR3" s="62"/>
      <c r="EBS3" s="62"/>
      <c r="EBT3" s="62"/>
      <c r="EBU3" s="62"/>
      <c r="EBV3" s="62"/>
      <c r="EBW3" s="62"/>
      <c r="EBX3" s="62"/>
      <c r="EBY3" s="62"/>
      <c r="EBZ3" s="62"/>
      <c r="ECA3" s="62"/>
      <c r="ECB3" s="62"/>
      <c r="ECC3" s="62"/>
      <c r="ECD3" s="62"/>
      <c r="ECE3" s="62"/>
      <c r="ECF3" s="62"/>
      <c r="ECG3" s="62"/>
      <c r="ECH3" s="62"/>
      <c r="ECI3" s="62"/>
      <c r="ECJ3" s="62"/>
      <c r="ECK3" s="62"/>
      <c r="ECL3" s="62"/>
      <c r="ECM3" s="62"/>
      <c r="ECN3" s="62"/>
      <c r="ECO3" s="62"/>
      <c r="ECP3" s="62"/>
      <c r="ECQ3" s="62"/>
      <c r="ECR3" s="62"/>
      <c r="ECS3" s="62"/>
      <c r="ECT3" s="62"/>
      <c r="ECU3" s="62"/>
      <c r="ECV3" s="62"/>
      <c r="ECW3" s="62"/>
      <c r="ECX3" s="62"/>
      <c r="ECY3" s="62"/>
      <c r="ECZ3" s="62"/>
      <c r="EDA3" s="62"/>
      <c r="EDB3" s="62"/>
      <c r="EDC3" s="62"/>
      <c r="EDD3" s="62"/>
      <c r="EDE3" s="62"/>
      <c r="EDF3" s="62"/>
      <c r="EDG3" s="62"/>
      <c r="EDH3" s="62"/>
      <c r="EDI3" s="62"/>
      <c r="EDJ3" s="62"/>
      <c r="EDK3" s="62"/>
      <c r="EDL3" s="62"/>
      <c r="EDM3" s="62"/>
      <c r="EDN3" s="62"/>
      <c r="EDO3" s="62"/>
      <c r="EDP3" s="62"/>
      <c r="EDQ3" s="62"/>
      <c r="EDR3" s="62"/>
      <c r="EDS3" s="62"/>
      <c r="EDT3" s="62"/>
      <c r="EDU3" s="62"/>
      <c r="EDV3" s="62"/>
      <c r="EDW3" s="62"/>
      <c r="EDX3" s="62"/>
      <c r="EDY3" s="62"/>
      <c r="EDZ3" s="62"/>
      <c r="EEA3" s="62"/>
      <c r="EEB3" s="62"/>
      <c r="EEC3" s="62"/>
      <c r="EED3" s="62"/>
      <c r="EEE3" s="62"/>
      <c r="EEF3" s="62"/>
      <c r="EEG3" s="62"/>
      <c r="EEH3" s="62"/>
      <c r="EEI3" s="62"/>
      <c r="EEJ3" s="62"/>
      <c r="EEK3" s="62"/>
      <c r="EEL3" s="62"/>
      <c r="EEM3" s="62"/>
      <c r="EEN3" s="62"/>
      <c r="EEO3" s="62"/>
      <c r="EEP3" s="62"/>
      <c r="EEQ3" s="62"/>
      <c r="EER3" s="62"/>
      <c r="EES3" s="62"/>
      <c r="EET3" s="62"/>
      <c r="EEU3" s="62"/>
      <c r="EEV3" s="62"/>
      <c r="EEW3" s="62"/>
      <c r="EEX3" s="62"/>
      <c r="EEY3" s="62"/>
      <c r="EEZ3" s="62"/>
      <c r="EFA3" s="62"/>
      <c r="EFB3" s="62"/>
      <c r="EFC3" s="62"/>
      <c r="EFD3" s="62"/>
      <c r="EFE3" s="62"/>
      <c r="EFF3" s="62"/>
      <c r="EFG3" s="62"/>
      <c r="EFH3" s="62"/>
      <c r="EFI3" s="62"/>
      <c r="EFJ3" s="62"/>
      <c r="EFK3" s="62"/>
      <c r="EFL3" s="62"/>
      <c r="EFM3" s="62"/>
      <c r="EFN3" s="62"/>
      <c r="EFO3" s="62"/>
      <c r="EFP3" s="62"/>
      <c r="EFQ3" s="62"/>
      <c r="EFR3" s="62"/>
      <c r="EFS3" s="62"/>
      <c r="EFT3" s="62"/>
      <c r="EFU3" s="62"/>
      <c r="EFV3" s="62"/>
      <c r="EFW3" s="62"/>
      <c r="EFX3" s="62"/>
      <c r="EFY3" s="62"/>
      <c r="EFZ3" s="62"/>
      <c r="EGA3" s="62"/>
      <c r="EGB3" s="62"/>
      <c r="EGC3" s="62"/>
      <c r="EGD3" s="62"/>
      <c r="EGE3" s="62"/>
      <c r="EGF3" s="62"/>
      <c r="EGG3" s="62"/>
      <c r="EGH3" s="62"/>
      <c r="EGI3" s="62"/>
      <c r="EGJ3" s="62"/>
      <c r="EGK3" s="62"/>
      <c r="EGL3" s="62"/>
      <c r="EGM3" s="62"/>
      <c r="EGN3" s="62"/>
      <c r="EGO3" s="62"/>
      <c r="EGP3" s="62"/>
      <c r="EGQ3" s="62"/>
      <c r="EGR3" s="62"/>
      <c r="EGS3" s="62"/>
      <c r="EGT3" s="62"/>
      <c r="EGU3" s="62"/>
      <c r="EGV3" s="62"/>
      <c r="EGW3" s="62"/>
      <c r="EGX3" s="62"/>
      <c r="EGY3" s="62"/>
      <c r="EGZ3" s="62"/>
      <c r="EHA3" s="62"/>
      <c r="EHB3" s="62"/>
      <c r="EHC3" s="62"/>
      <c r="EHD3" s="62"/>
      <c r="EHE3" s="62"/>
      <c r="EHF3" s="62"/>
      <c r="EHG3" s="62"/>
      <c r="EHH3" s="62"/>
      <c r="EHI3" s="62"/>
      <c r="EHJ3" s="62"/>
      <c r="EHK3" s="62"/>
      <c r="EHL3" s="62"/>
      <c r="EHM3" s="62"/>
      <c r="EHN3" s="62"/>
      <c r="EHO3" s="62"/>
      <c r="EHP3" s="62"/>
      <c r="EHQ3" s="62"/>
      <c r="EHR3" s="62"/>
      <c r="EHS3" s="62"/>
      <c r="EHT3" s="62"/>
      <c r="EHU3" s="62"/>
      <c r="EHV3" s="62"/>
      <c r="EHW3" s="62"/>
      <c r="EHX3" s="62"/>
      <c r="EHY3" s="62"/>
      <c r="EHZ3" s="62"/>
      <c r="EIA3" s="62"/>
      <c r="EIB3" s="62"/>
      <c r="EIC3" s="62"/>
      <c r="EID3" s="62"/>
      <c r="EIE3" s="62"/>
      <c r="EIF3" s="62"/>
      <c r="EIG3" s="62"/>
      <c r="EIH3" s="62"/>
      <c r="EII3" s="62"/>
      <c r="EIJ3" s="62"/>
      <c r="EIK3" s="62"/>
      <c r="EIL3" s="62"/>
      <c r="EIM3" s="62"/>
      <c r="EIN3" s="62"/>
      <c r="EIO3" s="62"/>
      <c r="EIP3" s="62"/>
      <c r="EIQ3" s="62"/>
      <c r="EIR3" s="62"/>
      <c r="EIS3" s="62"/>
      <c r="EIT3" s="62"/>
      <c r="EIU3" s="62"/>
      <c r="EIV3" s="62"/>
      <c r="EIW3" s="62"/>
      <c r="EIX3" s="62"/>
      <c r="EIY3" s="62"/>
      <c r="EIZ3" s="62"/>
      <c r="EJA3" s="62"/>
      <c r="EJB3" s="62"/>
      <c r="EJC3" s="62"/>
      <c r="EJD3" s="62"/>
      <c r="EJE3" s="62"/>
      <c r="EJF3" s="62"/>
      <c r="EJG3" s="62"/>
      <c r="EJH3" s="62"/>
      <c r="EJI3" s="62"/>
      <c r="EJJ3" s="62"/>
      <c r="EJK3" s="62"/>
      <c r="EJL3" s="62"/>
      <c r="EJM3" s="62"/>
      <c r="EJN3" s="62"/>
      <c r="EJO3" s="62"/>
      <c r="EJP3" s="62"/>
      <c r="EJQ3" s="62"/>
      <c r="EJR3" s="62"/>
      <c r="EJS3" s="62"/>
      <c r="EJT3" s="62"/>
      <c r="EJU3" s="62"/>
      <c r="EJV3" s="62"/>
      <c r="EJW3" s="62"/>
      <c r="EJX3" s="62"/>
      <c r="EJY3" s="62"/>
      <c r="EJZ3" s="62"/>
      <c r="EKA3" s="62"/>
      <c r="EKB3" s="62"/>
      <c r="EKC3" s="62"/>
      <c r="EKD3" s="62"/>
      <c r="EKE3" s="62"/>
      <c r="EKF3" s="62"/>
      <c r="EKG3" s="62"/>
      <c r="EKH3" s="62"/>
      <c r="EKI3" s="62"/>
      <c r="EKJ3" s="62"/>
      <c r="EKK3" s="62"/>
      <c r="EKL3" s="62"/>
      <c r="EKM3" s="62"/>
      <c r="EKN3" s="62"/>
      <c r="EKO3" s="62"/>
      <c r="EKP3" s="62"/>
      <c r="EKQ3" s="62"/>
      <c r="EKR3" s="62"/>
      <c r="EKS3" s="62"/>
      <c r="EKT3" s="62"/>
      <c r="EKU3" s="62"/>
      <c r="EKV3" s="62"/>
      <c r="EKW3" s="62"/>
      <c r="EKX3" s="62"/>
      <c r="EKY3" s="62"/>
      <c r="EKZ3" s="62"/>
      <c r="ELA3" s="62"/>
      <c r="ELB3" s="62"/>
      <c r="ELC3" s="62"/>
      <c r="ELD3" s="62"/>
      <c r="ELE3" s="62"/>
      <c r="ELF3" s="62"/>
      <c r="ELG3" s="62"/>
      <c r="ELH3" s="62"/>
      <c r="ELI3" s="62"/>
      <c r="ELJ3" s="62"/>
      <c r="ELK3" s="62"/>
      <c r="ELL3" s="62"/>
      <c r="ELM3" s="62"/>
      <c r="ELN3" s="62"/>
      <c r="ELO3" s="62"/>
      <c r="ELP3" s="62"/>
      <c r="ELQ3" s="62"/>
      <c r="ELR3" s="62"/>
      <c r="ELS3" s="62"/>
      <c r="ELT3" s="62"/>
      <c r="ELU3" s="62"/>
      <c r="ELV3" s="62"/>
      <c r="ELW3" s="62"/>
      <c r="ELX3" s="62"/>
      <c r="ELY3" s="62"/>
      <c r="ELZ3" s="62"/>
      <c r="EMA3" s="62"/>
      <c r="EMB3" s="62"/>
      <c r="EMC3" s="62"/>
      <c r="EMD3" s="62"/>
      <c r="EME3" s="62"/>
      <c r="EMF3" s="62"/>
      <c r="EMG3" s="62"/>
      <c r="EMH3" s="62"/>
      <c r="EMI3" s="62"/>
      <c r="EMJ3" s="62"/>
      <c r="EMK3" s="62"/>
      <c r="EML3" s="62"/>
      <c r="EMM3" s="62"/>
      <c r="EMN3" s="62"/>
      <c r="EMO3" s="62"/>
      <c r="EMP3" s="62"/>
      <c r="EMQ3" s="62"/>
      <c r="EMR3" s="62"/>
      <c r="EMS3" s="62"/>
      <c r="EMT3" s="62"/>
      <c r="EMU3" s="62"/>
      <c r="EMV3" s="62"/>
      <c r="EMW3" s="62"/>
      <c r="EMX3" s="62"/>
      <c r="EMY3" s="62"/>
      <c r="EMZ3" s="62"/>
      <c r="ENA3" s="62"/>
      <c r="ENB3" s="62"/>
      <c r="ENC3" s="62"/>
      <c r="END3" s="62"/>
      <c r="ENE3" s="62"/>
      <c r="ENF3" s="62"/>
      <c r="ENG3" s="62"/>
      <c r="ENH3" s="62"/>
      <c r="ENI3" s="62"/>
      <c r="ENJ3" s="62"/>
      <c r="ENK3" s="62"/>
      <c r="ENL3" s="62"/>
      <c r="ENM3" s="62"/>
      <c r="ENN3" s="62"/>
      <c r="ENO3" s="62"/>
      <c r="ENP3" s="62"/>
      <c r="ENQ3" s="62"/>
      <c r="ENR3" s="62"/>
      <c r="ENS3" s="62"/>
      <c r="ENT3" s="62"/>
      <c r="ENU3" s="62"/>
      <c r="ENV3" s="62"/>
      <c r="ENW3" s="62"/>
      <c r="ENX3" s="62"/>
      <c r="ENY3" s="62"/>
      <c r="ENZ3" s="62"/>
      <c r="EOA3" s="62"/>
      <c r="EOB3" s="62"/>
      <c r="EOC3" s="62"/>
      <c r="EOD3" s="62"/>
      <c r="EOE3" s="62"/>
      <c r="EOF3" s="62"/>
      <c r="EOG3" s="62"/>
      <c r="EOH3" s="62"/>
      <c r="EOI3" s="62"/>
      <c r="EOJ3" s="62"/>
      <c r="EOK3" s="62"/>
      <c r="EOL3" s="62"/>
      <c r="EOM3" s="62"/>
      <c r="EON3" s="62"/>
      <c r="EOO3" s="62"/>
      <c r="EOP3" s="62"/>
      <c r="EOQ3" s="62"/>
      <c r="EOR3" s="62"/>
      <c r="EOS3" s="62"/>
      <c r="EOT3" s="62"/>
      <c r="EOU3" s="62"/>
      <c r="EOV3" s="62"/>
      <c r="EOW3" s="62"/>
      <c r="EOX3" s="62"/>
      <c r="EOY3" s="62"/>
      <c r="EOZ3" s="62"/>
      <c r="EPA3" s="62"/>
      <c r="EPB3" s="62"/>
      <c r="EPC3" s="62"/>
      <c r="EPD3" s="62"/>
      <c r="EPE3" s="62"/>
      <c r="EPF3" s="62"/>
      <c r="EPG3" s="62"/>
      <c r="EPH3" s="62"/>
      <c r="EPI3" s="62"/>
      <c r="EPJ3" s="62"/>
      <c r="EPK3" s="62"/>
      <c r="EPL3" s="62"/>
      <c r="EPM3" s="62"/>
      <c r="EPN3" s="62"/>
      <c r="EPO3" s="62"/>
      <c r="EPP3" s="62"/>
      <c r="EPQ3" s="62"/>
      <c r="EPR3" s="62"/>
      <c r="EPS3" s="62"/>
      <c r="EPT3" s="62"/>
      <c r="EPU3" s="62"/>
      <c r="EPV3" s="62"/>
      <c r="EPW3" s="62"/>
      <c r="EPX3" s="62"/>
      <c r="EPY3" s="62"/>
      <c r="EPZ3" s="62"/>
      <c r="EQA3" s="62"/>
      <c r="EQB3" s="62"/>
      <c r="EQC3" s="62"/>
      <c r="EQD3" s="62"/>
      <c r="EQE3" s="62"/>
      <c r="EQF3" s="62"/>
      <c r="EQG3" s="62"/>
      <c r="EQH3" s="62"/>
      <c r="EQI3" s="62"/>
      <c r="EQJ3" s="62"/>
      <c r="EQK3" s="62"/>
      <c r="EQL3" s="62"/>
      <c r="EQM3" s="62"/>
      <c r="EQN3" s="62"/>
      <c r="EQO3" s="62"/>
      <c r="EQP3" s="62"/>
      <c r="EQQ3" s="62"/>
      <c r="EQR3" s="62"/>
      <c r="EQS3" s="62"/>
      <c r="EQT3" s="62"/>
      <c r="EQU3" s="62"/>
      <c r="EQV3" s="62"/>
      <c r="EQW3" s="62"/>
      <c r="EQX3" s="62"/>
      <c r="EQY3" s="62"/>
      <c r="EQZ3" s="62"/>
      <c r="ERA3" s="62"/>
      <c r="ERB3" s="62"/>
      <c r="ERC3" s="62"/>
      <c r="ERD3" s="62"/>
      <c r="ERE3" s="62"/>
      <c r="ERF3" s="62"/>
      <c r="ERG3" s="62"/>
      <c r="ERH3" s="62"/>
      <c r="ERI3" s="62"/>
      <c r="ERJ3" s="62"/>
      <c r="ERK3" s="62"/>
      <c r="ERL3" s="62"/>
      <c r="ERM3" s="62"/>
      <c r="ERN3" s="62"/>
      <c r="ERO3" s="62"/>
      <c r="ERP3" s="62"/>
      <c r="ERQ3" s="62"/>
      <c r="ERR3" s="62"/>
      <c r="ERS3" s="62"/>
      <c r="ERT3" s="62"/>
      <c r="ERU3" s="62"/>
      <c r="ERV3" s="62"/>
      <c r="ERW3" s="62"/>
      <c r="ERX3" s="62"/>
      <c r="ERY3" s="62"/>
      <c r="ERZ3" s="62"/>
      <c r="ESA3" s="62"/>
      <c r="ESB3" s="62"/>
      <c r="ESC3" s="62"/>
      <c r="ESD3" s="62"/>
      <c r="ESE3" s="62"/>
      <c r="ESF3" s="62"/>
      <c r="ESG3" s="62"/>
      <c r="ESH3" s="62"/>
      <c r="ESI3" s="62"/>
      <c r="ESJ3" s="62"/>
      <c r="ESK3" s="62"/>
      <c r="ESL3" s="62"/>
      <c r="ESM3" s="62"/>
      <c r="ESN3" s="62"/>
      <c r="ESO3" s="62"/>
      <c r="ESP3" s="62"/>
      <c r="ESQ3" s="62"/>
      <c r="ESR3" s="62"/>
      <c r="ESS3" s="62"/>
      <c r="EST3" s="62"/>
      <c r="ESU3" s="62"/>
      <c r="ESV3" s="62"/>
      <c r="ESW3" s="62"/>
      <c r="ESX3" s="62"/>
      <c r="ESY3" s="62"/>
      <c r="ESZ3" s="62"/>
      <c r="ETA3" s="62"/>
      <c r="ETB3" s="62"/>
      <c r="ETC3" s="62"/>
      <c r="ETD3" s="62"/>
      <c r="ETE3" s="62"/>
      <c r="ETF3" s="62"/>
      <c r="ETG3" s="62"/>
      <c r="ETH3" s="62"/>
      <c r="ETI3" s="62"/>
      <c r="ETJ3" s="62"/>
      <c r="ETK3" s="62"/>
      <c r="ETL3" s="62"/>
      <c r="ETM3" s="62"/>
      <c r="ETN3" s="62"/>
      <c r="ETO3" s="62"/>
      <c r="ETP3" s="62"/>
      <c r="ETQ3" s="62"/>
      <c r="ETR3" s="62"/>
      <c r="ETS3" s="62"/>
      <c r="ETT3" s="62"/>
      <c r="ETU3" s="62"/>
      <c r="ETV3" s="62"/>
      <c r="ETW3" s="62"/>
      <c r="ETX3" s="62"/>
      <c r="ETY3" s="62"/>
      <c r="ETZ3" s="62"/>
      <c r="EUA3" s="62"/>
      <c r="EUB3" s="62"/>
      <c r="EUC3" s="62"/>
      <c r="EUD3" s="62"/>
      <c r="EUE3" s="62"/>
      <c r="EUF3" s="62"/>
      <c r="EUG3" s="62"/>
      <c r="EUH3" s="62"/>
      <c r="EUI3" s="62"/>
      <c r="EUJ3" s="62"/>
      <c r="EUK3" s="62"/>
      <c r="EUL3" s="62"/>
      <c r="EUM3" s="62"/>
      <c r="EUN3" s="62"/>
      <c r="EUO3" s="62"/>
      <c r="EUP3" s="62"/>
      <c r="EUQ3" s="62"/>
      <c r="EUR3" s="62"/>
      <c r="EUS3" s="62"/>
      <c r="EUT3" s="62"/>
      <c r="EUU3" s="62"/>
      <c r="EUV3" s="62"/>
      <c r="EUW3" s="62"/>
      <c r="EUX3" s="62"/>
      <c r="EUY3" s="62"/>
      <c r="EUZ3" s="62"/>
      <c r="EVA3" s="62"/>
      <c r="EVB3" s="62"/>
      <c r="EVC3" s="62"/>
      <c r="EVD3" s="62"/>
      <c r="EVE3" s="62"/>
      <c r="EVF3" s="62"/>
      <c r="EVG3" s="62"/>
      <c r="EVH3" s="62"/>
      <c r="EVI3" s="62"/>
      <c r="EVJ3" s="62"/>
      <c r="EVK3" s="62"/>
      <c r="EVL3" s="62"/>
      <c r="EVM3" s="62"/>
      <c r="EVN3" s="62"/>
      <c r="EVO3" s="62"/>
      <c r="EVP3" s="62"/>
      <c r="EVQ3" s="62"/>
      <c r="EVR3" s="62"/>
      <c r="EVS3" s="62"/>
      <c r="EVT3" s="62"/>
      <c r="EVU3" s="62"/>
      <c r="EVV3" s="62"/>
      <c r="EVW3" s="62"/>
      <c r="EVX3" s="62"/>
      <c r="EVY3" s="62"/>
      <c r="EVZ3" s="62"/>
      <c r="EWA3" s="62"/>
      <c r="EWB3" s="62"/>
      <c r="EWC3" s="62"/>
      <c r="EWD3" s="62"/>
      <c r="EWE3" s="62"/>
      <c r="EWF3" s="62"/>
      <c r="EWG3" s="62"/>
      <c r="EWH3" s="62"/>
      <c r="EWI3" s="62"/>
      <c r="EWJ3" s="62"/>
      <c r="EWK3" s="62"/>
      <c r="EWL3" s="62"/>
      <c r="EWM3" s="62"/>
      <c r="EWN3" s="62"/>
      <c r="EWO3" s="62"/>
      <c r="EWP3" s="62"/>
      <c r="EWQ3" s="62"/>
      <c r="EWR3" s="62"/>
      <c r="EWS3" s="62"/>
      <c r="EWT3" s="62"/>
      <c r="EWU3" s="62"/>
      <c r="EWV3" s="62"/>
      <c r="EWW3" s="62"/>
      <c r="EWX3" s="62"/>
      <c r="EWY3" s="62"/>
      <c r="EWZ3" s="62"/>
      <c r="EXA3" s="62"/>
      <c r="EXB3" s="62"/>
      <c r="EXC3" s="62"/>
      <c r="EXD3" s="62"/>
      <c r="EXE3" s="62"/>
      <c r="EXF3" s="62"/>
      <c r="EXG3" s="62"/>
      <c r="EXH3" s="62"/>
      <c r="EXI3" s="62"/>
      <c r="EXJ3" s="62"/>
      <c r="EXK3" s="62"/>
      <c r="EXL3" s="62"/>
      <c r="EXM3" s="62"/>
      <c r="EXN3" s="62"/>
      <c r="EXO3" s="62"/>
      <c r="EXP3" s="62"/>
      <c r="EXQ3" s="62"/>
      <c r="EXR3" s="62"/>
      <c r="EXS3" s="62"/>
      <c r="EXT3" s="62"/>
      <c r="EXU3" s="62"/>
      <c r="EXV3" s="62"/>
      <c r="EXW3" s="62"/>
      <c r="EXX3" s="62"/>
      <c r="EXY3" s="62"/>
      <c r="EXZ3" s="62"/>
      <c r="EYA3" s="62"/>
      <c r="EYB3" s="62"/>
      <c r="EYC3" s="62"/>
      <c r="EYD3" s="62"/>
      <c r="EYE3" s="62"/>
      <c r="EYF3" s="62"/>
      <c r="EYG3" s="62"/>
      <c r="EYH3" s="62"/>
      <c r="EYI3" s="62"/>
      <c r="EYJ3" s="62"/>
      <c r="EYK3" s="62"/>
      <c r="EYL3" s="62"/>
      <c r="EYM3" s="62"/>
      <c r="EYN3" s="62"/>
      <c r="EYO3" s="62"/>
      <c r="EYP3" s="62"/>
      <c r="EYQ3" s="62"/>
      <c r="EYR3" s="62"/>
      <c r="EYS3" s="62"/>
      <c r="EYT3" s="62"/>
      <c r="EYU3" s="62"/>
      <c r="EYV3" s="62"/>
      <c r="EYW3" s="62"/>
      <c r="EYX3" s="62"/>
      <c r="EYY3" s="62"/>
      <c r="EYZ3" s="62"/>
      <c r="EZA3" s="62"/>
      <c r="EZB3" s="62"/>
      <c r="EZC3" s="62"/>
      <c r="EZD3" s="62"/>
      <c r="EZE3" s="62"/>
      <c r="EZF3" s="62"/>
      <c r="EZG3" s="62"/>
      <c r="EZH3" s="62"/>
      <c r="EZI3" s="62"/>
      <c r="EZJ3" s="62"/>
      <c r="EZK3" s="62"/>
      <c r="EZL3" s="62"/>
      <c r="EZM3" s="62"/>
      <c r="EZN3" s="62"/>
      <c r="EZO3" s="62"/>
      <c r="EZP3" s="62"/>
      <c r="EZQ3" s="62"/>
      <c r="EZR3" s="62"/>
      <c r="EZS3" s="62"/>
      <c r="EZT3" s="62"/>
      <c r="EZU3" s="62"/>
      <c r="EZV3" s="62"/>
      <c r="EZW3" s="62"/>
      <c r="EZX3" s="62"/>
      <c r="EZY3" s="62"/>
      <c r="EZZ3" s="62"/>
      <c r="FAA3" s="62"/>
      <c r="FAB3" s="62"/>
      <c r="FAC3" s="62"/>
      <c r="FAD3" s="62"/>
      <c r="FAE3" s="62"/>
      <c r="FAF3" s="62"/>
      <c r="FAG3" s="62"/>
      <c r="FAH3" s="62"/>
      <c r="FAI3" s="62"/>
      <c r="FAJ3" s="62"/>
      <c r="FAK3" s="62"/>
      <c r="FAL3" s="62"/>
      <c r="FAM3" s="62"/>
      <c r="FAN3" s="62"/>
      <c r="FAO3" s="62"/>
      <c r="FAP3" s="62"/>
      <c r="FAQ3" s="62"/>
      <c r="FAR3" s="62"/>
      <c r="FAS3" s="62"/>
      <c r="FAT3" s="62"/>
      <c r="FAU3" s="62"/>
      <c r="FAV3" s="62"/>
      <c r="FAW3" s="62"/>
      <c r="FAX3" s="62"/>
      <c r="FAY3" s="62"/>
      <c r="FAZ3" s="62"/>
      <c r="FBA3" s="62"/>
      <c r="FBB3" s="62"/>
      <c r="FBC3" s="62"/>
      <c r="FBD3" s="62"/>
      <c r="FBE3" s="62"/>
      <c r="FBF3" s="62"/>
      <c r="FBG3" s="62"/>
      <c r="FBH3" s="62"/>
      <c r="FBI3" s="62"/>
      <c r="FBJ3" s="62"/>
      <c r="FBK3" s="62"/>
      <c r="FBL3" s="62"/>
      <c r="FBM3" s="62"/>
      <c r="FBN3" s="62"/>
      <c r="FBO3" s="62"/>
      <c r="FBP3" s="62"/>
      <c r="FBQ3" s="62"/>
      <c r="FBR3" s="62"/>
      <c r="FBS3" s="62"/>
      <c r="FBT3" s="62"/>
      <c r="FBU3" s="62"/>
      <c r="FBV3" s="62"/>
      <c r="FBW3" s="62"/>
      <c r="FBX3" s="62"/>
      <c r="FBY3" s="62"/>
      <c r="FBZ3" s="62"/>
      <c r="FCA3" s="62"/>
      <c r="FCB3" s="62"/>
      <c r="FCC3" s="62"/>
      <c r="FCD3" s="62"/>
      <c r="FCE3" s="62"/>
      <c r="FCF3" s="62"/>
      <c r="FCG3" s="62"/>
      <c r="FCH3" s="62"/>
      <c r="FCI3" s="62"/>
      <c r="FCJ3" s="62"/>
      <c r="FCK3" s="62"/>
      <c r="FCL3" s="62"/>
      <c r="FCM3" s="62"/>
      <c r="FCN3" s="62"/>
      <c r="FCO3" s="62"/>
      <c r="FCP3" s="62"/>
      <c r="FCQ3" s="62"/>
      <c r="FCR3" s="62"/>
      <c r="FCS3" s="62"/>
      <c r="FCT3" s="62"/>
      <c r="FCU3" s="62"/>
      <c r="FCV3" s="62"/>
      <c r="FCW3" s="62"/>
      <c r="FCX3" s="62"/>
      <c r="FCY3" s="62"/>
      <c r="FCZ3" s="62"/>
      <c r="FDA3" s="62"/>
      <c r="FDB3" s="62"/>
      <c r="FDC3" s="62"/>
      <c r="FDD3" s="62"/>
      <c r="FDE3" s="62"/>
      <c r="FDF3" s="62"/>
      <c r="FDG3" s="62"/>
      <c r="FDH3" s="62"/>
      <c r="FDI3" s="62"/>
      <c r="FDJ3" s="62"/>
      <c r="FDK3" s="62"/>
      <c r="FDL3" s="62"/>
      <c r="FDM3" s="62"/>
      <c r="FDN3" s="62"/>
      <c r="FDO3" s="62"/>
      <c r="FDP3" s="62"/>
      <c r="FDQ3" s="62"/>
      <c r="FDR3" s="62"/>
      <c r="FDS3" s="62"/>
      <c r="FDT3" s="62"/>
      <c r="FDU3" s="62"/>
      <c r="FDV3" s="62"/>
      <c r="FDW3" s="62"/>
      <c r="FDX3" s="62"/>
      <c r="FDY3" s="62"/>
      <c r="FDZ3" s="62"/>
      <c r="FEA3" s="62"/>
      <c r="FEB3" s="62"/>
      <c r="FEC3" s="62"/>
      <c r="FED3" s="62"/>
      <c r="FEE3" s="62"/>
      <c r="FEF3" s="62"/>
      <c r="FEG3" s="62"/>
      <c r="FEH3" s="62"/>
      <c r="FEI3" s="62"/>
      <c r="FEJ3" s="62"/>
      <c r="FEK3" s="62"/>
      <c r="FEL3" s="62"/>
      <c r="FEM3" s="62"/>
      <c r="FEN3" s="62"/>
      <c r="FEO3" s="62"/>
      <c r="FEP3" s="62"/>
      <c r="FEQ3" s="62"/>
      <c r="FER3" s="62"/>
      <c r="FES3" s="62"/>
      <c r="FET3" s="62"/>
      <c r="FEU3" s="62"/>
      <c r="FEV3" s="62"/>
      <c r="FEW3" s="62"/>
      <c r="FEX3" s="62"/>
      <c r="FEY3" s="62"/>
      <c r="FEZ3" s="62"/>
      <c r="FFA3" s="62"/>
      <c r="FFB3" s="62"/>
      <c r="FFC3" s="62"/>
      <c r="FFD3" s="62"/>
      <c r="FFE3" s="62"/>
      <c r="FFF3" s="62"/>
      <c r="FFG3" s="62"/>
      <c r="FFH3" s="62"/>
      <c r="FFI3" s="62"/>
      <c r="FFJ3" s="62"/>
      <c r="FFK3" s="62"/>
      <c r="FFL3" s="62"/>
      <c r="FFM3" s="62"/>
      <c r="FFN3" s="62"/>
      <c r="FFO3" s="62"/>
      <c r="FFP3" s="62"/>
      <c r="FFQ3" s="62"/>
      <c r="FFR3" s="62"/>
      <c r="FFS3" s="62"/>
      <c r="FFT3" s="62"/>
      <c r="FFU3" s="62"/>
      <c r="FFV3" s="62"/>
      <c r="FFW3" s="62"/>
      <c r="FFX3" s="62"/>
      <c r="FFY3" s="62"/>
      <c r="FFZ3" s="62"/>
      <c r="FGA3" s="62"/>
      <c r="FGB3" s="62"/>
      <c r="FGC3" s="62"/>
      <c r="FGD3" s="62"/>
      <c r="FGE3" s="62"/>
      <c r="FGF3" s="62"/>
      <c r="FGG3" s="62"/>
      <c r="FGH3" s="62"/>
      <c r="FGI3" s="62"/>
      <c r="FGJ3" s="62"/>
      <c r="FGK3" s="62"/>
      <c r="FGL3" s="62"/>
      <c r="FGM3" s="62"/>
      <c r="FGN3" s="62"/>
      <c r="FGO3" s="62"/>
      <c r="FGP3" s="62"/>
      <c r="FGQ3" s="62"/>
      <c r="FGR3" s="62"/>
      <c r="FGS3" s="62"/>
      <c r="FGT3" s="62"/>
      <c r="FGU3" s="62"/>
      <c r="FGV3" s="62"/>
      <c r="FGW3" s="62"/>
      <c r="FGX3" s="62"/>
      <c r="FGY3" s="62"/>
      <c r="FGZ3" s="62"/>
      <c r="FHA3" s="62"/>
      <c r="FHB3" s="62"/>
      <c r="FHC3" s="62"/>
      <c r="FHD3" s="62"/>
      <c r="FHE3" s="62"/>
      <c r="FHF3" s="62"/>
      <c r="FHG3" s="62"/>
      <c r="FHH3" s="62"/>
      <c r="FHI3" s="62"/>
      <c r="FHJ3" s="62"/>
      <c r="FHK3" s="62"/>
      <c r="FHL3" s="62"/>
      <c r="FHM3" s="62"/>
      <c r="FHN3" s="62"/>
      <c r="FHO3" s="62"/>
      <c r="FHP3" s="62"/>
      <c r="FHQ3" s="62"/>
      <c r="FHR3" s="62"/>
      <c r="FHS3" s="62"/>
      <c r="FHT3" s="62"/>
      <c r="FHU3" s="62"/>
      <c r="FHV3" s="62"/>
      <c r="FHW3" s="62"/>
      <c r="FHX3" s="62"/>
      <c r="FHY3" s="62"/>
      <c r="FHZ3" s="62"/>
      <c r="FIA3" s="62"/>
      <c r="FIB3" s="62"/>
      <c r="FIC3" s="62"/>
      <c r="FID3" s="62"/>
      <c r="FIE3" s="62"/>
      <c r="FIF3" s="62"/>
      <c r="FIG3" s="62"/>
      <c r="FIH3" s="62"/>
      <c r="FII3" s="62"/>
      <c r="FIJ3" s="62"/>
      <c r="FIK3" s="62"/>
      <c r="FIL3" s="62"/>
      <c r="FIM3" s="62"/>
      <c r="FIN3" s="62"/>
      <c r="FIO3" s="62"/>
      <c r="FIP3" s="62"/>
      <c r="FIQ3" s="62"/>
      <c r="FIR3" s="62"/>
      <c r="FIS3" s="62"/>
      <c r="FIT3" s="62"/>
      <c r="FIU3" s="62"/>
      <c r="FIV3" s="62"/>
      <c r="FIW3" s="62"/>
      <c r="FIX3" s="62"/>
      <c r="FIY3" s="62"/>
      <c r="FIZ3" s="62"/>
      <c r="FJA3" s="62"/>
      <c r="FJB3" s="62"/>
      <c r="FJC3" s="62"/>
      <c r="FJD3" s="62"/>
      <c r="FJE3" s="62"/>
      <c r="FJF3" s="62"/>
      <c r="FJG3" s="62"/>
      <c r="FJH3" s="62"/>
      <c r="FJI3" s="62"/>
      <c r="FJJ3" s="62"/>
      <c r="FJK3" s="62"/>
      <c r="FJL3" s="62"/>
      <c r="FJM3" s="62"/>
      <c r="FJN3" s="62"/>
      <c r="FJO3" s="62"/>
      <c r="FJP3" s="62"/>
      <c r="FJQ3" s="62"/>
      <c r="FJR3" s="62"/>
      <c r="FJS3" s="62"/>
      <c r="FJT3" s="62"/>
      <c r="FJU3" s="62"/>
      <c r="FJV3" s="62"/>
      <c r="FJW3" s="62"/>
      <c r="FJX3" s="62"/>
      <c r="FJY3" s="62"/>
      <c r="FJZ3" s="62"/>
      <c r="FKA3" s="62"/>
      <c r="FKB3" s="62"/>
      <c r="FKC3" s="62"/>
      <c r="FKD3" s="62"/>
      <c r="FKE3" s="62"/>
      <c r="FKF3" s="62"/>
      <c r="FKG3" s="62"/>
      <c r="FKH3" s="62"/>
      <c r="FKI3" s="62"/>
      <c r="FKJ3" s="62"/>
      <c r="FKK3" s="62"/>
      <c r="FKL3" s="62"/>
      <c r="FKM3" s="62"/>
      <c r="FKN3" s="62"/>
      <c r="FKO3" s="62"/>
      <c r="FKP3" s="62"/>
      <c r="FKQ3" s="62"/>
      <c r="FKR3" s="62"/>
      <c r="FKS3" s="62"/>
      <c r="FKT3" s="62"/>
      <c r="FKU3" s="62"/>
      <c r="FKV3" s="62"/>
      <c r="FKW3" s="62"/>
      <c r="FKX3" s="62"/>
      <c r="FKY3" s="62"/>
      <c r="FKZ3" s="62"/>
      <c r="FLA3" s="62"/>
      <c r="FLB3" s="62"/>
      <c r="FLC3" s="62"/>
      <c r="FLD3" s="62"/>
      <c r="FLE3" s="62"/>
      <c r="FLF3" s="62"/>
      <c r="FLG3" s="62"/>
      <c r="FLH3" s="62"/>
      <c r="FLI3" s="62"/>
      <c r="FLJ3" s="62"/>
      <c r="FLK3" s="62"/>
      <c r="FLL3" s="62"/>
      <c r="FLM3" s="62"/>
      <c r="FLN3" s="62"/>
      <c r="FLO3" s="62"/>
      <c r="FLP3" s="62"/>
      <c r="FLQ3" s="62"/>
      <c r="FLR3" s="62"/>
      <c r="FLS3" s="62"/>
      <c r="FLT3" s="62"/>
      <c r="FLU3" s="62"/>
      <c r="FLV3" s="62"/>
      <c r="FLW3" s="62"/>
      <c r="FLX3" s="62"/>
      <c r="FLY3" s="62"/>
      <c r="FLZ3" s="62"/>
      <c r="FMA3" s="62"/>
      <c r="FMB3" s="62"/>
      <c r="FMC3" s="62"/>
      <c r="FMD3" s="62"/>
      <c r="FME3" s="62"/>
      <c r="FMF3" s="62"/>
      <c r="FMG3" s="62"/>
      <c r="FMH3" s="62"/>
      <c r="FMI3" s="62"/>
      <c r="FMJ3" s="62"/>
      <c r="FMK3" s="62"/>
      <c r="FML3" s="62"/>
      <c r="FMM3" s="62"/>
      <c r="FMN3" s="62"/>
      <c r="FMO3" s="62"/>
      <c r="FMP3" s="62"/>
      <c r="FMQ3" s="62"/>
      <c r="FMR3" s="62"/>
      <c r="FMS3" s="62"/>
      <c r="FMT3" s="62"/>
      <c r="FMU3" s="62"/>
      <c r="FMV3" s="62"/>
      <c r="FMW3" s="62"/>
      <c r="FMX3" s="62"/>
      <c r="FMY3" s="62"/>
      <c r="FMZ3" s="62"/>
      <c r="FNA3" s="62"/>
      <c r="FNB3" s="62"/>
      <c r="FNC3" s="62"/>
      <c r="FND3" s="62"/>
      <c r="FNE3" s="62"/>
      <c r="FNF3" s="62"/>
      <c r="FNG3" s="62"/>
      <c r="FNH3" s="62"/>
      <c r="FNI3" s="62"/>
      <c r="FNJ3" s="62"/>
      <c r="FNK3" s="62"/>
      <c r="FNL3" s="62"/>
      <c r="FNM3" s="62"/>
      <c r="FNN3" s="62"/>
      <c r="FNO3" s="62"/>
      <c r="FNP3" s="62"/>
      <c r="FNQ3" s="62"/>
      <c r="FNR3" s="62"/>
      <c r="FNS3" s="62"/>
      <c r="FNT3" s="62"/>
      <c r="FNU3" s="62"/>
      <c r="FNV3" s="62"/>
      <c r="FNW3" s="62"/>
      <c r="FNX3" s="62"/>
      <c r="FNY3" s="62"/>
      <c r="FNZ3" s="62"/>
      <c r="FOA3" s="62"/>
      <c r="FOB3" s="62"/>
      <c r="FOC3" s="62"/>
      <c r="FOD3" s="62"/>
      <c r="FOE3" s="62"/>
      <c r="FOF3" s="62"/>
      <c r="FOG3" s="62"/>
      <c r="FOH3" s="62"/>
      <c r="FOI3" s="62"/>
      <c r="FOJ3" s="62"/>
      <c r="FOK3" s="62"/>
      <c r="FOL3" s="62"/>
      <c r="FOM3" s="62"/>
      <c r="FON3" s="62"/>
      <c r="FOO3" s="62"/>
      <c r="FOP3" s="62"/>
      <c r="FOQ3" s="62"/>
      <c r="FOR3" s="62"/>
      <c r="FOS3" s="62"/>
      <c r="FOT3" s="62"/>
      <c r="FOU3" s="62"/>
      <c r="FOV3" s="62"/>
      <c r="FOW3" s="62"/>
      <c r="FOX3" s="62"/>
      <c r="FOY3" s="62"/>
      <c r="FOZ3" s="62"/>
      <c r="FPA3" s="62"/>
      <c r="FPB3" s="62"/>
      <c r="FPC3" s="62"/>
      <c r="FPD3" s="62"/>
      <c r="FPE3" s="62"/>
      <c r="FPF3" s="62"/>
      <c r="FPG3" s="62"/>
      <c r="FPH3" s="62"/>
      <c r="FPI3" s="62"/>
      <c r="FPJ3" s="62"/>
      <c r="FPK3" s="62"/>
      <c r="FPL3" s="62"/>
      <c r="FPM3" s="62"/>
      <c r="FPN3" s="62"/>
      <c r="FPO3" s="62"/>
      <c r="FPP3" s="62"/>
      <c r="FPQ3" s="62"/>
      <c r="FPR3" s="62"/>
      <c r="FPS3" s="62"/>
      <c r="FPT3" s="62"/>
      <c r="FPU3" s="62"/>
      <c r="FPV3" s="62"/>
      <c r="FPW3" s="62"/>
      <c r="FPX3" s="62"/>
      <c r="FPY3" s="62"/>
      <c r="FPZ3" s="62"/>
      <c r="FQA3" s="62"/>
      <c r="FQB3" s="62"/>
      <c r="FQC3" s="62"/>
      <c r="FQD3" s="62"/>
      <c r="FQE3" s="62"/>
      <c r="FQF3" s="62"/>
      <c r="FQG3" s="62"/>
      <c r="FQH3" s="62"/>
      <c r="FQI3" s="62"/>
      <c r="FQJ3" s="62"/>
      <c r="FQK3" s="62"/>
      <c r="FQL3" s="62"/>
      <c r="FQM3" s="62"/>
      <c r="FQN3" s="62"/>
      <c r="FQO3" s="62"/>
      <c r="FQP3" s="62"/>
      <c r="FQQ3" s="62"/>
      <c r="FQR3" s="62"/>
      <c r="FQS3" s="62"/>
      <c r="FQT3" s="62"/>
      <c r="FQU3" s="62"/>
      <c r="FQV3" s="62"/>
      <c r="FQW3" s="62"/>
      <c r="FQX3" s="62"/>
      <c r="FQY3" s="62"/>
      <c r="FQZ3" s="62"/>
      <c r="FRA3" s="62"/>
      <c r="FRB3" s="62"/>
      <c r="FRC3" s="62"/>
      <c r="FRD3" s="62"/>
      <c r="FRE3" s="62"/>
      <c r="FRF3" s="62"/>
      <c r="FRG3" s="62"/>
      <c r="FRH3" s="62"/>
      <c r="FRI3" s="62"/>
      <c r="FRJ3" s="62"/>
      <c r="FRK3" s="62"/>
      <c r="FRL3" s="62"/>
      <c r="FRM3" s="62"/>
      <c r="FRN3" s="62"/>
      <c r="FRO3" s="62"/>
      <c r="FRP3" s="62"/>
      <c r="FRQ3" s="62"/>
      <c r="FRR3" s="62"/>
      <c r="FRS3" s="62"/>
      <c r="FRT3" s="62"/>
      <c r="FRU3" s="62"/>
      <c r="FRV3" s="62"/>
      <c r="FRW3" s="62"/>
      <c r="FRX3" s="62"/>
      <c r="FRY3" s="62"/>
      <c r="FRZ3" s="62"/>
      <c r="FSA3" s="62"/>
      <c r="FSB3" s="62"/>
      <c r="FSC3" s="62"/>
      <c r="FSD3" s="62"/>
      <c r="FSE3" s="62"/>
      <c r="FSF3" s="62"/>
      <c r="FSG3" s="62"/>
      <c r="FSH3" s="62"/>
      <c r="FSI3" s="62"/>
      <c r="FSJ3" s="62"/>
      <c r="FSK3" s="62"/>
      <c r="FSL3" s="62"/>
      <c r="FSM3" s="62"/>
      <c r="FSN3" s="62"/>
      <c r="FSO3" s="62"/>
      <c r="FSP3" s="62"/>
      <c r="FSQ3" s="62"/>
      <c r="FSR3" s="62"/>
      <c r="FSS3" s="62"/>
      <c r="FST3" s="62"/>
      <c r="FSU3" s="62"/>
      <c r="FSV3" s="62"/>
      <c r="FSW3" s="62"/>
      <c r="FSX3" s="62"/>
      <c r="FSY3" s="62"/>
      <c r="FSZ3" s="62"/>
      <c r="FTA3" s="62"/>
      <c r="FTB3" s="62"/>
      <c r="FTC3" s="62"/>
      <c r="FTD3" s="62"/>
      <c r="FTE3" s="62"/>
      <c r="FTF3" s="62"/>
      <c r="FTG3" s="62"/>
      <c r="FTH3" s="62"/>
      <c r="FTI3" s="62"/>
      <c r="FTJ3" s="62"/>
      <c r="FTK3" s="62"/>
      <c r="FTL3" s="62"/>
      <c r="FTM3" s="62"/>
      <c r="FTN3" s="62"/>
      <c r="FTO3" s="62"/>
      <c r="FTP3" s="62"/>
      <c r="FTQ3" s="62"/>
      <c r="FTR3" s="62"/>
      <c r="FTS3" s="62"/>
      <c r="FTT3" s="62"/>
      <c r="FTU3" s="62"/>
      <c r="FTV3" s="62"/>
      <c r="FTW3" s="62"/>
      <c r="FTX3" s="62"/>
      <c r="FTY3" s="62"/>
      <c r="FTZ3" s="62"/>
      <c r="FUA3" s="62"/>
      <c r="FUB3" s="62"/>
      <c r="FUC3" s="62"/>
      <c r="FUD3" s="62"/>
      <c r="FUE3" s="62"/>
      <c r="FUF3" s="62"/>
      <c r="FUG3" s="62"/>
      <c r="FUH3" s="62"/>
      <c r="FUI3" s="62"/>
      <c r="FUJ3" s="62"/>
      <c r="FUK3" s="62"/>
      <c r="FUL3" s="62"/>
      <c r="FUM3" s="62"/>
      <c r="FUN3" s="62"/>
      <c r="FUO3" s="62"/>
      <c r="FUP3" s="62"/>
      <c r="FUQ3" s="62"/>
      <c r="FUR3" s="62"/>
      <c r="FUS3" s="62"/>
      <c r="FUT3" s="62"/>
      <c r="FUU3" s="62"/>
      <c r="FUV3" s="62"/>
      <c r="FUW3" s="62"/>
      <c r="FUX3" s="62"/>
      <c r="FUY3" s="62"/>
      <c r="FUZ3" s="62"/>
      <c r="FVA3" s="62"/>
      <c r="FVB3" s="62"/>
      <c r="FVC3" s="62"/>
      <c r="FVD3" s="62"/>
      <c r="FVE3" s="62"/>
      <c r="FVF3" s="62"/>
      <c r="FVG3" s="62"/>
      <c r="FVH3" s="62"/>
      <c r="FVI3" s="62"/>
      <c r="FVJ3" s="62"/>
      <c r="FVK3" s="62"/>
      <c r="FVL3" s="62"/>
      <c r="FVM3" s="62"/>
      <c r="FVN3" s="62"/>
      <c r="FVO3" s="62"/>
      <c r="FVP3" s="62"/>
      <c r="FVQ3" s="62"/>
      <c r="FVR3" s="62"/>
      <c r="FVS3" s="62"/>
      <c r="FVT3" s="62"/>
      <c r="FVU3" s="62"/>
      <c r="FVV3" s="62"/>
      <c r="FVW3" s="62"/>
      <c r="FVX3" s="62"/>
      <c r="FVY3" s="62"/>
      <c r="FVZ3" s="62"/>
      <c r="FWA3" s="62"/>
      <c r="FWB3" s="62"/>
      <c r="FWC3" s="62"/>
      <c r="FWD3" s="62"/>
      <c r="FWE3" s="62"/>
      <c r="FWF3" s="62"/>
      <c r="FWG3" s="62"/>
      <c r="FWH3" s="62"/>
      <c r="FWI3" s="62"/>
      <c r="FWJ3" s="62"/>
      <c r="FWK3" s="62"/>
      <c r="FWL3" s="62"/>
      <c r="FWM3" s="62"/>
      <c r="FWN3" s="62"/>
      <c r="FWO3" s="62"/>
      <c r="FWP3" s="62"/>
      <c r="FWQ3" s="62"/>
      <c r="FWR3" s="62"/>
      <c r="FWS3" s="62"/>
      <c r="FWT3" s="62"/>
      <c r="FWU3" s="62"/>
      <c r="FWV3" s="62"/>
      <c r="FWW3" s="62"/>
      <c r="FWX3" s="62"/>
      <c r="FWY3" s="62"/>
      <c r="FWZ3" s="62"/>
      <c r="FXA3" s="62"/>
      <c r="FXB3" s="62"/>
      <c r="FXC3" s="62"/>
      <c r="FXD3" s="62"/>
      <c r="FXE3" s="62"/>
      <c r="FXF3" s="62"/>
      <c r="FXG3" s="62"/>
      <c r="FXH3" s="62"/>
      <c r="FXI3" s="62"/>
      <c r="FXJ3" s="62"/>
      <c r="FXK3" s="62"/>
      <c r="FXL3" s="62"/>
      <c r="FXM3" s="62"/>
      <c r="FXN3" s="62"/>
      <c r="FXO3" s="62"/>
      <c r="FXP3" s="62"/>
      <c r="FXQ3" s="62"/>
      <c r="FXR3" s="62"/>
      <c r="FXS3" s="62"/>
      <c r="FXT3" s="62"/>
      <c r="FXU3" s="62"/>
      <c r="FXV3" s="62"/>
      <c r="FXW3" s="62"/>
      <c r="FXX3" s="62"/>
      <c r="FXY3" s="62"/>
      <c r="FXZ3" s="62"/>
      <c r="FYA3" s="62"/>
      <c r="FYB3" s="62"/>
      <c r="FYC3" s="62"/>
      <c r="FYD3" s="62"/>
      <c r="FYE3" s="62"/>
      <c r="FYF3" s="62"/>
      <c r="FYG3" s="62"/>
      <c r="FYH3" s="62"/>
      <c r="FYI3" s="62"/>
      <c r="FYJ3" s="62"/>
      <c r="FYK3" s="62"/>
      <c r="FYL3" s="62"/>
      <c r="FYM3" s="62"/>
      <c r="FYN3" s="62"/>
      <c r="FYO3" s="62"/>
      <c r="FYP3" s="62"/>
      <c r="FYQ3" s="62"/>
      <c r="FYR3" s="62"/>
      <c r="FYS3" s="62"/>
      <c r="FYT3" s="62"/>
      <c r="FYU3" s="62"/>
      <c r="FYV3" s="62"/>
      <c r="FYW3" s="62"/>
      <c r="FYX3" s="62"/>
      <c r="FYY3" s="62"/>
      <c r="FYZ3" s="62"/>
      <c r="FZA3" s="62"/>
      <c r="FZB3" s="62"/>
      <c r="FZC3" s="62"/>
      <c r="FZD3" s="62"/>
      <c r="FZE3" s="62"/>
      <c r="FZF3" s="62"/>
      <c r="FZG3" s="62"/>
      <c r="FZH3" s="62"/>
      <c r="FZI3" s="62"/>
      <c r="FZJ3" s="62"/>
      <c r="FZK3" s="62"/>
      <c r="FZL3" s="62"/>
      <c r="FZM3" s="62"/>
      <c r="FZN3" s="62"/>
      <c r="FZO3" s="62"/>
      <c r="FZP3" s="62"/>
      <c r="FZQ3" s="62"/>
      <c r="FZR3" s="62"/>
      <c r="FZS3" s="62"/>
      <c r="FZT3" s="62"/>
      <c r="FZU3" s="62"/>
      <c r="FZV3" s="62"/>
      <c r="FZW3" s="62"/>
      <c r="FZX3" s="62"/>
      <c r="FZY3" s="62"/>
      <c r="FZZ3" s="62"/>
      <c r="GAA3" s="62"/>
      <c r="GAB3" s="62"/>
      <c r="GAC3" s="62"/>
      <c r="GAD3" s="62"/>
      <c r="GAE3" s="62"/>
      <c r="GAF3" s="62"/>
      <c r="GAG3" s="62"/>
      <c r="GAH3" s="62"/>
      <c r="GAI3" s="62"/>
      <c r="GAJ3" s="62"/>
      <c r="GAK3" s="62"/>
      <c r="GAL3" s="62"/>
      <c r="GAM3" s="62"/>
      <c r="GAN3" s="62"/>
      <c r="GAO3" s="62"/>
      <c r="GAP3" s="62"/>
      <c r="GAQ3" s="62"/>
      <c r="GAR3" s="62"/>
      <c r="GAS3" s="62"/>
      <c r="GAT3" s="62"/>
      <c r="GAU3" s="62"/>
      <c r="GAV3" s="62"/>
      <c r="GAW3" s="62"/>
      <c r="GAX3" s="62"/>
      <c r="GAY3" s="62"/>
      <c r="GAZ3" s="62"/>
      <c r="GBA3" s="62"/>
      <c r="GBB3" s="62"/>
      <c r="GBC3" s="62"/>
      <c r="GBD3" s="62"/>
      <c r="GBE3" s="62"/>
      <c r="GBF3" s="62"/>
      <c r="GBG3" s="62"/>
      <c r="GBH3" s="62"/>
      <c r="GBI3" s="62"/>
      <c r="GBJ3" s="62"/>
      <c r="GBK3" s="62"/>
      <c r="GBL3" s="62"/>
      <c r="GBM3" s="62"/>
      <c r="GBN3" s="62"/>
      <c r="GBO3" s="62"/>
      <c r="GBP3" s="62"/>
      <c r="GBQ3" s="62"/>
      <c r="GBR3" s="62"/>
      <c r="GBS3" s="62"/>
      <c r="GBT3" s="62"/>
      <c r="GBU3" s="62"/>
      <c r="GBV3" s="62"/>
      <c r="GBW3" s="62"/>
      <c r="GBX3" s="62"/>
      <c r="GBY3" s="62"/>
      <c r="GBZ3" s="62"/>
      <c r="GCA3" s="62"/>
      <c r="GCB3" s="62"/>
      <c r="GCC3" s="62"/>
      <c r="GCD3" s="62"/>
      <c r="GCE3" s="62"/>
      <c r="GCF3" s="62"/>
      <c r="GCG3" s="62"/>
      <c r="GCH3" s="62"/>
      <c r="GCI3" s="62"/>
      <c r="GCJ3" s="62"/>
      <c r="GCK3" s="62"/>
      <c r="GCL3" s="62"/>
      <c r="GCM3" s="62"/>
      <c r="GCN3" s="62"/>
      <c r="GCO3" s="62"/>
      <c r="GCP3" s="62"/>
      <c r="GCQ3" s="62"/>
      <c r="GCR3" s="62"/>
      <c r="GCS3" s="62"/>
      <c r="GCT3" s="62"/>
      <c r="GCU3" s="62"/>
      <c r="GCV3" s="62"/>
      <c r="GCW3" s="62"/>
      <c r="GCX3" s="62"/>
      <c r="GCY3" s="62"/>
      <c r="GCZ3" s="62"/>
      <c r="GDA3" s="62"/>
      <c r="GDB3" s="62"/>
      <c r="GDC3" s="62"/>
      <c r="GDD3" s="62"/>
      <c r="GDE3" s="62"/>
      <c r="GDF3" s="62"/>
      <c r="GDG3" s="62"/>
      <c r="GDH3" s="62"/>
      <c r="GDI3" s="62"/>
      <c r="GDJ3" s="62"/>
      <c r="GDK3" s="62"/>
      <c r="GDL3" s="62"/>
      <c r="GDM3" s="62"/>
      <c r="GDN3" s="62"/>
      <c r="GDO3" s="62"/>
      <c r="GDP3" s="62"/>
      <c r="GDQ3" s="62"/>
      <c r="GDR3" s="62"/>
      <c r="GDS3" s="62"/>
      <c r="GDT3" s="62"/>
      <c r="GDU3" s="62"/>
      <c r="GDV3" s="62"/>
      <c r="GDW3" s="62"/>
      <c r="GDX3" s="62"/>
      <c r="GDY3" s="62"/>
      <c r="GDZ3" s="62"/>
      <c r="GEA3" s="62"/>
      <c r="GEB3" s="62"/>
      <c r="GEC3" s="62"/>
      <c r="GED3" s="62"/>
      <c r="GEE3" s="62"/>
      <c r="GEF3" s="62"/>
      <c r="GEG3" s="62"/>
      <c r="GEH3" s="62"/>
      <c r="GEI3" s="62"/>
      <c r="GEJ3" s="62"/>
      <c r="GEK3" s="62"/>
      <c r="GEL3" s="62"/>
      <c r="GEM3" s="62"/>
      <c r="GEN3" s="62"/>
      <c r="GEO3" s="62"/>
      <c r="GEP3" s="62"/>
      <c r="GEQ3" s="62"/>
      <c r="GER3" s="62"/>
      <c r="GES3" s="62"/>
      <c r="GET3" s="62"/>
      <c r="GEU3" s="62"/>
      <c r="GEV3" s="62"/>
      <c r="GEW3" s="62"/>
      <c r="GEX3" s="62"/>
      <c r="GEY3" s="62"/>
      <c r="GEZ3" s="62"/>
      <c r="GFA3" s="62"/>
      <c r="GFB3" s="62"/>
      <c r="GFC3" s="62"/>
      <c r="GFD3" s="62"/>
      <c r="GFE3" s="62"/>
      <c r="GFF3" s="62"/>
      <c r="GFG3" s="62"/>
      <c r="GFH3" s="62"/>
      <c r="GFI3" s="62"/>
      <c r="GFJ3" s="62"/>
      <c r="GFK3" s="62"/>
      <c r="GFL3" s="62"/>
      <c r="GFM3" s="62"/>
      <c r="GFN3" s="62"/>
      <c r="GFO3" s="62"/>
      <c r="GFP3" s="62"/>
      <c r="GFQ3" s="62"/>
      <c r="GFR3" s="62"/>
      <c r="GFS3" s="62"/>
      <c r="GFT3" s="62"/>
      <c r="GFU3" s="62"/>
      <c r="GFV3" s="62"/>
      <c r="GFW3" s="62"/>
      <c r="GFX3" s="62"/>
      <c r="GFY3" s="62"/>
      <c r="GFZ3" s="62"/>
      <c r="GGA3" s="62"/>
      <c r="GGB3" s="62"/>
      <c r="GGC3" s="62"/>
      <c r="GGD3" s="62"/>
      <c r="GGE3" s="62"/>
      <c r="GGF3" s="62"/>
      <c r="GGG3" s="62"/>
      <c r="GGH3" s="62"/>
      <c r="GGI3" s="62"/>
      <c r="GGJ3" s="62"/>
      <c r="GGK3" s="62"/>
      <c r="GGL3" s="62"/>
      <c r="GGM3" s="62"/>
      <c r="GGN3" s="62"/>
      <c r="GGO3" s="62"/>
      <c r="GGP3" s="62"/>
      <c r="GGQ3" s="62"/>
      <c r="GGR3" s="62"/>
      <c r="GGS3" s="62"/>
      <c r="GGT3" s="62"/>
      <c r="GGU3" s="62"/>
      <c r="GGV3" s="62"/>
      <c r="GGW3" s="62"/>
      <c r="GGX3" s="62"/>
      <c r="GGY3" s="62"/>
      <c r="GGZ3" s="62"/>
      <c r="GHA3" s="62"/>
      <c r="GHB3" s="62"/>
      <c r="GHC3" s="62"/>
      <c r="GHD3" s="62"/>
      <c r="GHE3" s="62"/>
      <c r="GHF3" s="62"/>
      <c r="GHG3" s="62"/>
      <c r="GHH3" s="62"/>
      <c r="GHI3" s="62"/>
      <c r="GHJ3" s="62"/>
      <c r="GHK3" s="62"/>
      <c r="GHL3" s="62"/>
      <c r="GHM3" s="62"/>
      <c r="GHN3" s="62"/>
      <c r="GHO3" s="62"/>
      <c r="GHP3" s="62"/>
      <c r="GHQ3" s="62"/>
      <c r="GHR3" s="62"/>
      <c r="GHS3" s="62"/>
      <c r="GHT3" s="62"/>
      <c r="GHU3" s="62"/>
      <c r="GHV3" s="62"/>
      <c r="GHW3" s="62"/>
      <c r="GHX3" s="62"/>
      <c r="GHY3" s="62"/>
      <c r="GHZ3" s="62"/>
      <c r="GIA3" s="62"/>
      <c r="GIB3" s="62"/>
      <c r="GIC3" s="62"/>
      <c r="GID3" s="62"/>
      <c r="GIE3" s="62"/>
      <c r="GIF3" s="62"/>
      <c r="GIG3" s="62"/>
      <c r="GIH3" s="62"/>
      <c r="GII3" s="62"/>
      <c r="GIJ3" s="62"/>
      <c r="GIK3" s="62"/>
      <c r="GIL3" s="62"/>
      <c r="GIM3" s="62"/>
      <c r="GIN3" s="62"/>
      <c r="GIO3" s="62"/>
      <c r="GIP3" s="62"/>
      <c r="GIQ3" s="62"/>
      <c r="GIR3" s="62"/>
      <c r="GIS3" s="62"/>
      <c r="GIT3" s="62"/>
      <c r="GIU3" s="62"/>
      <c r="GIV3" s="62"/>
      <c r="GIW3" s="62"/>
      <c r="GIX3" s="62"/>
      <c r="GIY3" s="62"/>
      <c r="GIZ3" s="62"/>
      <c r="GJA3" s="62"/>
      <c r="GJB3" s="62"/>
      <c r="GJC3" s="62"/>
      <c r="GJD3" s="62"/>
      <c r="GJE3" s="62"/>
      <c r="GJF3" s="62"/>
      <c r="GJG3" s="62"/>
      <c r="GJH3" s="62"/>
      <c r="GJI3" s="62"/>
      <c r="GJJ3" s="62"/>
      <c r="GJK3" s="62"/>
      <c r="GJL3" s="62"/>
      <c r="GJM3" s="62"/>
      <c r="GJN3" s="62"/>
      <c r="GJO3" s="62"/>
      <c r="GJP3" s="62"/>
      <c r="GJQ3" s="62"/>
      <c r="GJR3" s="62"/>
      <c r="GJS3" s="62"/>
      <c r="GJT3" s="62"/>
      <c r="GJU3" s="62"/>
      <c r="GJV3" s="62"/>
      <c r="GJW3" s="62"/>
      <c r="GJX3" s="62"/>
      <c r="GJY3" s="62"/>
      <c r="GJZ3" s="62"/>
      <c r="GKA3" s="62"/>
      <c r="GKB3" s="62"/>
      <c r="GKC3" s="62"/>
      <c r="GKD3" s="62"/>
      <c r="GKE3" s="62"/>
      <c r="GKF3" s="62"/>
      <c r="GKG3" s="62"/>
      <c r="GKH3" s="62"/>
      <c r="GKI3" s="62"/>
      <c r="GKJ3" s="62"/>
      <c r="GKK3" s="62"/>
      <c r="GKL3" s="62"/>
      <c r="GKM3" s="62"/>
      <c r="GKN3" s="62"/>
      <c r="GKO3" s="62"/>
      <c r="GKP3" s="62"/>
      <c r="GKQ3" s="62"/>
      <c r="GKR3" s="62"/>
      <c r="GKS3" s="62"/>
      <c r="GKT3" s="62"/>
      <c r="GKU3" s="62"/>
      <c r="GKV3" s="62"/>
      <c r="GKW3" s="62"/>
      <c r="GKX3" s="62"/>
      <c r="GKY3" s="62"/>
      <c r="GKZ3" s="62"/>
      <c r="GLA3" s="62"/>
      <c r="GLB3" s="62"/>
      <c r="GLC3" s="62"/>
      <c r="GLD3" s="62"/>
      <c r="GLE3" s="62"/>
      <c r="GLF3" s="62"/>
      <c r="GLG3" s="62"/>
      <c r="GLH3" s="62"/>
      <c r="GLI3" s="62"/>
      <c r="GLJ3" s="62"/>
      <c r="GLK3" s="62"/>
      <c r="GLL3" s="62"/>
      <c r="GLM3" s="62"/>
      <c r="GLN3" s="62"/>
      <c r="GLO3" s="62"/>
      <c r="GLP3" s="62"/>
      <c r="GLQ3" s="62"/>
      <c r="GLR3" s="62"/>
      <c r="GLS3" s="62"/>
      <c r="GLT3" s="62"/>
      <c r="GLU3" s="62"/>
      <c r="GLV3" s="62"/>
      <c r="GLW3" s="62"/>
      <c r="GLX3" s="62"/>
      <c r="GLY3" s="62"/>
      <c r="GLZ3" s="62"/>
      <c r="GMA3" s="62"/>
      <c r="GMB3" s="62"/>
      <c r="GMC3" s="62"/>
      <c r="GMD3" s="62"/>
      <c r="GME3" s="62"/>
      <c r="GMF3" s="62"/>
      <c r="GMG3" s="62"/>
      <c r="GMH3" s="62"/>
      <c r="GMI3" s="62"/>
      <c r="GMJ3" s="62"/>
      <c r="GMK3" s="62"/>
      <c r="GML3" s="62"/>
      <c r="GMM3" s="62"/>
      <c r="GMN3" s="62"/>
      <c r="GMO3" s="62"/>
      <c r="GMP3" s="62"/>
      <c r="GMQ3" s="62"/>
      <c r="GMR3" s="62"/>
      <c r="GMS3" s="62"/>
      <c r="GMT3" s="62"/>
      <c r="GMU3" s="62"/>
      <c r="GMV3" s="62"/>
      <c r="GMW3" s="62"/>
      <c r="GMX3" s="62"/>
      <c r="GMY3" s="62"/>
      <c r="GMZ3" s="62"/>
      <c r="GNA3" s="62"/>
      <c r="GNB3" s="62"/>
      <c r="GNC3" s="62"/>
      <c r="GND3" s="62"/>
      <c r="GNE3" s="62"/>
      <c r="GNF3" s="62"/>
      <c r="GNG3" s="62"/>
      <c r="GNH3" s="62"/>
      <c r="GNI3" s="62"/>
      <c r="GNJ3" s="62"/>
      <c r="GNK3" s="62"/>
      <c r="GNL3" s="62"/>
      <c r="GNM3" s="62"/>
      <c r="GNN3" s="62"/>
      <c r="GNO3" s="62"/>
      <c r="GNP3" s="62"/>
      <c r="GNQ3" s="62"/>
      <c r="GNR3" s="62"/>
      <c r="GNS3" s="62"/>
      <c r="GNT3" s="62"/>
      <c r="GNU3" s="62"/>
      <c r="GNV3" s="62"/>
      <c r="GNW3" s="62"/>
      <c r="GNX3" s="62"/>
      <c r="GNY3" s="62"/>
      <c r="GNZ3" s="62"/>
      <c r="GOA3" s="62"/>
      <c r="GOB3" s="62"/>
      <c r="GOC3" s="62"/>
      <c r="GOD3" s="62"/>
      <c r="GOE3" s="62"/>
      <c r="GOF3" s="62"/>
      <c r="GOG3" s="62"/>
      <c r="GOH3" s="62"/>
      <c r="GOI3" s="62"/>
      <c r="GOJ3" s="62"/>
      <c r="GOK3" s="62"/>
      <c r="GOL3" s="62"/>
      <c r="GOM3" s="62"/>
      <c r="GON3" s="62"/>
      <c r="GOO3" s="62"/>
      <c r="GOP3" s="62"/>
      <c r="GOQ3" s="62"/>
      <c r="GOR3" s="62"/>
      <c r="GOS3" s="62"/>
      <c r="GOT3" s="62"/>
      <c r="GOU3" s="62"/>
      <c r="GOV3" s="62"/>
      <c r="GOW3" s="62"/>
      <c r="GOX3" s="62"/>
      <c r="GOY3" s="62"/>
      <c r="GOZ3" s="62"/>
      <c r="GPA3" s="62"/>
      <c r="GPB3" s="62"/>
      <c r="GPC3" s="62"/>
      <c r="GPD3" s="62"/>
      <c r="GPE3" s="62"/>
      <c r="GPF3" s="62"/>
      <c r="GPG3" s="62"/>
      <c r="GPH3" s="62"/>
      <c r="GPI3" s="62"/>
      <c r="GPJ3" s="62"/>
      <c r="GPK3" s="62"/>
      <c r="GPL3" s="62"/>
      <c r="GPM3" s="62"/>
      <c r="GPN3" s="62"/>
      <c r="GPO3" s="62"/>
      <c r="GPP3" s="62"/>
      <c r="GPQ3" s="62"/>
      <c r="GPR3" s="62"/>
      <c r="GPS3" s="62"/>
      <c r="GPT3" s="62"/>
      <c r="GPU3" s="62"/>
      <c r="GPV3" s="62"/>
      <c r="GPW3" s="62"/>
      <c r="GPX3" s="62"/>
      <c r="GPY3" s="62"/>
      <c r="GPZ3" s="62"/>
      <c r="GQA3" s="62"/>
      <c r="GQB3" s="62"/>
      <c r="GQC3" s="62"/>
      <c r="GQD3" s="62"/>
      <c r="GQE3" s="62"/>
      <c r="GQF3" s="62"/>
      <c r="GQG3" s="62"/>
      <c r="GQH3" s="62"/>
      <c r="GQI3" s="62"/>
      <c r="GQJ3" s="62"/>
      <c r="GQK3" s="62"/>
      <c r="GQL3" s="62"/>
      <c r="GQM3" s="62"/>
      <c r="GQN3" s="62"/>
      <c r="GQO3" s="62"/>
      <c r="GQP3" s="62"/>
      <c r="GQQ3" s="62"/>
      <c r="GQR3" s="62"/>
      <c r="GQS3" s="62"/>
      <c r="GQT3" s="62"/>
      <c r="GQU3" s="62"/>
      <c r="GQV3" s="62"/>
      <c r="GQW3" s="62"/>
      <c r="GQX3" s="62"/>
      <c r="GQY3" s="62"/>
      <c r="GQZ3" s="62"/>
      <c r="GRA3" s="62"/>
      <c r="GRB3" s="62"/>
      <c r="GRC3" s="62"/>
      <c r="GRD3" s="62"/>
      <c r="GRE3" s="62"/>
      <c r="GRF3" s="62"/>
      <c r="GRG3" s="62"/>
      <c r="GRH3" s="62"/>
      <c r="GRI3" s="62"/>
      <c r="GRJ3" s="62"/>
      <c r="GRK3" s="62"/>
      <c r="GRL3" s="62"/>
      <c r="GRM3" s="62"/>
      <c r="GRN3" s="62"/>
      <c r="GRO3" s="62"/>
      <c r="GRP3" s="62"/>
      <c r="GRQ3" s="62"/>
      <c r="GRR3" s="62"/>
      <c r="GRS3" s="62"/>
      <c r="GRT3" s="62"/>
      <c r="GRU3" s="62"/>
      <c r="GRV3" s="62"/>
      <c r="GRW3" s="62"/>
      <c r="GRX3" s="62"/>
      <c r="GRY3" s="62"/>
      <c r="GRZ3" s="62"/>
      <c r="GSA3" s="62"/>
      <c r="GSB3" s="62"/>
      <c r="GSC3" s="62"/>
      <c r="GSD3" s="62"/>
      <c r="GSE3" s="62"/>
      <c r="GSF3" s="62"/>
      <c r="GSG3" s="62"/>
      <c r="GSH3" s="62"/>
      <c r="GSI3" s="62"/>
      <c r="GSJ3" s="62"/>
      <c r="GSK3" s="62"/>
      <c r="GSL3" s="62"/>
      <c r="GSM3" s="62"/>
      <c r="GSN3" s="62"/>
      <c r="GSO3" s="62"/>
      <c r="GSP3" s="62"/>
      <c r="GSQ3" s="62"/>
      <c r="GSR3" s="62"/>
      <c r="GSS3" s="62"/>
      <c r="GST3" s="62"/>
      <c r="GSU3" s="62"/>
      <c r="GSV3" s="62"/>
      <c r="GSW3" s="62"/>
      <c r="GSX3" s="62"/>
      <c r="GSY3" s="62"/>
      <c r="GSZ3" s="62"/>
      <c r="GTA3" s="62"/>
      <c r="GTB3" s="62"/>
      <c r="GTC3" s="62"/>
      <c r="GTD3" s="62"/>
      <c r="GTE3" s="62"/>
      <c r="GTF3" s="62"/>
      <c r="GTG3" s="62"/>
      <c r="GTH3" s="62"/>
      <c r="GTI3" s="62"/>
      <c r="GTJ3" s="62"/>
      <c r="GTK3" s="62"/>
      <c r="GTL3" s="62"/>
      <c r="GTM3" s="62"/>
      <c r="GTN3" s="62"/>
      <c r="GTO3" s="62"/>
      <c r="GTP3" s="62"/>
      <c r="GTQ3" s="62"/>
      <c r="GTR3" s="62"/>
      <c r="GTS3" s="62"/>
      <c r="GTT3" s="62"/>
      <c r="GTU3" s="62"/>
      <c r="GTV3" s="62"/>
      <c r="GTW3" s="62"/>
      <c r="GTX3" s="62"/>
      <c r="GTY3" s="62"/>
      <c r="GTZ3" s="62"/>
      <c r="GUA3" s="62"/>
      <c r="GUB3" s="62"/>
      <c r="GUC3" s="62"/>
      <c r="GUD3" s="62"/>
      <c r="GUE3" s="62"/>
      <c r="GUF3" s="62"/>
      <c r="GUG3" s="62"/>
      <c r="GUH3" s="62"/>
      <c r="GUI3" s="62"/>
      <c r="GUJ3" s="62"/>
      <c r="GUK3" s="62"/>
      <c r="GUL3" s="62"/>
      <c r="GUM3" s="62"/>
      <c r="GUN3" s="62"/>
      <c r="GUO3" s="62"/>
      <c r="GUP3" s="62"/>
      <c r="GUQ3" s="62"/>
      <c r="GUR3" s="62"/>
      <c r="GUS3" s="62"/>
      <c r="GUT3" s="62"/>
      <c r="GUU3" s="62"/>
      <c r="GUV3" s="62"/>
      <c r="GUW3" s="62"/>
      <c r="GUX3" s="62"/>
      <c r="GUY3" s="62"/>
      <c r="GUZ3" s="62"/>
      <c r="GVA3" s="62"/>
      <c r="GVB3" s="62"/>
      <c r="GVC3" s="62"/>
      <c r="GVD3" s="62"/>
      <c r="GVE3" s="62"/>
      <c r="GVF3" s="62"/>
      <c r="GVG3" s="62"/>
      <c r="GVH3" s="62"/>
      <c r="GVI3" s="62"/>
      <c r="GVJ3" s="62"/>
      <c r="GVK3" s="62"/>
      <c r="GVL3" s="62"/>
      <c r="GVM3" s="62"/>
      <c r="GVN3" s="62"/>
      <c r="GVO3" s="62"/>
      <c r="GVP3" s="62"/>
      <c r="GVQ3" s="62"/>
      <c r="GVR3" s="62"/>
      <c r="GVS3" s="62"/>
      <c r="GVT3" s="62"/>
      <c r="GVU3" s="62"/>
      <c r="GVV3" s="62"/>
      <c r="GVW3" s="62"/>
      <c r="GVX3" s="62"/>
      <c r="GVY3" s="62"/>
      <c r="GVZ3" s="62"/>
      <c r="GWA3" s="62"/>
      <c r="GWB3" s="62"/>
      <c r="GWC3" s="62"/>
      <c r="GWD3" s="62"/>
      <c r="GWE3" s="62"/>
      <c r="GWF3" s="62"/>
      <c r="GWG3" s="62"/>
      <c r="GWH3" s="62"/>
      <c r="GWI3" s="62"/>
      <c r="GWJ3" s="62"/>
      <c r="GWK3" s="62"/>
      <c r="GWL3" s="62"/>
      <c r="GWM3" s="62"/>
      <c r="GWN3" s="62"/>
      <c r="GWO3" s="62"/>
      <c r="GWP3" s="62"/>
      <c r="GWQ3" s="62"/>
      <c r="GWR3" s="62"/>
      <c r="GWS3" s="62"/>
      <c r="GWT3" s="62"/>
      <c r="GWU3" s="62"/>
      <c r="GWV3" s="62"/>
      <c r="GWW3" s="62"/>
      <c r="GWX3" s="62"/>
      <c r="GWY3" s="62"/>
      <c r="GWZ3" s="62"/>
      <c r="GXA3" s="62"/>
      <c r="GXB3" s="62"/>
      <c r="GXC3" s="62"/>
      <c r="GXD3" s="62"/>
      <c r="GXE3" s="62"/>
      <c r="GXF3" s="62"/>
      <c r="GXG3" s="62"/>
      <c r="GXH3" s="62"/>
      <c r="GXI3" s="62"/>
      <c r="GXJ3" s="62"/>
      <c r="GXK3" s="62"/>
      <c r="GXL3" s="62"/>
      <c r="GXM3" s="62"/>
      <c r="GXN3" s="62"/>
      <c r="GXO3" s="62"/>
      <c r="GXP3" s="62"/>
      <c r="GXQ3" s="62"/>
      <c r="GXR3" s="62"/>
      <c r="GXS3" s="62"/>
      <c r="GXT3" s="62"/>
      <c r="GXU3" s="62"/>
      <c r="GXV3" s="62"/>
      <c r="GXW3" s="62"/>
      <c r="GXX3" s="62"/>
      <c r="GXY3" s="62"/>
      <c r="GXZ3" s="62"/>
      <c r="GYA3" s="62"/>
      <c r="GYB3" s="62"/>
      <c r="GYC3" s="62"/>
      <c r="GYD3" s="62"/>
      <c r="GYE3" s="62"/>
      <c r="GYF3" s="62"/>
      <c r="GYG3" s="62"/>
      <c r="GYH3" s="62"/>
      <c r="GYI3" s="62"/>
      <c r="GYJ3" s="62"/>
      <c r="GYK3" s="62"/>
      <c r="GYL3" s="62"/>
      <c r="GYM3" s="62"/>
      <c r="GYN3" s="62"/>
      <c r="GYO3" s="62"/>
      <c r="GYP3" s="62"/>
      <c r="GYQ3" s="62"/>
      <c r="GYR3" s="62"/>
      <c r="GYS3" s="62"/>
      <c r="GYT3" s="62"/>
      <c r="GYU3" s="62"/>
      <c r="GYV3" s="62"/>
      <c r="GYW3" s="62"/>
      <c r="GYX3" s="62"/>
      <c r="GYY3" s="62"/>
      <c r="GYZ3" s="62"/>
      <c r="GZA3" s="62"/>
      <c r="GZB3" s="62"/>
      <c r="GZC3" s="62"/>
      <c r="GZD3" s="62"/>
      <c r="GZE3" s="62"/>
      <c r="GZF3" s="62"/>
      <c r="GZG3" s="62"/>
      <c r="GZH3" s="62"/>
      <c r="GZI3" s="62"/>
      <c r="GZJ3" s="62"/>
      <c r="GZK3" s="62"/>
      <c r="GZL3" s="62"/>
      <c r="GZM3" s="62"/>
      <c r="GZN3" s="62"/>
      <c r="GZO3" s="62"/>
      <c r="GZP3" s="62"/>
      <c r="GZQ3" s="62"/>
      <c r="GZR3" s="62"/>
      <c r="GZS3" s="62"/>
      <c r="GZT3" s="62"/>
      <c r="GZU3" s="62"/>
      <c r="GZV3" s="62"/>
      <c r="GZW3" s="62"/>
      <c r="GZX3" s="62"/>
      <c r="GZY3" s="62"/>
      <c r="GZZ3" s="62"/>
      <c r="HAA3" s="62"/>
      <c r="HAB3" s="62"/>
      <c r="HAC3" s="62"/>
      <c r="HAD3" s="62"/>
      <c r="HAE3" s="62"/>
      <c r="HAF3" s="62"/>
      <c r="HAG3" s="62"/>
      <c r="HAH3" s="62"/>
      <c r="HAI3" s="62"/>
      <c r="HAJ3" s="62"/>
      <c r="HAK3" s="62"/>
      <c r="HAL3" s="62"/>
      <c r="HAM3" s="62"/>
      <c r="HAN3" s="62"/>
      <c r="HAO3" s="62"/>
      <c r="HAP3" s="62"/>
      <c r="HAQ3" s="62"/>
      <c r="HAR3" s="62"/>
      <c r="HAS3" s="62"/>
      <c r="HAT3" s="62"/>
      <c r="HAU3" s="62"/>
      <c r="HAV3" s="62"/>
      <c r="HAW3" s="62"/>
      <c r="HAX3" s="62"/>
      <c r="HAY3" s="62"/>
      <c r="HAZ3" s="62"/>
      <c r="HBA3" s="62"/>
      <c r="HBB3" s="62"/>
      <c r="HBC3" s="62"/>
      <c r="HBD3" s="62"/>
      <c r="HBE3" s="62"/>
      <c r="HBF3" s="62"/>
      <c r="HBG3" s="62"/>
      <c r="HBH3" s="62"/>
      <c r="HBI3" s="62"/>
      <c r="HBJ3" s="62"/>
      <c r="HBK3" s="62"/>
      <c r="HBL3" s="62"/>
      <c r="HBM3" s="62"/>
      <c r="HBN3" s="62"/>
      <c r="HBO3" s="62"/>
      <c r="HBP3" s="62"/>
      <c r="HBQ3" s="62"/>
      <c r="HBR3" s="62"/>
      <c r="HBS3" s="62"/>
      <c r="HBT3" s="62"/>
      <c r="HBU3" s="62"/>
      <c r="HBV3" s="62"/>
      <c r="HBW3" s="62"/>
      <c r="HBX3" s="62"/>
      <c r="HBY3" s="62"/>
      <c r="HBZ3" s="62"/>
      <c r="HCA3" s="62"/>
      <c r="HCB3" s="62"/>
      <c r="HCC3" s="62"/>
      <c r="HCD3" s="62"/>
      <c r="HCE3" s="62"/>
      <c r="HCF3" s="62"/>
      <c r="HCG3" s="62"/>
      <c r="HCH3" s="62"/>
      <c r="HCI3" s="62"/>
      <c r="HCJ3" s="62"/>
      <c r="HCK3" s="62"/>
      <c r="HCL3" s="62"/>
      <c r="HCM3" s="62"/>
      <c r="HCN3" s="62"/>
      <c r="HCO3" s="62"/>
      <c r="HCP3" s="62"/>
      <c r="HCQ3" s="62"/>
      <c r="HCR3" s="62"/>
      <c r="HCS3" s="62"/>
      <c r="HCT3" s="62"/>
      <c r="HCU3" s="62"/>
      <c r="HCV3" s="62"/>
      <c r="HCW3" s="62"/>
      <c r="HCX3" s="62"/>
      <c r="HCY3" s="62"/>
      <c r="HCZ3" s="62"/>
      <c r="HDA3" s="62"/>
      <c r="HDB3" s="62"/>
      <c r="HDC3" s="62"/>
      <c r="HDD3" s="62"/>
      <c r="HDE3" s="62"/>
      <c r="HDF3" s="62"/>
      <c r="HDG3" s="62"/>
      <c r="HDH3" s="62"/>
      <c r="HDI3" s="62"/>
      <c r="HDJ3" s="62"/>
      <c r="HDK3" s="62"/>
      <c r="HDL3" s="62"/>
      <c r="HDM3" s="62"/>
      <c r="HDN3" s="62"/>
      <c r="HDO3" s="62"/>
      <c r="HDP3" s="62"/>
      <c r="HDQ3" s="62"/>
      <c r="HDR3" s="62"/>
      <c r="HDS3" s="62"/>
      <c r="HDT3" s="62"/>
      <c r="HDU3" s="62"/>
      <c r="HDV3" s="62"/>
      <c r="HDW3" s="62"/>
      <c r="HDX3" s="62"/>
      <c r="HDY3" s="62"/>
      <c r="HDZ3" s="62"/>
      <c r="HEA3" s="62"/>
      <c r="HEB3" s="62"/>
      <c r="HEC3" s="62"/>
      <c r="HED3" s="62"/>
      <c r="HEE3" s="62"/>
      <c r="HEF3" s="62"/>
      <c r="HEG3" s="62"/>
      <c r="HEH3" s="62"/>
      <c r="HEI3" s="62"/>
      <c r="HEJ3" s="62"/>
      <c r="HEK3" s="62"/>
      <c r="HEL3" s="62"/>
      <c r="HEM3" s="62"/>
      <c r="HEN3" s="62"/>
      <c r="HEO3" s="62"/>
      <c r="HEP3" s="62"/>
      <c r="HEQ3" s="62"/>
      <c r="HER3" s="62"/>
      <c r="HES3" s="62"/>
      <c r="HET3" s="62"/>
      <c r="HEU3" s="62"/>
      <c r="HEV3" s="62"/>
      <c r="HEW3" s="62"/>
      <c r="HEX3" s="62"/>
      <c r="HEY3" s="62"/>
      <c r="HEZ3" s="62"/>
      <c r="HFA3" s="62"/>
      <c r="HFB3" s="62"/>
      <c r="HFC3" s="62"/>
      <c r="HFD3" s="62"/>
      <c r="HFE3" s="62"/>
      <c r="HFF3" s="62"/>
      <c r="HFG3" s="62"/>
      <c r="HFH3" s="62"/>
      <c r="HFI3" s="62"/>
      <c r="HFJ3" s="62"/>
      <c r="HFK3" s="62"/>
      <c r="HFL3" s="62"/>
      <c r="HFM3" s="62"/>
      <c r="HFN3" s="62"/>
      <c r="HFO3" s="62"/>
      <c r="HFP3" s="62"/>
      <c r="HFQ3" s="62"/>
      <c r="HFR3" s="62"/>
      <c r="HFS3" s="62"/>
      <c r="HFT3" s="62"/>
      <c r="HFU3" s="62"/>
      <c r="HFV3" s="62"/>
      <c r="HFW3" s="62"/>
      <c r="HFX3" s="62"/>
      <c r="HFY3" s="62"/>
      <c r="HFZ3" s="62"/>
      <c r="HGA3" s="62"/>
      <c r="HGB3" s="62"/>
      <c r="HGC3" s="62"/>
      <c r="HGD3" s="62"/>
      <c r="HGE3" s="62"/>
      <c r="HGF3" s="62"/>
      <c r="HGG3" s="62"/>
      <c r="HGH3" s="62"/>
      <c r="HGI3" s="62"/>
      <c r="HGJ3" s="62"/>
      <c r="HGK3" s="62"/>
      <c r="HGL3" s="62"/>
      <c r="HGM3" s="62"/>
      <c r="HGN3" s="62"/>
      <c r="HGO3" s="62"/>
      <c r="HGP3" s="62"/>
      <c r="HGQ3" s="62"/>
      <c r="HGR3" s="62"/>
      <c r="HGS3" s="62"/>
      <c r="HGT3" s="62"/>
      <c r="HGU3" s="62"/>
      <c r="HGV3" s="62"/>
      <c r="HGW3" s="62"/>
      <c r="HGX3" s="62"/>
      <c r="HGY3" s="62"/>
      <c r="HGZ3" s="62"/>
      <c r="HHA3" s="62"/>
      <c r="HHB3" s="62"/>
      <c r="HHC3" s="62"/>
      <c r="HHD3" s="62"/>
      <c r="HHE3" s="62"/>
      <c r="HHF3" s="62"/>
      <c r="HHG3" s="62"/>
      <c r="HHH3" s="62"/>
      <c r="HHI3" s="62"/>
      <c r="HHJ3" s="62"/>
      <c r="HHK3" s="62"/>
      <c r="HHL3" s="62"/>
      <c r="HHM3" s="62"/>
      <c r="HHN3" s="62"/>
      <c r="HHO3" s="62"/>
      <c r="HHP3" s="62"/>
      <c r="HHQ3" s="62"/>
      <c r="HHR3" s="62"/>
      <c r="HHS3" s="62"/>
      <c r="HHT3" s="62"/>
      <c r="HHU3" s="62"/>
      <c r="HHV3" s="62"/>
      <c r="HHW3" s="62"/>
      <c r="HHX3" s="62"/>
      <c r="HHY3" s="62"/>
      <c r="HHZ3" s="62"/>
      <c r="HIA3" s="62"/>
      <c r="HIB3" s="62"/>
      <c r="HIC3" s="62"/>
      <c r="HID3" s="62"/>
      <c r="HIE3" s="62"/>
      <c r="HIF3" s="62"/>
      <c r="HIG3" s="62"/>
      <c r="HIH3" s="62"/>
      <c r="HII3" s="62"/>
      <c r="HIJ3" s="62"/>
      <c r="HIK3" s="62"/>
      <c r="HIL3" s="62"/>
      <c r="HIM3" s="62"/>
      <c r="HIN3" s="62"/>
      <c r="HIO3" s="62"/>
      <c r="HIP3" s="62"/>
      <c r="HIQ3" s="62"/>
      <c r="HIR3" s="62"/>
      <c r="HIS3" s="62"/>
      <c r="HIT3" s="62"/>
      <c r="HIU3" s="62"/>
      <c r="HIV3" s="62"/>
      <c r="HIW3" s="62"/>
      <c r="HIX3" s="62"/>
      <c r="HIY3" s="62"/>
      <c r="HIZ3" s="62"/>
      <c r="HJA3" s="62"/>
      <c r="HJB3" s="62"/>
      <c r="HJC3" s="62"/>
      <c r="HJD3" s="62"/>
      <c r="HJE3" s="62"/>
      <c r="HJF3" s="62"/>
      <c r="HJG3" s="62"/>
      <c r="HJH3" s="62"/>
      <c r="HJI3" s="62"/>
      <c r="HJJ3" s="62"/>
      <c r="HJK3" s="62"/>
      <c r="HJL3" s="62"/>
      <c r="HJM3" s="62"/>
      <c r="HJN3" s="62"/>
      <c r="HJO3" s="62"/>
      <c r="HJP3" s="62"/>
      <c r="HJQ3" s="62"/>
      <c r="HJR3" s="62"/>
      <c r="HJS3" s="62"/>
      <c r="HJT3" s="62"/>
      <c r="HJU3" s="62"/>
      <c r="HJV3" s="62"/>
      <c r="HJW3" s="62"/>
      <c r="HJX3" s="62"/>
      <c r="HJY3" s="62"/>
      <c r="HJZ3" s="62"/>
      <c r="HKA3" s="62"/>
      <c r="HKB3" s="62"/>
      <c r="HKC3" s="62"/>
      <c r="HKD3" s="62"/>
      <c r="HKE3" s="62"/>
      <c r="HKF3" s="62"/>
      <c r="HKG3" s="62"/>
      <c r="HKH3" s="62"/>
      <c r="HKI3" s="62"/>
      <c r="HKJ3" s="62"/>
      <c r="HKK3" s="62"/>
      <c r="HKL3" s="62"/>
      <c r="HKM3" s="62"/>
      <c r="HKN3" s="62"/>
      <c r="HKO3" s="62"/>
      <c r="HKP3" s="62"/>
      <c r="HKQ3" s="62"/>
      <c r="HKR3" s="62"/>
      <c r="HKS3" s="62"/>
      <c r="HKT3" s="62"/>
      <c r="HKU3" s="62"/>
      <c r="HKV3" s="62"/>
      <c r="HKW3" s="62"/>
      <c r="HKX3" s="62"/>
      <c r="HKY3" s="62"/>
      <c r="HKZ3" s="62"/>
      <c r="HLA3" s="62"/>
      <c r="HLB3" s="62"/>
      <c r="HLC3" s="62"/>
      <c r="HLD3" s="62"/>
      <c r="HLE3" s="62"/>
      <c r="HLF3" s="62"/>
      <c r="HLG3" s="62"/>
      <c r="HLH3" s="62"/>
      <c r="HLI3" s="62"/>
      <c r="HLJ3" s="62"/>
      <c r="HLK3" s="62"/>
      <c r="HLL3" s="62"/>
      <c r="HLM3" s="62"/>
      <c r="HLN3" s="62"/>
      <c r="HLO3" s="62"/>
      <c r="HLP3" s="62"/>
      <c r="HLQ3" s="62"/>
      <c r="HLR3" s="62"/>
      <c r="HLS3" s="62"/>
      <c r="HLT3" s="62"/>
      <c r="HLU3" s="62"/>
      <c r="HLV3" s="62"/>
      <c r="HLW3" s="62"/>
      <c r="HLX3" s="62"/>
      <c r="HLY3" s="62"/>
      <c r="HLZ3" s="62"/>
      <c r="HMA3" s="62"/>
      <c r="HMB3" s="62"/>
      <c r="HMC3" s="62"/>
      <c r="HMD3" s="62"/>
      <c r="HME3" s="62"/>
      <c r="HMF3" s="62"/>
      <c r="HMG3" s="62"/>
      <c r="HMH3" s="62"/>
      <c r="HMI3" s="62"/>
      <c r="HMJ3" s="62"/>
      <c r="HMK3" s="62"/>
      <c r="HML3" s="62"/>
      <c r="HMM3" s="62"/>
      <c r="HMN3" s="62"/>
      <c r="HMO3" s="62"/>
      <c r="HMP3" s="62"/>
      <c r="HMQ3" s="62"/>
      <c r="HMR3" s="62"/>
      <c r="HMS3" s="62"/>
      <c r="HMT3" s="62"/>
      <c r="HMU3" s="62"/>
      <c r="HMV3" s="62"/>
      <c r="HMW3" s="62"/>
      <c r="HMX3" s="62"/>
      <c r="HMY3" s="62"/>
      <c r="HMZ3" s="62"/>
      <c r="HNA3" s="62"/>
      <c r="HNB3" s="62"/>
      <c r="HNC3" s="62"/>
      <c r="HND3" s="62"/>
      <c r="HNE3" s="62"/>
      <c r="HNF3" s="62"/>
      <c r="HNG3" s="62"/>
      <c r="HNH3" s="62"/>
      <c r="HNI3" s="62"/>
      <c r="HNJ3" s="62"/>
      <c r="HNK3" s="62"/>
      <c r="HNL3" s="62"/>
      <c r="HNM3" s="62"/>
      <c r="HNN3" s="62"/>
      <c r="HNO3" s="62"/>
      <c r="HNP3" s="62"/>
      <c r="HNQ3" s="62"/>
      <c r="HNR3" s="62"/>
      <c r="HNS3" s="62"/>
      <c r="HNT3" s="62"/>
      <c r="HNU3" s="62"/>
      <c r="HNV3" s="62"/>
      <c r="HNW3" s="62"/>
      <c r="HNX3" s="62"/>
      <c r="HNY3" s="62"/>
      <c r="HNZ3" s="62"/>
      <c r="HOA3" s="62"/>
      <c r="HOB3" s="62"/>
      <c r="HOC3" s="62"/>
      <c r="HOD3" s="62"/>
      <c r="HOE3" s="62"/>
      <c r="HOF3" s="62"/>
      <c r="HOG3" s="62"/>
      <c r="HOH3" s="62"/>
      <c r="HOI3" s="62"/>
      <c r="HOJ3" s="62"/>
      <c r="HOK3" s="62"/>
      <c r="HOL3" s="62"/>
      <c r="HOM3" s="62"/>
      <c r="HON3" s="62"/>
      <c r="HOO3" s="62"/>
      <c r="HOP3" s="62"/>
      <c r="HOQ3" s="62"/>
      <c r="HOR3" s="62"/>
      <c r="HOS3" s="62"/>
      <c r="HOT3" s="62"/>
      <c r="HOU3" s="62"/>
      <c r="HOV3" s="62"/>
      <c r="HOW3" s="62"/>
      <c r="HOX3" s="62"/>
      <c r="HOY3" s="62"/>
      <c r="HOZ3" s="62"/>
      <c r="HPA3" s="62"/>
      <c r="HPB3" s="62"/>
      <c r="HPC3" s="62"/>
      <c r="HPD3" s="62"/>
      <c r="HPE3" s="62"/>
      <c r="HPF3" s="62"/>
      <c r="HPG3" s="62"/>
      <c r="HPH3" s="62"/>
      <c r="HPI3" s="62"/>
      <c r="HPJ3" s="62"/>
      <c r="HPK3" s="62"/>
      <c r="HPL3" s="62"/>
      <c r="HPM3" s="62"/>
      <c r="HPN3" s="62"/>
      <c r="HPO3" s="62"/>
      <c r="HPP3" s="62"/>
      <c r="HPQ3" s="62"/>
      <c r="HPR3" s="62"/>
      <c r="HPS3" s="62"/>
      <c r="HPT3" s="62"/>
      <c r="HPU3" s="62"/>
      <c r="HPV3" s="62"/>
      <c r="HPW3" s="62"/>
      <c r="HPX3" s="62"/>
      <c r="HPY3" s="62"/>
      <c r="HPZ3" s="62"/>
      <c r="HQA3" s="62"/>
      <c r="HQB3" s="62"/>
      <c r="HQC3" s="62"/>
      <c r="HQD3" s="62"/>
      <c r="HQE3" s="62"/>
      <c r="HQF3" s="62"/>
      <c r="HQG3" s="62"/>
      <c r="HQH3" s="62"/>
      <c r="HQI3" s="62"/>
      <c r="HQJ3" s="62"/>
      <c r="HQK3" s="62"/>
      <c r="HQL3" s="62"/>
      <c r="HQM3" s="62"/>
      <c r="HQN3" s="62"/>
      <c r="HQO3" s="62"/>
      <c r="HQP3" s="62"/>
      <c r="HQQ3" s="62"/>
      <c r="HQR3" s="62"/>
      <c r="HQS3" s="62"/>
      <c r="HQT3" s="62"/>
      <c r="HQU3" s="62"/>
      <c r="HQV3" s="62"/>
      <c r="HQW3" s="62"/>
      <c r="HQX3" s="62"/>
      <c r="HQY3" s="62"/>
      <c r="HQZ3" s="62"/>
      <c r="HRA3" s="62"/>
      <c r="HRB3" s="62"/>
      <c r="HRC3" s="62"/>
      <c r="HRD3" s="62"/>
      <c r="HRE3" s="62"/>
      <c r="HRF3" s="62"/>
      <c r="HRG3" s="62"/>
      <c r="HRH3" s="62"/>
      <c r="HRI3" s="62"/>
      <c r="HRJ3" s="62"/>
      <c r="HRK3" s="62"/>
      <c r="HRL3" s="62"/>
      <c r="HRM3" s="62"/>
      <c r="HRN3" s="62"/>
      <c r="HRO3" s="62"/>
      <c r="HRP3" s="62"/>
      <c r="HRQ3" s="62"/>
      <c r="HRR3" s="62"/>
      <c r="HRS3" s="62"/>
      <c r="HRT3" s="62"/>
      <c r="HRU3" s="62"/>
      <c r="HRV3" s="62"/>
      <c r="HRW3" s="62"/>
      <c r="HRX3" s="62"/>
      <c r="HRY3" s="62"/>
      <c r="HRZ3" s="62"/>
      <c r="HSA3" s="62"/>
      <c r="HSB3" s="62"/>
      <c r="HSC3" s="62"/>
      <c r="HSD3" s="62"/>
      <c r="HSE3" s="62"/>
      <c r="HSF3" s="62"/>
      <c r="HSG3" s="62"/>
      <c r="HSH3" s="62"/>
      <c r="HSI3" s="62"/>
      <c r="HSJ3" s="62"/>
      <c r="HSK3" s="62"/>
      <c r="HSL3" s="62"/>
      <c r="HSM3" s="62"/>
      <c r="HSN3" s="62"/>
      <c r="HSO3" s="62"/>
      <c r="HSP3" s="62"/>
      <c r="HSQ3" s="62"/>
      <c r="HSR3" s="62"/>
      <c r="HSS3" s="62"/>
      <c r="HST3" s="62"/>
      <c r="HSU3" s="62"/>
      <c r="HSV3" s="62"/>
      <c r="HSW3" s="62"/>
      <c r="HSX3" s="62"/>
      <c r="HSY3" s="62"/>
      <c r="HSZ3" s="62"/>
      <c r="HTA3" s="62"/>
      <c r="HTB3" s="62"/>
      <c r="HTC3" s="62"/>
      <c r="HTD3" s="62"/>
      <c r="HTE3" s="62"/>
      <c r="HTF3" s="62"/>
      <c r="HTG3" s="62"/>
      <c r="HTH3" s="62"/>
      <c r="HTI3" s="62"/>
      <c r="HTJ3" s="62"/>
      <c r="HTK3" s="62"/>
      <c r="HTL3" s="62"/>
      <c r="HTM3" s="62"/>
      <c r="HTN3" s="62"/>
      <c r="HTO3" s="62"/>
      <c r="HTP3" s="62"/>
      <c r="HTQ3" s="62"/>
      <c r="HTR3" s="62"/>
      <c r="HTS3" s="62"/>
      <c r="HTT3" s="62"/>
      <c r="HTU3" s="62"/>
      <c r="HTV3" s="62"/>
      <c r="HTW3" s="62"/>
      <c r="HTX3" s="62"/>
      <c r="HTY3" s="62"/>
      <c r="HTZ3" s="62"/>
      <c r="HUA3" s="62"/>
      <c r="HUB3" s="62"/>
      <c r="HUC3" s="62"/>
      <c r="HUD3" s="62"/>
      <c r="HUE3" s="62"/>
      <c r="HUF3" s="62"/>
      <c r="HUG3" s="62"/>
      <c r="HUH3" s="62"/>
      <c r="HUI3" s="62"/>
      <c r="HUJ3" s="62"/>
      <c r="HUK3" s="62"/>
      <c r="HUL3" s="62"/>
      <c r="HUM3" s="62"/>
      <c r="HUN3" s="62"/>
      <c r="HUO3" s="62"/>
      <c r="HUP3" s="62"/>
      <c r="HUQ3" s="62"/>
      <c r="HUR3" s="62"/>
      <c r="HUS3" s="62"/>
      <c r="HUT3" s="62"/>
      <c r="HUU3" s="62"/>
      <c r="HUV3" s="62"/>
      <c r="HUW3" s="62"/>
      <c r="HUX3" s="62"/>
      <c r="HUY3" s="62"/>
      <c r="HUZ3" s="62"/>
      <c r="HVA3" s="62"/>
      <c r="HVB3" s="62"/>
      <c r="HVC3" s="62"/>
      <c r="HVD3" s="62"/>
      <c r="HVE3" s="62"/>
      <c r="HVF3" s="62"/>
      <c r="HVG3" s="62"/>
      <c r="HVH3" s="62"/>
      <c r="HVI3" s="62"/>
      <c r="HVJ3" s="62"/>
      <c r="HVK3" s="62"/>
      <c r="HVL3" s="62"/>
      <c r="HVM3" s="62"/>
      <c r="HVN3" s="62"/>
      <c r="HVO3" s="62"/>
      <c r="HVP3" s="62"/>
      <c r="HVQ3" s="62"/>
      <c r="HVR3" s="62"/>
      <c r="HVS3" s="62"/>
      <c r="HVT3" s="62"/>
      <c r="HVU3" s="62"/>
      <c r="HVV3" s="62"/>
      <c r="HVW3" s="62"/>
      <c r="HVX3" s="62"/>
      <c r="HVY3" s="62"/>
      <c r="HVZ3" s="62"/>
      <c r="HWA3" s="62"/>
      <c r="HWB3" s="62"/>
      <c r="HWC3" s="62"/>
      <c r="HWD3" s="62"/>
      <c r="HWE3" s="62"/>
      <c r="HWF3" s="62"/>
      <c r="HWG3" s="62"/>
      <c r="HWH3" s="62"/>
      <c r="HWI3" s="62"/>
      <c r="HWJ3" s="62"/>
      <c r="HWK3" s="62"/>
      <c r="HWL3" s="62"/>
      <c r="HWM3" s="62"/>
      <c r="HWN3" s="62"/>
      <c r="HWO3" s="62"/>
      <c r="HWP3" s="62"/>
      <c r="HWQ3" s="62"/>
      <c r="HWR3" s="62"/>
      <c r="HWS3" s="62"/>
      <c r="HWT3" s="62"/>
      <c r="HWU3" s="62"/>
      <c r="HWV3" s="62"/>
      <c r="HWW3" s="62"/>
      <c r="HWX3" s="62"/>
      <c r="HWY3" s="62"/>
      <c r="HWZ3" s="62"/>
      <c r="HXA3" s="62"/>
      <c r="HXB3" s="62"/>
      <c r="HXC3" s="62"/>
      <c r="HXD3" s="62"/>
      <c r="HXE3" s="62"/>
      <c r="HXF3" s="62"/>
      <c r="HXG3" s="62"/>
      <c r="HXH3" s="62"/>
      <c r="HXI3" s="62"/>
      <c r="HXJ3" s="62"/>
      <c r="HXK3" s="62"/>
      <c r="HXL3" s="62"/>
      <c r="HXM3" s="62"/>
      <c r="HXN3" s="62"/>
      <c r="HXO3" s="62"/>
      <c r="HXP3" s="62"/>
      <c r="HXQ3" s="62"/>
      <c r="HXR3" s="62"/>
      <c r="HXS3" s="62"/>
      <c r="HXT3" s="62"/>
      <c r="HXU3" s="62"/>
      <c r="HXV3" s="62"/>
      <c r="HXW3" s="62"/>
      <c r="HXX3" s="62"/>
      <c r="HXY3" s="62"/>
      <c r="HXZ3" s="62"/>
      <c r="HYA3" s="62"/>
      <c r="HYB3" s="62"/>
      <c r="HYC3" s="62"/>
      <c r="HYD3" s="62"/>
      <c r="HYE3" s="62"/>
      <c r="HYF3" s="62"/>
      <c r="HYG3" s="62"/>
      <c r="HYH3" s="62"/>
      <c r="HYI3" s="62"/>
      <c r="HYJ3" s="62"/>
      <c r="HYK3" s="62"/>
      <c r="HYL3" s="62"/>
      <c r="HYM3" s="62"/>
      <c r="HYN3" s="62"/>
      <c r="HYO3" s="62"/>
      <c r="HYP3" s="62"/>
      <c r="HYQ3" s="62"/>
      <c r="HYR3" s="62"/>
      <c r="HYS3" s="62"/>
      <c r="HYT3" s="62"/>
      <c r="HYU3" s="62"/>
      <c r="HYV3" s="62"/>
      <c r="HYW3" s="62"/>
      <c r="HYX3" s="62"/>
      <c r="HYY3" s="62"/>
      <c r="HYZ3" s="62"/>
      <c r="HZA3" s="62"/>
      <c r="HZB3" s="62"/>
      <c r="HZC3" s="62"/>
      <c r="HZD3" s="62"/>
      <c r="HZE3" s="62"/>
      <c r="HZF3" s="62"/>
      <c r="HZG3" s="62"/>
      <c r="HZH3" s="62"/>
      <c r="HZI3" s="62"/>
      <c r="HZJ3" s="62"/>
      <c r="HZK3" s="62"/>
      <c r="HZL3" s="62"/>
      <c r="HZM3" s="62"/>
      <c r="HZN3" s="62"/>
      <c r="HZO3" s="62"/>
      <c r="HZP3" s="62"/>
      <c r="HZQ3" s="62"/>
      <c r="HZR3" s="62"/>
      <c r="HZS3" s="62"/>
      <c r="HZT3" s="62"/>
      <c r="HZU3" s="62"/>
      <c r="HZV3" s="62"/>
      <c r="HZW3" s="62"/>
      <c r="HZX3" s="62"/>
      <c r="HZY3" s="62"/>
      <c r="HZZ3" s="62"/>
      <c r="IAA3" s="62"/>
      <c r="IAB3" s="62"/>
      <c r="IAC3" s="62"/>
      <c r="IAD3" s="62"/>
      <c r="IAE3" s="62"/>
      <c r="IAF3" s="62"/>
      <c r="IAG3" s="62"/>
      <c r="IAH3" s="62"/>
      <c r="IAI3" s="62"/>
      <c r="IAJ3" s="62"/>
      <c r="IAK3" s="62"/>
      <c r="IAL3" s="62"/>
      <c r="IAM3" s="62"/>
      <c r="IAN3" s="62"/>
      <c r="IAO3" s="62"/>
      <c r="IAP3" s="62"/>
      <c r="IAQ3" s="62"/>
      <c r="IAR3" s="62"/>
      <c r="IAS3" s="62"/>
      <c r="IAT3" s="62"/>
      <c r="IAU3" s="62"/>
      <c r="IAV3" s="62"/>
      <c r="IAW3" s="62"/>
      <c r="IAX3" s="62"/>
      <c r="IAY3" s="62"/>
      <c r="IAZ3" s="62"/>
      <c r="IBA3" s="62"/>
      <c r="IBB3" s="62"/>
      <c r="IBC3" s="62"/>
      <c r="IBD3" s="62"/>
      <c r="IBE3" s="62"/>
      <c r="IBF3" s="62"/>
      <c r="IBG3" s="62"/>
      <c r="IBH3" s="62"/>
      <c r="IBI3" s="62"/>
      <c r="IBJ3" s="62"/>
      <c r="IBK3" s="62"/>
      <c r="IBL3" s="62"/>
      <c r="IBM3" s="62"/>
      <c r="IBN3" s="62"/>
      <c r="IBO3" s="62"/>
      <c r="IBP3" s="62"/>
      <c r="IBQ3" s="62"/>
      <c r="IBR3" s="62"/>
      <c r="IBS3" s="62"/>
      <c r="IBT3" s="62"/>
      <c r="IBU3" s="62"/>
      <c r="IBV3" s="62"/>
      <c r="IBW3" s="62"/>
      <c r="IBX3" s="62"/>
      <c r="IBY3" s="62"/>
      <c r="IBZ3" s="62"/>
      <c r="ICA3" s="62"/>
      <c r="ICB3" s="62"/>
      <c r="ICC3" s="62"/>
      <c r="ICD3" s="62"/>
      <c r="ICE3" s="62"/>
      <c r="ICF3" s="62"/>
      <c r="ICG3" s="62"/>
      <c r="ICH3" s="62"/>
      <c r="ICI3" s="62"/>
      <c r="ICJ3" s="62"/>
      <c r="ICK3" s="62"/>
      <c r="ICL3" s="62"/>
      <c r="ICM3" s="62"/>
      <c r="ICN3" s="62"/>
      <c r="ICO3" s="62"/>
      <c r="ICP3" s="62"/>
      <c r="ICQ3" s="62"/>
      <c r="ICR3" s="62"/>
      <c r="ICS3" s="62"/>
      <c r="ICT3" s="62"/>
      <c r="ICU3" s="62"/>
      <c r="ICV3" s="62"/>
      <c r="ICW3" s="62"/>
      <c r="ICX3" s="62"/>
      <c r="ICY3" s="62"/>
      <c r="ICZ3" s="62"/>
      <c r="IDA3" s="62"/>
      <c r="IDB3" s="62"/>
      <c r="IDC3" s="62"/>
      <c r="IDD3" s="62"/>
      <c r="IDE3" s="62"/>
      <c r="IDF3" s="62"/>
      <c r="IDG3" s="62"/>
      <c r="IDH3" s="62"/>
      <c r="IDI3" s="62"/>
      <c r="IDJ3" s="62"/>
      <c r="IDK3" s="62"/>
      <c r="IDL3" s="62"/>
      <c r="IDM3" s="62"/>
      <c r="IDN3" s="62"/>
      <c r="IDO3" s="62"/>
      <c r="IDP3" s="62"/>
      <c r="IDQ3" s="62"/>
      <c r="IDR3" s="62"/>
      <c r="IDS3" s="62"/>
      <c r="IDT3" s="62"/>
      <c r="IDU3" s="62"/>
      <c r="IDV3" s="62"/>
      <c r="IDW3" s="62"/>
      <c r="IDX3" s="62"/>
      <c r="IDY3" s="62"/>
      <c r="IDZ3" s="62"/>
      <c r="IEA3" s="62"/>
      <c r="IEB3" s="62"/>
      <c r="IEC3" s="62"/>
      <c r="IED3" s="62"/>
      <c r="IEE3" s="62"/>
      <c r="IEF3" s="62"/>
      <c r="IEG3" s="62"/>
      <c r="IEH3" s="62"/>
      <c r="IEI3" s="62"/>
      <c r="IEJ3" s="62"/>
      <c r="IEK3" s="62"/>
      <c r="IEL3" s="62"/>
      <c r="IEM3" s="62"/>
      <c r="IEN3" s="62"/>
      <c r="IEO3" s="62"/>
      <c r="IEP3" s="62"/>
      <c r="IEQ3" s="62"/>
      <c r="IER3" s="62"/>
      <c r="IES3" s="62"/>
      <c r="IET3" s="62"/>
      <c r="IEU3" s="62"/>
      <c r="IEV3" s="62"/>
      <c r="IEW3" s="62"/>
      <c r="IEX3" s="62"/>
      <c r="IEY3" s="62"/>
      <c r="IEZ3" s="62"/>
      <c r="IFA3" s="62"/>
      <c r="IFB3" s="62"/>
      <c r="IFC3" s="62"/>
      <c r="IFD3" s="62"/>
      <c r="IFE3" s="62"/>
      <c r="IFF3" s="62"/>
      <c r="IFG3" s="62"/>
      <c r="IFH3" s="62"/>
      <c r="IFI3" s="62"/>
      <c r="IFJ3" s="62"/>
      <c r="IFK3" s="62"/>
      <c r="IFL3" s="62"/>
      <c r="IFM3" s="62"/>
      <c r="IFN3" s="62"/>
      <c r="IFO3" s="62"/>
      <c r="IFP3" s="62"/>
      <c r="IFQ3" s="62"/>
      <c r="IFR3" s="62"/>
      <c r="IFS3" s="62"/>
      <c r="IFT3" s="62"/>
      <c r="IFU3" s="62"/>
      <c r="IFV3" s="62"/>
      <c r="IFW3" s="62"/>
      <c r="IFX3" s="62"/>
      <c r="IFY3" s="62"/>
      <c r="IFZ3" s="62"/>
      <c r="IGA3" s="62"/>
      <c r="IGB3" s="62"/>
      <c r="IGC3" s="62"/>
      <c r="IGD3" s="62"/>
      <c r="IGE3" s="62"/>
      <c r="IGF3" s="62"/>
      <c r="IGG3" s="62"/>
      <c r="IGH3" s="62"/>
      <c r="IGI3" s="62"/>
      <c r="IGJ3" s="62"/>
      <c r="IGK3" s="62"/>
      <c r="IGL3" s="62"/>
      <c r="IGM3" s="62"/>
      <c r="IGN3" s="62"/>
      <c r="IGO3" s="62"/>
      <c r="IGP3" s="62"/>
      <c r="IGQ3" s="62"/>
      <c r="IGR3" s="62"/>
      <c r="IGS3" s="62"/>
      <c r="IGT3" s="62"/>
      <c r="IGU3" s="62"/>
      <c r="IGV3" s="62"/>
      <c r="IGW3" s="62"/>
      <c r="IGX3" s="62"/>
      <c r="IGY3" s="62"/>
      <c r="IGZ3" s="62"/>
      <c r="IHA3" s="62"/>
      <c r="IHB3" s="62"/>
      <c r="IHC3" s="62"/>
      <c r="IHD3" s="62"/>
      <c r="IHE3" s="62"/>
      <c r="IHF3" s="62"/>
      <c r="IHG3" s="62"/>
      <c r="IHH3" s="62"/>
      <c r="IHI3" s="62"/>
      <c r="IHJ3" s="62"/>
      <c r="IHK3" s="62"/>
      <c r="IHL3" s="62"/>
      <c r="IHM3" s="62"/>
      <c r="IHN3" s="62"/>
      <c r="IHO3" s="62"/>
      <c r="IHP3" s="62"/>
      <c r="IHQ3" s="62"/>
      <c r="IHR3" s="62"/>
      <c r="IHS3" s="62"/>
      <c r="IHT3" s="62"/>
      <c r="IHU3" s="62"/>
      <c r="IHV3" s="62"/>
      <c r="IHW3" s="62"/>
      <c r="IHX3" s="62"/>
      <c r="IHY3" s="62"/>
      <c r="IHZ3" s="62"/>
      <c r="IIA3" s="62"/>
      <c r="IIB3" s="62"/>
      <c r="IIC3" s="62"/>
      <c r="IID3" s="62"/>
      <c r="IIE3" s="62"/>
      <c r="IIF3" s="62"/>
      <c r="IIG3" s="62"/>
      <c r="IIH3" s="62"/>
      <c r="III3" s="62"/>
      <c r="IIJ3" s="62"/>
      <c r="IIK3" s="62"/>
      <c r="IIL3" s="62"/>
      <c r="IIM3" s="62"/>
      <c r="IIN3" s="62"/>
      <c r="IIO3" s="62"/>
      <c r="IIP3" s="62"/>
      <c r="IIQ3" s="62"/>
      <c r="IIR3" s="62"/>
      <c r="IIS3" s="62"/>
      <c r="IIT3" s="62"/>
      <c r="IIU3" s="62"/>
      <c r="IIV3" s="62"/>
      <c r="IIW3" s="62"/>
      <c r="IIX3" s="62"/>
      <c r="IIY3" s="62"/>
      <c r="IIZ3" s="62"/>
      <c r="IJA3" s="62"/>
      <c r="IJB3" s="62"/>
      <c r="IJC3" s="62"/>
      <c r="IJD3" s="62"/>
      <c r="IJE3" s="62"/>
      <c r="IJF3" s="62"/>
      <c r="IJG3" s="62"/>
      <c r="IJH3" s="62"/>
      <c r="IJI3" s="62"/>
      <c r="IJJ3" s="62"/>
      <c r="IJK3" s="62"/>
      <c r="IJL3" s="62"/>
      <c r="IJM3" s="62"/>
      <c r="IJN3" s="62"/>
      <c r="IJO3" s="62"/>
      <c r="IJP3" s="62"/>
      <c r="IJQ3" s="62"/>
      <c r="IJR3" s="62"/>
      <c r="IJS3" s="62"/>
      <c r="IJT3" s="62"/>
      <c r="IJU3" s="62"/>
      <c r="IJV3" s="62"/>
      <c r="IJW3" s="62"/>
      <c r="IJX3" s="62"/>
      <c r="IJY3" s="62"/>
      <c r="IJZ3" s="62"/>
      <c r="IKA3" s="62"/>
      <c r="IKB3" s="62"/>
      <c r="IKC3" s="62"/>
      <c r="IKD3" s="62"/>
      <c r="IKE3" s="62"/>
      <c r="IKF3" s="62"/>
      <c r="IKG3" s="62"/>
      <c r="IKH3" s="62"/>
      <c r="IKI3" s="62"/>
      <c r="IKJ3" s="62"/>
      <c r="IKK3" s="62"/>
      <c r="IKL3" s="62"/>
      <c r="IKM3" s="62"/>
      <c r="IKN3" s="62"/>
      <c r="IKO3" s="62"/>
      <c r="IKP3" s="62"/>
      <c r="IKQ3" s="62"/>
      <c r="IKR3" s="62"/>
      <c r="IKS3" s="62"/>
      <c r="IKT3" s="62"/>
      <c r="IKU3" s="62"/>
      <c r="IKV3" s="62"/>
      <c r="IKW3" s="62"/>
      <c r="IKX3" s="62"/>
      <c r="IKY3" s="62"/>
      <c r="IKZ3" s="62"/>
      <c r="ILA3" s="62"/>
      <c r="ILB3" s="62"/>
      <c r="ILC3" s="62"/>
      <c r="ILD3" s="62"/>
      <c r="ILE3" s="62"/>
      <c r="ILF3" s="62"/>
      <c r="ILG3" s="62"/>
      <c r="ILH3" s="62"/>
      <c r="ILI3" s="62"/>
      <c r="ILJ3" s="62"/>
      <c r="ILK3" s="62"/>
      <c r="ILL3" s="62"/>
      <c r="ILM3" s="62"/>
      <c r="ILN3" s="62"/>
      <c r="ILO3" s="62"/>
      <c r="ILP3" s="62"/>
      <c r="ILQ3" s="62"/>
      <c r="ILR3" s="62"/>
      <c r="ILS3" s="62"/>
      <c r="ILT3" s="62"/>
      <c r="ILU3" s="62"/>
      <c r="ILV3" s="62"/>
      <c r="ILW3" s="62"/>
      <c r="ILX3" s="62"/>
      <c r="ILY3" s="62"/>
      <c r="ILZ3" s="62"/>
      <c r="IMA3" s="62"/>
      <c r="IMB3" s="62"/>
      <c r="IMC3" s="62"/>
      <c r="IMD3" s="62"/>
      <c r="IME3" s="62"/>
      <c r="IMF3" s="62"/>
      <c r="IMG3" s="62"/>
      <c r="IMH3" s="62"/>
      <c r="IMI3" s="62"/>
      <c r="IMJ3" s="62"/>
      <c r="IMK3" s="62"/>
      <c r="IML3" s="62"/>
      <c r="IMM3" s="62"/>
      <c r="IMN3" s="62"/>
      <c r="IMO3" s="62"/>
      <c r="IMP3" s="62"/>
      <c r="IMQ3" s="62"/>
      <c r="IMR3" s="62"/>
      <c r="IMS3" s="62"/>
      <c r="IMT3" s="62"/>
      <c r="IMU3" s="62"/>
      <c r="IMV3" s="62"/>
      <c r="IMW3" s="62"/>
      <c r="IMX3" s="62"/>
      <c r="IMY3" s="62"/>
      <c r="IMZ3" s="62"/>
      <c r="INA3" s="62"/>
      <c r="INB3" s="62"/>
      <c r="INC3" s="62"/>
      <c r="IND3" s="62"/>
      <c r="INE3" s="62"/>
      <c r="INF3" s="62"/>
      <c r="ING3" s="62"/>
      <c r="INH3" s="62"/>
      <c r="INI3" s="62"/>
      <c r="INJ3" s="62"/>
      <c r="INK3" s="62"/>
      <c r="INL3" s="62"/>
      <c r="INM3" s="62"/>
      <c r="INN3" s="62"/>
      <c r="INO3" s="62"/>
      <c r="INP3" s="62"/>
      <c r="INQ3" s="62"/>
      <c r="INR3" s="62"/>
      <c r="INS3" s="62"/>
      <c r="INT3" s="62"/>
      <c r="INU3" s="62"/>
      <c r="INV3" s="62"/>
      <c r="INW3" s="62"/>
      <c r="INX3" s="62"/>
      <c r="INY3" s="62"/>
      <c r="INZ3" s="62"/>
      <c r="IOA3" s="62"/>
      <c r="IOB3" s="62"/>
      <c r="IOC3" s="62"/>
      <c r="IOD3" s="62"/>
      <c r="IOE3" s="62"/>
      <c r="IOF3" s="62"/>
      <c r="IOG3" s="62"/>
      <c r="IOH3" s="62"/>
      <c r="IOI3" s="62"/>
      <c r="IOJ3" s="62"/>
      <c r="IOK3" s="62"/>
      <c r="IOL3" s="62"/>
      <c r="IOM3" s="62"/>
      <c r="ION3" s="62"/>
      <c r="IOO3" s="62"/>
      <c r="IOP3" s="62"/>
      <c r="IOQ3" s="62"/>
      <c r="IOR3" s="62"/>
      <c r="IOS3" s="62"/>
      <c r="IOT3" s="62"/>
      <c r="IOU3" s="62"/>
      <c r="IOV3" s="62"/>
      <c r="IOW3" s="62"/>
      <c r="IOX3" s="62"/>
      <c r="IOY3" s="62"/>
      <c r="IOZ3" s="62"/>
      <c r="IPA3" s="62"/>
      <c r="IPB3" s="62"/>
      <c r="IPC3" s="62"/>
      <c r="IPD3" s="62"/>
      <c r="IPE3" s="62"/>
      <c r="IPF3" s="62"/>
      <c r="IPG3" s="62"/>
      <c r="IPH3" s="62"/>
      <c r="IPI3" s="62"/>
      <c r="IPJ3" s="62"/>
      <c r="IPK3" s="62"/>
      <c r="IPL3" s="62"/>
      <c r="IPM3" s="62"/>
      <c r="IPN3" s="62"/>
      <c r="IPO3" s="62"/>
      <c r="IPP3" s="62"/>
      <c r="IPQ3" s="62"/>
      <c r="IPR3" s="62"/>
      <c r="IPS3" s="62"/>
      <c r="IPT3" s="62"/>
      <c r="IPU3" s="62"/>
      <c r="IPV3" s="62"/>
      <c r="IPW3" s="62"/>
      <c r="IPX3" s="62"/>
      <c r="IPY3" s="62"/>
      <c r="IPZ3" s="62"/>
      <c r="IQA3" s="62"/>
      <c r="IQB3" s="62"/>
      <c r="IQC3" s="62"/>
      <c r="IQD3" s="62"/>
      <c r="IQE3" s="62"/>
      <c r="IQF3" s="62"/>
      <c r="IQG3" s="62"/>
      <c r="IQH3" s="62"/>
      <c r="IQI3" s="62"/>
      <c r="IQJ3" s="62"/>
      <c r="IQK3" s="62"/>
      <c r="IQL3" s="62"/>
      <c r="IQM3" s="62"/>
      <c r="IQN3" s="62"/>
      <c r="IQO3" s="62"/>
      <c r="IQP3" s="62"/>
      <c r="IQQ3" s="62"/>
      <c r="IQR3" s="62"/>
      <c r="IQS3" s="62"/>
      <c r="IQT3" s="62"/>
      <c r="IQU3" s="62"/>
      <c r="IQV3" s="62"/>
      <c r="IQW3" s="62"/>
      <c r="IQX3" s="62"/>
      <c r="IQY3" s="62"/>
      <c r="IQZ3" s="62"/>
      <c r="IRA3" s="62"/>
      <c r="IRB3" s="62"/>
      <c r="IRC3" s="62"/>
      <c r="IRD3" s="62"/>
      <c r="IRE3" s="62"/>
      <c r="IRF3" s="62"/>
      <c r="IRG3" s="62"/>
      <c r="IRH3" s="62"/>
      <c r="IRI3" s="62"/>
      <c r="IRJ3" s="62"/>
      <c r="IRK3" s="62"/>
      <c r="IRL3" s="62"/>
      <c r="IRM3" s="62"/>
      <c r="IRN3" s="62"/>
      <c r="IRO3" s="62"/>
      <c r="IRP3" s="62"/>
      <c r="IRQ3" s="62"/>
      <c r="IRR3" s="62"/>
      <c r="IRS3" s="62"/>
      <c r="IRT3" s="62"/>
      <c r="IRU3" s="62"/>
      <c r="IRV3" s="62"/>
      <c r="IRW3" s="62"/>
      <c r="IRX3" s="62"/>
      <c r="IRY3" s="62"/>
      <c r="IRZ3" s="62"/>
      <c r="ISA3" s="62"/>
      <c r="ISB3" s="62"/>
      <c r="ISC3" s="62"/>
      <c r="ISD3" s="62"/>
      <c r="ISE3" s="62"/>
      <c r="ISF3" s="62"/>
      <c r="ISG3" s="62"/>
      <c r="ISH3" s="62"/>
      <c r="ISI3" s="62"/>
      <c r="ISJ3" s="62"/>
      <c r="ISK3" s="62"/>
      <c r="ISL3" s="62"/>
      <c r="ISM3" s="62"/>
      <c r="ISN3" s="62"/>
      <c r="ISO3" s="62"/>
      <c r="ISP3" s="62"/>
      <c r="ISQ3" s="62"/>
      <c r="ISR3" s="62"/>
      <c r="ISS3" s="62"/>
      <c r="IST3" s="62"/>
      <c r="ISU3" s="62"/>
      <c r="ISV3" s="62"/>
      <c r="ISW3" s="62"/>
      <c r="ISX3" s="62"/>
      <c r="ISY3" s="62"/>
      <c r="ISZ3" s="62"/>
      <c r="ITA3" s="62"/>
      <c r="ITB3" s="62"/>
      <c r="ITC3" s="62"/>
      <c r="ITD3" s="62"/>
      <c r="ITE3" s="62"/>
      <c r="ITF3" s="62"/>
      <c r="ITG3" s="62"/>
      <c r="ITH3" s="62"/>
      <c r="ITI3" s="62"/>
      <c r="ITJ3" s="62"/>
      <c r="ITK3" s="62"/>
      <c r="ITL3" s="62"/>
      <c r="ITM3" s="62"/>
      <c r="ITN3" s="62"/>
      <c r="ITO3" s="62"/>
      <c r="ITP3" s="62"/>
      <c r="ITQ3" s="62"/>
      <c r="ITR3" s="62"/>
      <c r="ITS3" s="62"/>
      <c r="ITT3" s="62"/>
      <c r="ITU3" s="62"/>
      <c r="ITV3" s="62"/>
      <c r="ITW3" s="62"/>
      <c r="ITX3" s="62"/>
      <c r="ITY3" s="62"/>
      <c r="ITZ3" s="62"/>
      <c r="IUA3" s="62"/>
      <c r="IUB3" s="62"/>
      <c r="IUC3" s="62"/>
      <c r="IUD3" s="62"/>
      <c r="IUE3" s="62"/>
      <c r="IUF3" s="62"/>
      <c r="IUG3" s="62"/>
      <c r="IUH3" s="62"/>
      <c r="IUI3" s="62"/>
      <c r="IUJ3" s="62"/>
      <c r="IUK3" s="62"/>
      <c r="IUL3" s="62"/>
      <c r="IUM3" s="62"/>
      <c r="IUN3" s="62"/>
      <c r="IUO3" s="62"/>
      <c r="IUP3" s="62"/>
      <c r="IUQ3" s="62"/>
      <c r="IUR3" s="62"/>
      <c r="IUS3" s="62"/>
      <c r="IUT3" s="62"/>
      <c r="IUU3" s="62"/>
      <c r="IUV3" s="62"/>
      <c r="IUW3" s="62"/>
      <c r="IUX3" s="62"/>
      <c r="IUY3" s="62"/>
      <c r="IUZ3" s="62"/>
      <c r="IVA3" s="62"/>
      <c r="IVB3" s="62"/>
      <c r="IVC3" s="62"/>
      <c r="IVD3" s="62"/>
      <c r="IVE3" s="62"/>
      <c r="IVF3" s="62"/>
      <c r="IVG3" s="62"/>
      <c r="IVH3" s="62"/>
      <c r="IVI3" s="62"/>
      <c r="IVJ3" s="62"/>
      <c r="IVK3" s="62"/>
      <c r="IVL3" s="62"/>
      <c r="IVM3" s="62"/>
      <c r="IVN3" s="62"/>
      <c r="IVO3" s="62"/>
      <c r="IVP3" s="62"/>
      <c r="IVQ3" s="62"/>
      <c r="IVR3" s="62"/>
      <c r="IVS3" s="62"/>
      <c r="IVT3" s="62"/>
      <c r="IVU3" s="62"/>
      <c r="IVV3" s="62"/>
      <c r="IVW3" s="62"/>
      <c r="IVX3" s="62"/>
      <c r="IVY3" s="62"/>
      <c r="IVZ3" s="62"/>
      <c r="IWA3" s="62"/>
      <c r="IWB3" s="62"/>
      <c r="IWC3" s="62"/>
      <c r="IWD3" s="62"/>
      <c r="IWE3" s="62"/>
      <c r="IWF3" s="62"/>
      <c r="IWG3" s="62"/>
      <c r="IWH3" s="62"/>
      <c r="IWI3" s="62"/>
      <c r="IWJ3" s="62"/>
      <c r="IWK3" s="62"/>
      <c r="IWL3" s="62"/>
      <c r="IWM3" s="62"/>
      <c r="IWN3" s="62"/>
      <c r="IWO3" s="62"/>
      <c r="IWP3" s="62"/>
      <c r="IWQ3" s="62"/>
      <c r="IWR3" s="62"/>
      <c r="IWS3" s="62"/>
      <c r="IWT3" s="62"/>
      <c r="IWU3" s="62"/>
      <c r="IWV3" s="62"/>
      <c r="IWW3" s="62"/>
      <c r="IWX3" s="62"/>
      <c r="IWY3" s="62"/>
      <c r="IWZ3" s="62"/>
      <c r="IXA3" s="62"/>
      <c r="IXB3" s="62"/>
      <c r="IXC3" s="62"/>
      <c r="IXD3" s="62"/>
      <c r="IXE3" s="62"/>
      <c r="IXF3" s="62"/>
      <c r="IXG3" s="62"/>
      <c r="IXH3" s="62"/>
      <c r="IXI3" s="62"/>
      <c r="IXJ3" s="62"/>
      <c r="IXK3" s="62"/>
      <c r="IXL3" s="62"/>
      <c r="IXM3" s="62"/>
      <c r="IXN3" s="62"/>
      <c r="IXO3" s="62"/>
      <c r="IXP3" s="62"/>
      <c r="IXQ3" s="62"/>
      <c r="IXR3" s="62"/>
      <c r="IXS3" s="62"/>
      <c r="IXT3" s="62"/>
      <c r="IXU3" s="62"/>
      <c r="IXV3" s="62"/>
      <c r="IXW3" s="62"/>
      <c r="IXX3" s="62"/>
      <c r="IXY3" s="62"/>
      <c r="IXZ3" s="62"/>
      <c r="IYA3" s="62"/>
      <c r="IYB3" s="62"/>
      <c r="IYC3" s="62"/>
      <c r="IYD3" s="62"/>
      <c r="IYE3" s="62"/>
      <c r="IYF3" s="62"/>
      <c r="IYG3" s="62"/>
      <c r="IYH3" s="62"/>
      <c r="IYI3" s="62"/>
      <c r="IYJ3" s="62"/>
      <c r="IYK3" s="62"/>
      <c r="IYL3" s="62"/>
      <c r="IYM3" s="62"/>
      <c r="IYN3" s="62"/>
      <c r="IYO3" s="62"/>
      <c r="IYP3" s="62"/>
      <c r="IYQ3" s="62"/>
      <c r="IYR3" s="62"/>
      <c r="IYS3" s="62"/>
      <c r="IYT3" s="62"/>
      <c r="IYU3" s="62"/>
      <c r="IYV3" s="62"/>
      <c r="IYW3" s="62"/>
      <c r="IYX3" s="62"/>
      <c r="IYY3" s="62"/>
      <c r="IYZ3" s="62"/>
      <c r="IZA3" s="62"/>
      <c r="IZB3" s="62"/>
      <c r="IZC3" s="62"/>
      <c r="IZD3" s="62"/>
      <c r="IZE3" s="62"/>
      <c r="IZF3" s="62"/>
      <c r="IZG3" s="62"/>
      <c r="IZH3" s="62"/>
      <c r="IZI3" s="62"/>
      <c r="IZJ3" s="62"/>
      <c r="IZK3" s="62"/>
      <c r="IZL3" s="62"/>
      <c r="IZM3" s="62"/>
      <c r="IZN3" s="62"/>
      <c r="IZO3" s="62"/>
      <c r="IZP3" s="62"/>
      <c r="IZQ3" s="62"/>
      <c r="IZR3" s="62"/>
      <c r="IZS3" s="62"/>
      <c r="IZT3" s="62"/>
      <c r="IZU3" s="62"/>
      <c r="IZV3" s="62"/>
      <c r="IZW3" s="62"/>
      <c r="IZX3" s="62"/>
      <c r="IZY3" s="62"/>
      <c r="IZZ3" s="62"/>
      <c r="JAA3" s="62"/>
      <c r="JAB3" s="62"/>
      <c r="JAC3" s="62"/>
      <c r="JAD3" s="62"/>
      <c r="JAE3" s="62"/>
      <c r="JAF3" s="62"/>
      <c r="JAG3" s="62"/>
      <c r="JAH3" s="62"/>
      <c r="JAI3" s="62"/>
      <c r="JAJ3" s="62"/>
      <c r="JAK3" s="62"/>
      <c r="JAL3" s="62"/>
      <c r="JAM3" s="62"/>
      <c r="JAN3" s="62"/>
      <c r="JAO3" s="62"/>
      <c r="JAP3" s="62"/>
      <c r="JAQ3" s="62"/>
      <c r="JAR3" s="62"/>
      <c r="JAS3" s="62"/>
      <c r="JAT3" s="62"/>
      <c r="JAU3" s="62"/>
      <c r="JAV3" s="62"/>
      <c r="JAW3" s="62"/>
      <c r="JAX3" s="62"/>
      <c r="JAY3" s="62"/>
      <c r="JAZ3" s="62"/>
      <c r="JBA3" s="62"/>
      <c r="JBB3" s="62"/>
      <c r="JBC3" s="62"/>
      <c r="JBD3" s="62"/>
      <c r="JBE3" s="62"/>
      <c r="JBF3" s="62"/>
      <c r="JBG3" s="62"/>
      <c r="JBH3" s="62"/>
      <c r="JBI3" s="62"/>
      <c r="JBJ3" s="62"/>
      <c r="JBK3" s="62"/>
      <c r="JBL3" s="62"/>
      <c r="JBM3" s="62"/>
      <c r="JBN3" s="62"/>
      <c r="JBO3" s="62"/>
      <c r="JBP3" s="62"/>
      <c r="JBQ3" s="62"/>
      <c r="JBR3" s="62"/>
      <c r="JBS3" s="62"/>
      <c r="JBT3" s="62"/>
      <c r="JBU3" s="62"/>
      <c r="JBV3" s="62"/>
      <c r="JBW3" s="62"/>
      <c r="JBX3" s="62"/>
      <c r="JBY3" s="62"/>
      <c r="JBZ3" s="62"/>
      <c r="JCA3" s="62"/>
      <c r="JCB3" s="62"/>
      <c r="JCC3" s="62"/>
      <c r="JCD3" s="62"/>
      <c r="JCE3" s="62"/>
      <c r="JCF3" s="62"/>
      <c r="JCG3" s="62"/>
      <c r="JCH3" s="62"/>
      <c r="JCI3" s="62"/>
      <c r="JCJ3" s="62"/>
      <c r="JCK3" s="62"/>
      <c r="JCL3" s="62"/>
      <c r="JCM3" s="62"/>
      <c r="JCN3" s="62"/>
      <c r="JCO3" s="62"/>
      <c r="JCP3" s="62"/>
      <c r="JCQ3" s="62"/>
      <c r="JCR3" s="62"/>
      <c r="JCS3" s="62"/>
      <c r="JCT3" s="62"/>
      <c r="JCU3" s="62"/>
      <c r="JCV3" s="62"/>
      <c r="JCW3" s="62"/>
      <c r="JCX3" s="62"/>
      <c r="JCY3" s="62"/>
      <c r="JCZ3" s="62"/>
      <c r="JDA3" s="62"/>
      <c r="JDB3" s="62"/>
      <c r="JDC3" s="62"/>
      <c r="JDD3" s="62"/>
      <c r="JDE3" s="62"/>
      <c r="JDF3" s="62"/>
      <c r="JDG3" s="62"/>
      <c r="JDH3" s="62"/>
      <c r="JDI3" s="62"/>
      <c r="JDJ3" s="62"/>
      <c r="JDK3" s="62"/>
      <c r="JDL3" s="62"/>
      <c r="JDM3" s="62"/>
      <c r="JDN3" s="62"/>
      <c r="JDO3" s="62"/>
      <c r="JDP3" s="62"/>
      <c r="JDQ3" s="62"/>
      <c r="JDR3" s="62"/>
      <c r="JDS3" s="62"/>
      <c r="JDT3" s="62"/>
      <c r="JDU3" s="62"/>
      <c r="JDV3" s="62"/>
      <c r="JDW3" s="62"/>
      <c r="JDX3" s="62"/>
      <c r="JDY3" s="62"/>
      <c r="JDZ3" s="62"/>
      <c r="JEA3" s="62"/>
      <c r="JEB3" s="62"/>
      <c r="JEC3" s="62"/>
      <c r="JED3" s="62"/>
      <c r="JEE3" s="62"/>
      <c r="JEF3" s="62"/>
      <c r="JEG3" s="62"/>
      <c r="JEH3" s="62"/>
      <c r="JEI3" s="62"/>
      <c r="JEJ3" s="62"/>
      <c r="JEK3" s="62"/>
      <c r="JEL3" s="62"/>
      <c r="JEM3" s="62"/>
      <c r="JEN3" s="62"/>
      <c r="JEO3" s="62"/>
      <c r="JEP3" s="62"/>
      <c r="JEQ3" s="62"/>
      <c r="JER3" s="62"/>
      <c r="JES3" s="62"/>
      <c r="JET3" s="62"/>
      <c r="JEU3" s="62"/>
      <c r="JEV3" s="62"/>
      <c r="JEW3" s="62"/>
      <c r="JEX3" s="62"/>
      <c r="JEY3" s="62"/>
      <c r="JEZ3" s="62"/>
      <c r="JFA3" s="62"/>
      <c r="JFB3" s="62"/>
      <c r="JFC3" s="62"/>
      <c r="JFD3" s="62"/>
      <c r="JFE3" s="62"/>
      <c r="JFF3" s="62"/>
      <c r="JFG3" s="62"/>
      <c r="JFH3" s="62"/>
      <c r="JFI3" s="62"/>
      <c r="JFJ3" s="62"/>
      <c r="JFK3" s="62"/>
      <c r="JFL3" s="62"/>
      <c r="JFM3" s="62"/>
      <c r="JFN3" s="62"/>
      <c r="JFO3" s="62"/>
      <c r="JFP3" s="62"/>
      <c r="JFQ3" s="62"/>
      <c r="JFR3" s="62"/>
      <c r="JFS3" s="62"/>
      <c r="JFT3" s="62"/>
      <c r="JFU3" s="62"/>
      <c r="JFV3" s="62"/>
      <c r="JFW3" s="62"/>
      <c r="JFX3" s="62"/>
      <c r="JFY3" s="62"/>
      <c r="JFZ3" s="62"/>
      <c r="JGA3" s="62"/>
      <c r="JGB3" s="62"/>
      <c r="JGC3" s="62"/>
      <c r="JGD3" s="62"/>
      <c r="JGE3" s="62"/>
      <c r="JGF3" s="62"/>
      <c r="JGG3" s="62"/>
      <c r="JGH3" s="62"/>
      <c r="JGI3" s="62"/>
      <c r="JGJ3" s="62"/>
      <c r="JGK3" s="62"/>
      <c r="JGL3" s="62"/>
      <c r="JGM3" s="62"/>
      <c r="JGN3" s="62"/>
      <c r="JGO3" s="62"/>
      <c r="JGP3" s="62"/>
      <c r="JGQ3" s="62"/>
      <c r="JGR3" s="62"/>
      <c r="JGS3" s="62"/>
      <c r="JGT3" s="62"/>
      <c r="JGU3" s="62"/>
      <c r="JGV3" s="62"/>
      <c r="JGW3" s="62"/>
      <c r="JGX3" s="62"/>
      <c r="JGY3" s="62"/>
      <c r="JGZ3" s="62"/>
      <c r="JHA3" s="62"/>
      <c r="JHB3" s="62"/>
      <c r="JHC3" s="62"/>
      <c r="JHD3" s="62"/>
      <c r="JHE3" s="62"/>
      <c r="JHF3" s="62"/>
      <c r="JHG3" s="62"/>
      <c r="JHH3" s="62"/>
      <c r="JHI3" s="62"/>
      <c r="JHJ3" s="62"/>
      <c r="JHK3" s="62"/>
      <c r="JHL3" s="62"/>
      <c r="JHM3" s="62"/>
      <c r="JHN3" s="62"/>
      <c r="JHO3" s="62"/>
      <c r="JHP3" s="62"/>
      <c r="JHQ3" s="62"/>
      <c r="JHR3" s="62"/>
      <c r="JHS3" s="62"/>
      <c r="JHT3" s="62"/>
      <c r="JHU3" s="62"/>
      <c r="JHV3" s="62"/>
      <c r="JHW3" s="62"/>
      <c r="JHX3" s="62"/>
      <c r="JHY3" s="62"/>
      <c r="JHZ3" s="62"/>
      <c r="JIA3" s="62"/>
      <c r="JIB3" s="62"/>
      <c r="JIC3" s="62"/>
      <c r="JID3" s="62"/>
      <c r="JIE3" s="62"/>
      <c r="JIF3" s="62"/>
      <c r="JIG3" s="62"/>
      <c r="JIH3" s="62"/>
      <c r="JII3" s="62"/>
      <c r="JIJ3" s="62"/>
      <c r="JIK3" s="62"/>
      <c r="JIL3" s="62"/>
      <c r="JIM3" s="62"/>
      <c r="JIN3" s="62"/>
      <c r="JIO3" s="62"/>
      <c r="JIP3" s="62"/>
      <c r="JIQ3" s="62"/>
      <c r="JIR3" s="62"/>
      <c r="JIS3" s="62"/>
      <c r="JIT3" s="62"/>
      <c r="JIU3" s="62"/>
      <c r="JIV3" s="62"/>
      <c r="JIW3" s="62"/>
      <c r="JIX3" s="62"/>
      <c r="JIY3" s="62"/>
      <c r="JIZ3" s="62"/>
      <c r="JJA3" s="62"/>
      <c r="JJB3" s="62"/>
      <c r="JJC3" s="62"/>
      <c r="JJD3" s="62"/>
      <c r="JJE3" s="62"/>
      <c r="JJF3" s="62"/>
      <c r="JJG3" s="62"/>
      <c r="JJH3" s="62"/>
      <c r="JJI3" s="62"/>
      <c r="JJJ3" s="62"/>
      <c r="JJK3" s="62"/>
      <c r="JJL3" s="62"/>
      <c r="JJM3" s="62"/>
      <c r="JJN3" s="62"/>
      <c r="JJO3" s="62"/>
      <c r="JJP3" s="62"/>
      <c r="JJQ3" s="62"/>
      <c r="JJR3" s="62"/>
      <c r="JJS3" s="62"/>
      <c r="JJT3" s="62"/>
      <c r="JJU3" s="62"/>
      <c r="JJV3" s="62"/>
      <c r="JJW3" s="62"/>
      <c r="JJX3" s="62"/>
      <c r="JJY3" s="62"/>
      <c r="JJZ3" s="62"/>
      <c r="JKA3" s="62"/>
      <c r="JKB3" s="62"/>
      <c r="JKC3" s="62"/>
      <c r="JKD3" s="62"/>
      <c r="JKE3" s="62"/>
      <c r="JKF3" s="62"/>
      <c r="JKG3" s="62"/>
      <c r="JKH3" s="62"/>
      <c r="JKI3" s="62"/>
      <c r="JKJ3" s="62"/>
      <c r="JKK3" s="62"/>
      <c r="JKL3" s="62"/>
      <c r="JKM3" s="62"/>
      <c r="JKN3" s="62"/>
      <c r="JKO3" s="62"/>
      <c r="JKP3" s="62"/>
      <c r="JKQ3" s="62"/>
      <c r="JKR3" s="62"/>
      <c r="JKS3" s="62"/>
      <c r="JKT3" s="62"/>
      <c r="JKU3" s="62"/>
      <c r="JKV3" s="62"/>
      <c r="JKW3" s="62"/>
      <c r="JKX3" s="62"/>
      <c r="JKY3" s="62"/>
      <c r="JKZ3" s="62"/>
      <c r="JLA3" s="62"/>
      <c r="JLB3" s="62"/>
      <c r="JLC3" s="62"/>
      <c r="JLD3" s="62"/>
      <c r="JLE3" s="62"/>
      <c r="JLF3" s="62"/>
      <c r="JLG3" s="62"/>
      <c r="JLH3" s="62"/>
      <c r="JLI3" s="62"/>
      <c r="JLJ3" s="62"/>
      <c r="JLK3" s="62"/>
      <c r="JLL3" s="62"/>
      <c r="JLM3" s="62"/>
      <c r="JLN3" s="62"/>
      <c r="JLO3" s="62"/>
      <c r="JLP3" s="62"/>
      <c r="JLQ3" s="62"/>
      <c r="JLR3" s="62"/>
      <c r="JLS3" s="62"/>
      <c r="JLT3" s="62"/>
      <c r="JLU3" s="62"/>
      <c r="JLV3" s="62"/>
      <c r="JLW3" s="62"/>
      <c r="JLX3" s="62"/>
      <c r="JLY3" s="62"/>
      <c r="JLZ3" s="62"/>
      <c r="JMA3" s="62"/>
      <c r="JMB3" s="62"/>
      <c r="JMC3" s="62"/>
      <c r="JMD3" s="62"/>
      <c r="JME3" s="62"/>
      <c r="JMF3" s="62"/>
      <c r="JMG3" s="62"/>
      <c r="JMH3" s="62"/>
      <c r="JMI3" s="62"/>
      <c r="JMJ3" s="62"/>
      <c r="JMK3" s="62"/>
      <c r="JML3" s="62"/>
      <c r="JMM3" s="62"/>
      <c r="JMN3" s="62"/>
      <c r="JMO3" s="62"/>
      <c r="JMP3" s="62"/>
      <c r="JMQ3" s="62"/>
      <c r="JMR3" s="62"/>
      <c r="JMS3" s="62"/>
      <c r="JMT3" s="62"/>
      <c r="JMU3" s="62"/>
      <c r="JMV3" s="62"/>
      <c r="JMW3" s="62"/>
      <c r="JMX3" s="62"/>
      <c r="JMY3" s="62"/>
      <c r="JMZ3" s="62"/>
      <c r="JNA3" s="62"/>
      <c r="JNB3" s="62"/>
      <c r="JNC3" s="62"/>
      <c r="JND3" s="62"/>
      <c r="JNE3" s="62"/>
      <c r="JNF3" s="62"/>
      <c r="JNG3" s="62"/>
      <c r="JNH3" s="62"/>
      <c r="JNI3" s="62"/>
      <c r="JNJ3" s="62"/>
      <c r="JNK3" s="62"/>
      <c r="JNL3" s="62"/>
      <c r="JNM3" s="62"/>
      <c r="JNN3" s="62"/>
      <c r="JNO3" s="62"/>
      <c r="JNP3" s="62"/>
      <c r="JNQ3" s="62"/>
      <c r="JNR3" s="62"/>
      <c r="JNS3" s="62"/>
      <c r="JNT3" s="62"/>
      <c r="JNU3" s="62"/>
      <c r="JNV3" s="62"/>
      <c r="JNW3" s="62"/>
      <c r="JNX3" s="62"/>
      <c r="JNY3" s="62"/>
      <c r="JNZ3" s="62"/>
      <c r="JOA3" s="62"/>
      <c r="JOB3" s="62"/>
      <c r="JOC3" s="62"/>
      <c r="JOD3" s="62"/>
      <c r="JOE3" s="62"/>
      <c r="JOF3" s="62"/>
      <c r="JOG3" s="62"/>
      <c r="JOH3" s="62"/>
      <c r="JOI3" s="62"/>
      <c r="JOJ3" s="62"/>
      <c r="JOK3" s="62"/>
      <c r="JOL3" s="62"/>
      <c r="JOM3" s="62"/>
      <c r="JON3" s="62"/>
      <c r="JOO3" s="62"/>
      <c r="JOP3" s="62"/>
      <c r="JOQ3" s="62"/>
      <c r="JOR3" s="62"/>
      <c r="JOS3" s="62"/>
      <c r="JOT3" s="62"/>
      <c r="JOU3" s="62"/>
      <c r="JOV3" s="62"/>
      <c r="JOW3" s="62"/>
      <c r="JOX3" s="62"/>
      <c r="JOY3" s="62"/>
      <c r="JOZ3" s="62"/>
      <c r="JPA3" s="62"/>
      <c r="JPB3" s="62"/>
      <c r="JPC3" s="62"/>
      <c r="JPD3" s="62"/>
      <c r="JPE3" s="62"/>
      <c r="JPF3" s="62"/>
      <c r="JPG3" s="62"/>
      <c r="JPH3" s="62"/>
      <c r="JPI3" s="62"/>
      <c r="JPJ3" s="62"/>
      <c r="JPK3" s="62"/>
      <c r="JPL3" s="62"/>
      <c r="JPM3" s="62"/>
      <c r="JPN3" s="62"/>
      <c r="JPO3" s="62"/>
      <c r="JPP3" s="62"/>
      <c r="JPQ3" s="62"/>
      <c r="JPR3" s="62"/>
      <c r="JPS3" s="62"/>
      <c r="JPT3" s="62"/>
      <c r="JPU3" s="62"/>
      <c r="JPV3" s="62"/>
      <c r="JPW3" s="62"/>
      <c r="JPX3" s="62"/>
      <c r="JPY3" s="62"/>
      <c r="JPZ3" s="62"/>
      <c r="JQA3" s="62"/>
      <c r="JQB3" s="62"/>
      <c r="JQC3" s="62"/>
      <c r="JQD3" s="62"/>
      <c r="JQE3" s="62"/>
      <c r="JQF3" s="62"/>
      <c r="JQG3" s="62"/>
      <c r="JQH3" s="62"/>
      <c r="JQI3" s="62"/>
      <c r="JQJ3" s="62"/>
      <c r="JQK3" s="62"/>
      <c r="JQL3" s="62"/>
      <c r="JQM3" s="62"/>
      <c r="JQN3" s="62"/>
      <c r="JQO3" s="62"/>
      <c r="JQP3" s="62"/>
      <c r="JQQ3" s="62"/>
      <c r="JQR3" s="62"/>
      <c r="JQS3" s="62"/>
      <c r="JQT3" s="62"/>
      <c r="JQU3" s="62"/>
      <c r="JQV3" s="62"/>
      <c r="JQW3" s="62"/>
      <c r="JQX3" s="62"/>
      <c r="JQY3" s="62"/>
      <c r="JQZ3" s="62"/>
      <c r="JRA3" s="62"/>
      <c r="JRB3" s="62"/>
      <c r="JRC3" s="62"/>
      <c r="JRD3" s="62"/>
      <c r="JRE3" s="62"/>
      <c r="JRF3" s="62"/>
      <c r="JRG3" s="62"/>
      <c r="JRH3" s="62"/>
      <c r="JRI3" s="62"/>
      <c r="JRJ3" s="62"/>
      <c r="JRK3" s="62"/>
      <c r="JRL3" s="62"/>
      <c r="JRM3" s="62"/>
      <c r="JRN3" s="62"/>
      <c r="JRO3" s="62"/>
      <c r="JRP3" s="62"/>
      <c r="JRQ3" s="62"/>
      <c r="JRR3" s="62"/>
      <c r="JRS3" s="62"/>
      <c r="JRT3" s="62"/>
      <c r="JRU3" s="62"/>
      <c r="JRV3" s="62"/>
      <c r="JRW3" s="62"/>
      <c r="JRX3" s="62"/>
      <c r="JRY3" s="62"/>
      <c r="JRZ3" s="62"/>
      <c r="JSA3" s="62"/>
      <c r="JSB3" s="62"/>
      <c r="JSC3" s="62"/>
      <c r="JSD3" s="62"/>
      <c r="JSE3" s="62"/>
      <c r="JSF3" s="62"/>
      <c r="JSG3" s="62"/>
      <c r="JSH3" s="62"/>
      <c r="JSI3" s="62"/>
      <c r="JSJ3" s="62"/>
      <c r="JSK3" s="62"/>
      <c r="JSL3" s="62"/>
      <c r="JSM3" s="62"/>
      <c r="JSN3" s="62"/>
      <c r="JSO3" s="62"/>
      <c r="JSP3" s="62"/>
      <c r="JSQ3" s="62"/>
      <c r="JSR3" s="62"/>
      <c r="JSS3" s="62"/>
      <c r="JST3" s="62"/>
      <c r="JSU3" s="62"/>
      <c r="JSV3" s="62"/>
      <c r="JSW3" s="62"/>
      <c r="JSX3" s="62"/>
      <c r="JSY3" s="62"/>
      <c r="JSZ3" s="62"/>
      <c r="JTA3" s="62"/>
      <c r="JTB3" s="62"/>
      <c r="JTC3" s="62"/>
      <c r="JTD3" s="62"/>
      <c r="JTE3" s="62"/>
      <c r="JTF3" s="62"/>
      <c r="JTG3" s="62"/>
      <c r="JTH3" s="62"/>
      <c r="JTI3" s="62"/>
      <c r="JTJ3" s="62"/>
      <c r="JTK3" s="62"/>
      <c r="JTL3" s="62"/>
      <c r="JTM3" s="62"/>
      <c r="JTN3" s="62"/>
      <c r="JTO3" s="62"/>
      <c r="JTP3" s="62"/>
      <c r="JTQ3" s="62"/>
      <c r="JTR3" s="62"/>
      <c r="JTS3" s="62"/>
      <c r="JTT3" s="62"/>
      <c r="JTU3" s="62"/>
      <c r="JTV3" s="62"/>
      <c r="JTW3" s="62"/>
      <c r="JTX3" s="62"/>
      <c r="JTY3" s="62"/>
      <c r="JTZ3" s="62"/>
      <c r="JUA3" s="62"/>
      <c r="JUB3" s="62"/>
      <c r="JUC3" s="62"/>
      <c r="JUD3" s="62"/>
      <c r="JUE3" s="62"/>
      <c r="JUF3" s="62"/>
      <c r="JUG3" s="62"/>
      <c r="JUH3" s="62"/>
      <c r="JUI3" s="62"/>
      <c r="JUJ3" s="62"/>
      <c r="JUK3" s="62"/>
      <c r="JUL3" s="62"/>
      <c r="JUM3" s="62"/>
      <c r="JUN3" s="62"/>
      <c r="JUO3" s="62"/>
      <c r="JUP3" s="62"/>
      <c r="JUQ3" s="62"/>
      <c r="JUR3" s="62"/>
      <c r="JUS3" s="62"/>
      <c r="JUT3" s="62"/>
      <c r="JUU3" s="62"/>
      <c r="JUV3" s="62"/>
      <c r="JUW3" s="62"/>
      <c r="JUX3" s="62"/>
      <c r="JUY3" s="62"/>
      <c r="JUZ3" s="62"/>
      <c r="JVA3" s="62"/>
      <c r="JVB3" s="62"/>
      <c r="JVC3" s="62"/>
      <c r="JVD3" s="62"/>
      <c r="JVE3" s="62"/>
      <c r="JVF3" s="62"/>
      <c r="JVG3" s="62"/>
      <c r="JVH3" s="62"/>
      <c r="JVI3" s="62"/>
      <c r="JVJ3" s="62"/>
      <c r="JVK3" s="62"/>
      <c r="JVL3" s="62"/>
      <c r="JVM3" s="62"/>
      <c r="JVN3" s="62"/>
      <c r="JVO3" s="62"/>
      <c r="JVP3" s="62"/>
      <c r="JVQ3" s="62"/>
      <c r="JVR3" s="62"/>
      <c r="JVS3" s="62"/>
      <c r="JVT3" s="62"/>
      <c r="JVU3" s="62"/>
      <c r="JVV3" s="62"/>
      <c r="JVW3" s="62"/>
      <c r="JVX3" s="62"/>
      <c r="JVY3" s="62"/>
      <c r="JVZ3" s="62"/>
      <c r="JWA3" s="62"/>
      <c r="JWB3" s="62"/>
      <c r="JWC3" s="62"/>
      <c r="JWD3" s="62"/>
      <c r="JWE3" s="62"/>
      <c r="JWF3" s="62"/>
      <c r="JWG3" s="62"/>
      <c r="JWH3" s="62"/>
      <c r="JWI3" s="62"/>
      <c r="JWJ3" s="62"/>
      <c r="JWK3" s="62"/>
      <c r="JWL3" s="62"/>
      <c r="JWM3" s="62"/>
      <c r="JWN3" s="62"/>
      <c r="JWO3" s="62"/>
      <c r="JWP3" s="62"/>
      <c r="JWQ3" s="62"/>
      <c r="JWR3" s="62"/>
      <c r="JWS3" s="62"/>
      <c r="JWT3" s="62"/>
      <c r="JWU3" s="62"/>
      <c r="JWV3" s="62"/>
      <c r="JWW3" s="62"/>
      <c r="JWX3" s="62"/>
      <c r="JWY3" s="62"/>
      <c r="JWZ3" s="62"/>
      <c r="JXA3" s="62"/>
      <c r="JXB3" s="62"/>
      <c r="JXC3" s="62"/>
      <c r="JXD3" s="62"/>
      <c r="JXE3" s="62"/>
      <c r="JXF3" s="62"/>
      <c r="JXG3" s="62"/>
      <c r="JXH3" s="62"/>
      <c r="JXI3" s="62"/>
      <c r="JXJ3" s="62"/>
      <c r="JXK3" s="62"/>
      <c r="JXL3" s="62"/>
      <c r="JXM3" s="62"/>
      <c r="JXN3" s="62"/>
      <c r="JXO3" s="62"/>
      <c r="JXP3" s="62"/>
      <c r="JXQ3" s="62"/>
      <c r="JXR3" s="62"/>
      <c r="JXS3" s="62"/>
      <c r="JXT3" s="62"/>
      <c r="JXU3" s="62"/>
      <c r="JXV3" s="62"/>
      <c r="JXW3" s="62"/>
      <c r="JXX3" s="62"/>
      <c r="JXY3" s="62"/>
      <c r="JXZ3" s="62"/>
      <c r="JYA3" s="62"/>
      <c r="JYB3" s="62"/>
      <c r="JYC3" s="62"/>
      <c r="JYD3" s="62"/>
      <c r="JYE3" s="62"/>
      <c r="JYF3" s="62"/>
      <c r="JYG3" s="62"/>
      <c r="JYH3" s="62"/>
      <c r="JYI3" s="62"/>
      <c r="JYJ3" s="62"/>
      <c r="JYK3" s="62"/>
      <c r="JYL3" s="62"/>
      <c r="JYM3" s="62"/>
      <c r="JYN3" s="62"/>
      <c r="JYO3" s="62"/>
      <c r="JYP3" s="62"/>
      <c r="JYQ3" s="62"/>
      <c r="JYR3" s="62"/>
      <c r="JYS3" s="62"/>
      <c r="JYT3" s="62"/>
      <c r="JYU3" s="62"/>
      <c r="JYV3" s="62"/>
      <c r="JYW3" s="62"/>
      <c r="JYX3" s="62"/>
      <c r="JYY3" s="62"/>
      <c r="JYZ3" s="62"/>
      <c r="JZA3" s="62"/>
      <c r="JZB3" s="62"/>
      <c r="JZC3" s="62"/>
      <c r="JZD3" s="62"/>
      <c r="JZE3" s="62"/>
      <c r="JZF3" s="62"/>
      <c r="JZG3" s="62"/>
      <c r="JZH3" s="62"/>
      <c r="JZI3" s="62"/>
      <c r="JZJ3" s="62"/>
      <c r="JZK3" s="62"/>
      <c r="JZL3" s="62"/>
      <c r="JZM3" s="62"/>
      <c r="JZN3" s="62"/>
      <c r="JZO3" s="62"/>
      <c r="JZP3" s="62"/>
      <c r="JZQ3" s="62"/>
      <c r="JZR3" s="62"/>
      <c r="JZS3" s="62"/>
      <c r="JZT3" s="62"/>
      <c r="JZU3" s="62"/>
      <c r="JZV3" s="62"/>
      <c r="JZW3" s="62"/>
      <c r="JZX3" s="62"/>
      <c r="JZY3" s="62"/>
      <c r="JZZ3" s="62"/>
      <c r="KAA3" s="62"/>
      <c r="KAB3" s="62"/>
      <c r="KAC3" s="62"/>
      <c r="KAD3" s="62"/>
      <c r="KAE3" s="62"/>
      <c r="KAF3" s="62"/>
      <c r="KAG3" s="62"/>
      <c r="KAH3" s="62"/>
      <c r="KAI3" s="62"/>
      <c r="KAJ3" s="62"/>
      <c r="KAK3" s="62"/>
      <c r="KAL3" s="62"/>
      <c r="KAM3" s="62"/>
      <c r="KAN3" s="62"/>
      <c r="KAO3" s="62"/>
      <c r="KAP3" s="62"/>
      <c r="KAQ3" s="62"/>
      <c r="KAR3" s="62"/>
      <c r="KAS3" s="62"/>
      <c r="KAT3" s="62"/>
      <c r="KAU3" s="62"/>
      <c r="KAV3" s="62"/>
      <c r="KAW3" s="62"/>
      <c r="KAX3" s="62"/>
      <c r="KAY3" s="62"/>
      <c r="KAZ3" s="62"/>
      <c r="KBA3" s="62"/>
      <c r="KBB3" s="62"/>
      <c r="KBC3" s="62"/>
      <c r="KBD3" s="62"/>
      <c r="KBE3" s="62"/>
      <c r="KBF3" s="62"/>
      <c r="KBG3" s="62"/>
      <c r="KBH3" s="62"/>
      <c r="KBI3" s="62"/>
      <c r="KBJ3" s="62"/>
      <c r="KBK3" s="62"/>
      <c r="KBL3" s="62"/>
      <c r="KBM3" s="62"/>
      <c r="KBN3" s="62"/>
      <c r="KBO3" s="62"/>
      <c r="KBP3" s="62"/>
      <c r="KBQ3" s="62"/>
      <c r="KBR3" s="62"/>
      <c r="KBS3" s="62"/>
      <c r="KBT3" s="62"/>
      <c r="KBU3" s="62"/>
      <c r="KBV3" s="62"/>
      <c r="KBW3" s="62"/>
      <c r="KBX3" s="62"/>
      <c r="KBY3" s="62"/>
      <c r="KBZ3" s="62"/>
      <c r="KCA3" s="62"/>
      <c r="KCB3" s="62"/>
      <c r="KCC3" s="62"/>
      <c r="KCD3" s="62"/>
      <c r="KCE3" s="62"/>
      <c r="KCF3" s="62"/>
      <c r="KCG3" s="62"/>
      <c r="KCH3" s="62"/>
      <c r="KCI3" s="62"/>
      <c r="KCJ3" s="62"/>
      <c r="KCK3" s="62"/>
      <c r="KCL3" s="62"/>
      <c r="KCM3" s="62"/>
      <c r="KCN3" s="62"/>
      <c r="KCO3" s="62"/>
      <c r="KCP3" s="62"/>
      <c r="KCQ3" s="62"/>
      <c r="KCR3" s="62"/>
      <c r="KCS3" s="62"/>
      <c r="KCT3" s="62"/>
      <c r="KCU3" s="62"/>
      <c r="KCV3" s="62"/>
      <c r="KCW3" s="62"/>
      <c r="KCX3" s="62"/>
      <c r="KCY3" s="62"/>
      <c r="KCZ3" s="62"/>
      <c r="KDA3" s="62"/>
      <c r="KDB3" s="62"/>
      <c r="KDC3" s="62"/>
      <c r="KDD3" s="62"/>
      <c r="KDE3" s="62"/>
      <c r="KDF3" s="62"/>
      <c r="KDG3" s="62"/>
      <c r="KDH3" s="62"/>
      <c r="KDI3" s="62"/>
      <c r="KDJ3" s="62"/>
      <c r="KDK3" s="62"/>
      <c r="KDL3" s="62"/>
      <c r="KDM3" s="62"/>
      <c r="KDN3" s="62"/>
      <c r="KDO3" s="62"/>
      <c r="KDP3" s="62"/>
      <c r="KDQ3" s="62"/>
      <c r="KDR3" s="62"/>
      <c r="KDS3" s="62"/>
      <c r="KDT3" s="62"/>
      <c r="KDU3" s="62"/>
      <c r="KDV3" s="62"/>
      <c r="KDW3" s="62"/>
      <c r="KDX3" s="62"/>
      <c r="KDY3" s="62"/>
      <c r="KDZ3" s="62"/>
      <c r="KEA3" s="62"/>
      <c r="KEB3" s="62"/>
      <c r="KEC3" s="62"/>
      <c r="KED3" s="62"/>
      <c r="KEE3" s="62"/>
      <c r="KEF3" s="62"/>
      <c r="KEG3" s="62"/>
      <c r="KEH3" s="62"/>
      <c r="KEI3" s="62"/>
      <c r="KEJ3" s="62"/>
      <c r="KEK3" s="62"/>
      <c r="KEL3" s="62"/>
      <c r="KEM3" s="62"/>
      <c r="KEN3" s="62"/>
      <c r="KEO3" s="62"/>
      <c r="KEP3" s="62"/>
      <c r="KEQ3" s="62"/>
      <c r="KER3" s="62"/>
      <c r="KES3" s="62"/>
      <c r="KET3" s="62"/>
      <c r="KEU3" s="62"/>
      <c r="KEV3" s="62"/>
      <c r="KEW3" s="62"/>
      <c r="KEX3" s="62"/>
      <c r="KEY3" s="62"/>
      <c r="KEZ3" s="62"/>
      <c r="KFA3" s="62"/>
      <c r="KFB3" s="62"/>
      <c r="KFC3" s="62"/>
      <c r="KFD3" s="62"/>
      <c r="KFE3" s="62"/>
      <c r="KFF3" s="62"/>
      <c r="KFG3" s="62"/>
      <c r="KFH3" s="62"/>
      <c r="KFI3" s="62"/>
      <c r="KFJ3" s="62"/>
      <c r="KFK3" s="62"/>
      <c r="KFL3" s="62"/>
      <c r="KFM3" s="62"/>
      <c r="KFN3" s="62"/>
      <c r="KFO3" s="62"/>
      <c r="KFP3" s="62"/>
      <c r="KFQ3" s="62"/>
      <c r="KFR3" s="62"/>
      <c r="KFS3" s="62"/>
      <c r="KFT3" s="62"/>
      <c r="KFU3" s="62"/>
      <c r="KFV3" s="62"/>
      <c r="KFW3" s="62"/>
      <c r="KFX3" s="62"/>
      <c r="KFY3" s="62"/>
      <c r="KFZ3" s="62"/>
      <c r="KGA3" s="62"/>
      <c r="KGB3" s="62"/>
      <c r="KGC3" s="62"/>
      <c r="KGD3" s="62"/>
      <c r="KGE3" s="62"/>
      <c r="KGF3" s="62"/>
      <c r="KGG3" s="62"/>
      <c r="KGH3" s="62"/>
      <c r="KGI3" s="62"/>
      <c r="KGJ3" s="62"/>
      <c r="KGK3" s="62"/>
      <c r="KGL3" s="62"/>
      <c r="KGM3" s="62"/>
      <c r="KGN3" s="62"/>
      <c r="KGO3" s="62"/>
      <c r="KGP3" s="62"/>
      <c r="KGQ3" s="62"/>
      <c r="KGR3" s="62"/>
      <c r="KGS3" s="62"/>
      <c r="KGT3" s="62"/>
      <c r="KGU3" s="62"/>
      <c r="KGV3" s="62"/>
      <c r="KGW3" s="62"/>
      <c r="KGX3" s="62"/>
      <c r="KGY3" s="62"/>
      <c r="KGZ3" s="62"/>
      <c r="KHA3" s="62"/>
      <c r="KHB3" s="62"/>
      <c r="KHC3" s="62"/>
      <c r="KHD3" s="62"/>
      <c r="KHE3" s="62"/>
      <c r="KHF3" s="62"/>
      <c r="KHG3" s="62"/>
      <c r="KHH3" s="62"/>
      <c r="KHI3" s="62"/>
      <c r="KHJ3" s="62"/>
      <c r="KHK3" s="62"/>
      <c r="KHL3" s="62"/>
      <c r="KHM3" s="62"/>
      <c r="KHN3" s="62"/>
      <c r="KHO3" s="62"/>
      <c r="KHP3" s="62"/>
      <c r="KHQ3" s="62"/>
      <c r="KHR3" s="62"/>
      <c r="KHS3" s="62"/>
      <c r="KHT3" s="62"/>
      <c r="KHU3" s="62"/>
      <c r="KHV3" s="62"/>
      <c r="KHW3" s="62"/>
      <c r="KHX3" s="62"/>
      <c r="KHY3" s="62"/>
      <c r="KHZ3" s="62"/>
      <c r="KIA3" s="62"/>
      <c r="KIB3" s="62"/>
      <c r="KIC3" s="62"/>
      <c r="KID3" s="62"/>
      <c r="KIE3" s="62"/>
      <c r="KIF3" s="62"/>
      <c r="KIG3" s="62"/>
      <c r="KIH3" s="62"/>
      <c r="KII3" s="62"/>
      <c r="KIJ3" s="62"/>
      <c r="KIK3" s="62"/>
      <c r="KIL3" s="62"/>
      <c r="KIM3" s="62"/>
      <c r="KIN3" s="62"/>
      <c r="KIO3" s="62"/>
      <c r="KIP3" s="62"/>
      <c r="KIQ3" s="62"/>
      <c r="KIR3" s="62"/>
      <c r="KIS3" s="62"/>
      <c r="KIT3" s="62"/>
      <c r="KIU3" s="62"/>
      <c r="KIV3" s="62"/>
      <c r="KIW3" s="62"/>
      <c r="KIX3" s="62"/>
      <c r="KIY3" s="62"/>
      <c r="KIZ3" s="62"/>
      <c r="KJA3" s="62"/>
      <c r="KJB3" s="62"/>
      <c r="KJC3" s="62"/>
      <c r="KJD3" s="62"/>
      <c r="KJE3" s="62"/>
      <c r="KJF3" s="62"/>
      <c r="KJG3" s="62"/>
      <c r="KJH3" s="62"/>
      <c r="KJI3" s="62"/>
      <c r="KJJ3" s="62"/>
      <c r="KJK3" s="62"/>
      <c r="KJL3" s="62"/>
      <c r="KJM3" s="62"/>
      <c r="KJN3" s="62"/>
      <c r="KJO3" s="62"/>
      <c r="KJP3" s="62"/>
      <c r="KJQ3" s="62"/>
      <c r="KJR3" s="62"/>
      <c r="KJS3" s="62"/>
      <c r="KJT3" s="62"/>
      <c r="KJU3" s="62"/>
      <c r="KJV3" s="62"/>
      <c r="KJW3" s="62"/>
      <c r="KJX3" s="62"/>
      <c r="KJY3" s="62"/>
      <c r="KJZ3" s="62"/>
      <c r="KKA3" s="62"/>
      <c r="KKB3" s="62"/>
      <c r="KKC3" s="62"/>
      <c r="KKD3" s="62"/>
      <c r="KKE3" s="62"/>
      <c r="KKF3" s="62"/>
      <c r="KKG3" s="62"/>
      <c r="KKH3" s="62"/>
      <c r="KKI3" s="62"/>
      <c r="KKJ3" s="62"/>
      <c r="KKK3" s="62"/>
      <c r="KKL3" s="62"/>
      <c r="KKM3" s="62"/>
      <c r="KKN3" s="62"/>
      <c r="KKO3" s="62"/>
      <c r="KKP3" s="62"/>
      <c r="KKQ3" s="62"/>
      <c r="KKR3" s="62"/>
      <c r="KKS3" s="62"/>
      <c r="KKT3" s="62"/>
      <c r="KKU3" s="62"/>
      <c r="KKV3" s="62"/>
      <c r="KKW3" s="62"/>
      <c r="KKX3" s="62"/>
      <c r="KKY3" s="62"/>
      <c r="KKZ3" s="62"/>
      <c r="KLA3" s="62"/>
      <c r="KLB3" s="62"/>
      <c r="KLC3" s="62"/>
      <c r="KLD3" s="62"/>
      <c r="KLE3" s="62"/>
      <c r="KLF3" s="62"/>
      <c r="KLG3" s="62"/>
      <c r="KLH3" s="62"/>
      <c r="KLI3" s="62"/>
      <c r="KLJ3" s="62"/>
      <c r="KLK3" s="62"/>
      <c r="KLL3" s="62"/>
      <c r="KLM3" s="62"/>
      <c r="KLN3" s="62"/>
      <c r="KLO3" s="62"/>
      <c r="KLP3" s="62"/>
      <c r="KLQ3" s="62"/>
      <c r="KLR3" s="62"/>
      <c r="KLS3" s="62"/>
      <c r="KLT3" s="62"/>
      <c r="KLU3" s="62"/>
      <c r="KLV3" s="62"/>
      <c r="KLW3" s="62"/>
      <c r="KLX3" s="62"/>
      <c r="KLY3" s="62"/>
      <c r="KLZ3" s="62"/>
      <c r="KMA3" s="62"/>
      <c r="KMB3" s="62"/>
      <c r="KMC3" s="62"/>
      <c r="KMD3" s="62"/>
      <c r="KME3" s="62"/>
      <c r="KMF3" s="62"/>
      <c r="KMG3" s="62"/>
      <c r="KMH3" s="62"/>
      <c r="KMI3" s="62"/>
      <c r="KMJ3" s="62"/>
      <c r="KMK3" s="62"/>
      <c r="KML3" s="62"/>
      <c r="KMM3" s="62"/>
      <c r="KMN3" s="62"/>
      <c r="KMO3" s="62"/>
      <c r="KMP3" s="62"/>
      <c r="KMQ3" s="62"/>
      <c r="KMR3" s="62"/>
      <c r="KMS3" s="62"/>
      <c r="KMT3" s="62"/>
      <c r="KMU3" s="62"/>
      <c r="KMV3" s="62"/>
      <c r="KMW3" s="62"/>
      <c r="KMX3" s="62"/>
      <c r="KMY3" s="62"/>
      <c r="KMZ3" s="62"/>
      <c r="KNA3" s="62"/>
      <c r="KNB3" s="62"/>
      <c r="KNC3" s="62"/>
      <c r="KND3" s="62"/>
      <c r="KNE3" s="62"/>
      <c r="KNF3" s="62"/>
      <c r="KNG3" s="62"/>
      <c r="KNH3" s="62"/>
      <c r="KNI3" s="62"/>
      <c r="KNJ3" s="62"/>
      <c r="KNK3" s="62"/>
      <c r="KNL3" s="62"/>
      <c r="KNM3" s="62"/>
      <c r="KNN3" s="62"/>
      <c r="KNO3" s="62"/>
      <c r="KNP3" s="62"/>
      <c r="KNQ3" s="62"/>
      <c r="KNR3" s="62"/>
      <c r="KNS3" s="62"/>
      <c r="KNT3" s="62"/>
      <c r="KNU3" s="62"/>
      <c r="KNV3" s="62"/>
      <c r="KNW3" s="62"/>
      <c r="KNX3" s="62"/>
      <c r="KNY3" s="62"/>
      <c r="KNZ3" s="62"/>
      <c r="KOA3" s="62"/>
      <c r="KOB3" s="62"/>
      <c r="KOC3" s="62"/>
      <c r="KOD3" s="62"/>
      <c r="KOE3" s="62"/>
      <c r="KOF3" s="62"/>
      <c r="KOG3" s="62"/>
      <c r="KOH3" s="62"/>
      <c r="KOI3" s="62"/>
      <c r="KOJ3" s="62"/>
      <c r="KOK3" s="62"/>
      <c r="KOL3" s="62"/>
      <c r="KOM3" s="62"/>
      <c r="KON3" s="62"/>
      <c r="KOO3" s="62"/>
      <c r="KOP3" s="62"/>
      <c r="KOQ3" s="62"/>
      <c r="KOR3" s="62"/>
      <c r="KOS3" s="62"/>
      <c r="KOT3" s="62"/>
      <c r="KOU3" s="62"/>
      <c r="KOV3" s="62"/>
      <c r="KOW3" s="62"/>
      <c r="KOX3" s="62"/>
      <c r="KOY3" s="62"/>
      <c r="KOZ3" s="62"/>
      <c r="KPA3" s="62"/>
      <c r="KPB3" s="62"/>
      <c r="KPC3" s="62"/>
      <c r="KPD3" s="62"/>
      <c r="KPE3" s="62"/>
      <c r="KPF3" s="62"/>
      <c r="KPG3" s="62"/>
      <c r="KPH3" s="62"/>
      <c r="KPI3" s="62"/>
      <c r="KPJ3" s="62"/>
      <c r="KPK3" s="62"/>
      <c r="KPL3" s="62"/>
      <c r="KPM3" s="62"/>
      <c r="KPN3" s="62"/>
      <c r="KPO3" s="62"/>
      <c r="KPP3" s="62"/>
      <c r="KPQ3" s="62"/>
      <c r="KPR3" s="62"/>
      <c r="KPS3" s="62"/>
      <c r="KPT3" s="62"/>
      <c r="KPU3" s="62"/>
      <c r="KPV3" s="62"/>
      <c r="KPW3" s="62"/>
      <c r="KPX3" s="62"/>
      <c r="KPY3" s="62"/>
      <c r="KPZ3" s="62"/>
      <c r="KQA3" s="62"/>
      <c r="KQB3" s="62"/>
      <c r="KQC3" s="62"/>
      <c r="KQD3" s="62"/>
      <c r="KQE3" s="62"/>
      <c r="KQF3" s="62"/>
      <c r="KQG3" s="62"/>
      <c r="KQH3" s="62"/>
      <c r="KQI3" s="62"/>
      <c r="KQJ3" s="62"/>
      <c r="KQK3" s="62"/>
      <c r="KQL3" s="62"/>
      <c r="KQM3" s="62"/>
      <c r="KQN3" s="62"/>
      <c r="KQO3" s="62"/>
      <c r="KQP3" s="62"/>
      <c r="KQQ3" s="62"/>
      <c r="KQR3" s="62"/>
      <c r="KQS3" s="62"/>
      <c r="KQT3" s="62"/>
      <c r="KQU3" s="62"/>
      <c r="KQV3" s="62"/>
      <c r="KQW3" s="62"/>
      <c r="KQX3" s="62"/>
      <c r="KQY3" s="62"/>
      <c r="KQZ3" s="62"/>
      <c r="KRA3" s="62"/>
      <c r="KRB3" s="62"/>
      <c r="KRC3" s="62"/>
      <c r="KRD3" s="62"/>
      <c r="KRE3" s="62"/>
      <c r="KRF3" s="62"/>
      <c r="KRG3" s="62"/>
      <c r="KRH3" s="62"/>
      <c r="KRI3" s="62"/>
      <c r="KRJ3" s="62"/>
      <c r="KRK3" s="62"/>
      <c r="KRL3" s="62"/>
      <c r="KRM3" s="62"/>
      <c r="KRN3" s="62"/>
      <c r="KRO3" s="62"/>
      <c r="KRP3" s="62"/>
      <c r="KRQ3" s="62"/>
      <c r="KRR3" s="62"/>
      <c r="KRS3" s="62"/>
      <c r="KRT3" s="62"/>
      <c r="KRU3" s="62"/>
      <c r="KRV3" s="62"/>
      <c r="KRW3" s="62"/>
      <c r="KRX3" s="62"/>
      <c r="KRY3" s="62"/>
      <c r="KRZ3" s="62"/>
      <c r="KSA3" s="62"/>
      <c r="KSB3" s="62"/>
      <c r="KSC3" s="62"/>
      <c r="KSD3" s="62"/>
      <c r="KSE3" s="62"/>
      <c r="KSF3" s="62"/>
      <c r="KSG3" s="62"/>
      <c r="KSH3" s="62"/>
      <c r="KSI3" s="62"/>
      <c r="KSJ3" s="62"/>
      <c r="KSK3" s="62"/>
      <c r="KSL3" s="62"/>
      <c r="KSM3" s="62"/>
      <c r="KSN3" s="62"/>
      <c r="KSO3" s="62"/>
      <c r="KSP3" s="62"/>
      <c r="KSQ3" s="62"/>
      <c r="KSR3" s="62"/>
      <c r="KSS3" s="62"/>
      <c r="KST3" s="62"/>
      <c r="KSU3" s="62"/>
      <c r="KSV3" s="62"/>
      <c r="KSW3" s="62"/>
      <c r="KSX3" s="62"/>
      <c r="KSY3" s="62"/>
      <c r="KSZ3" s="62"/>
      <c r="KTA3" s="62"/>
      <c r="KTB3" s="62"/>
      <c r="KTC3" s="62"/>
      <c r="KTD3" s="62"/>
      <c r="KTE3" s="62"/>
      <c r="KTF3" s="62"/>
      <c r="KTG3" s="62"/>
      <c r="KTH3" s="62"/>
      <c r="KTI3" s="62"/>
      <c r="KTJ3" s="62"/>
      <c r="KTK3" s="62"/>
      <c r="KTL3" s="62"/>
      <c r="KTM3" s="62"/>
      <c r="KTN3" s="62"/>
      <c r="KTO3" s="62"/>
      <c r="KTP3" s="62"/>
      <c r="KTQ3" s="62"/>
      <c r="KTR3" s="62"/>
      <c r="KTS3" s="62"/>
      <c r="KTT3" s="62"/>
      <c r="KTU3" s="62"/>
      <c r="KTV3" s="62"/>
      <c r="KTW3" s="62"/>
      <c r="KTX3" s="62"/>
      <c r="KTY3" s="62"/>
      <c r="KTZ3" s="62"/>
      <c r="KUA3" s="62"/>
      <c r="KUB3" s="62"/>
      <c r="KUC3" s="62"/>
      <c r="KUD3" s="62"/>
      <c r="KUE3" s="62"/>
      <c r="KUF3" s="62"/>
      <c r="KUG3" s="62"/>
      <c r="KUH3" s="62"/>
      <c r="KUI3" s="62"/>
      <c r="KUJ3" s="62"/>
      <c r="KUK3" s="62"/>
      <c r="KUL3" s="62"/>
      <c r="KUM3" s="62"/>
      <c r="KUN3" s="62"/>
      <c r="KUO3" s="62"/>
      <c r="KUP3" s="62"/>
      <c r="KUQ3" s="62"/>
      <c r="KUR3" s="62"/>
      <c r="KUS3" s="62"/>
      <c r="KUT3" s="62"/>
      <c r="KUU3" s="62"/>
      <c r="KUV3" s="62"/>
      <c r="KUW3" s="62"/>
      <c r="KUX3" s="62"/>
      <c r="KUY3" s="62"/>
      <c r="KUZ3" s="62"/>
      <c r="KVA3" s="62"/>
      <c r="KVB3" s="62"/>
      <c r="KVC3" s="62"/>
      <c r="KVD3" s="62"/>
      <c r="KVE3" s="62"/>
      <c r="KVF3" s="62"/>
      <c r="KVG3" s="62"/>
      <c r="KVH3" s="62"/>
      <c r="KVI3" s="62"/>
      <c r="KVJ3" s="62"/>
      <c r="KVK3" s="62"/>
      <c r="KVL3" s="62"/>
      <c r="KVM3" s="62"/>
      <c r="KVN3" s="62"/>
      <c r="KVO3" s="62"/>
      <c r="KVP3" s="62"/>
      <c r="KVQ3" s="62"/>
      <c r="KVR3" s="62"/>
      <c r="KVS3" s="62"/>
      <c r="KVT3" s="62"/>
      <c r="KVU3" s="62"/>
      <c r="KVV3" s="62"/>
      <c r="KVW3" s="62"/>
      <c r="KVX3" s="62"/>
      <c r="KVY3" s="62"/>
      <c r="KVZ3" s="62"/>
      <c r="KWA3" s="62"/>
      <c r="KWB3" s="62"/>
      <c r="KWC3" s="62"/>
      <c r="KWD3" s="62"/>
      <c r="KWE3" s="62"/>
      <c r="KWF3" s="62"/>
      <c r="KWG3" s="62"/>
      <c r="KWH3" s="62"/>
      <c r="KWI3" s="62"/>
      <c r="KWJ3" s="62"/>
      <c r="KWK3" s="62"/>
      <c r="KWL3" s="62"/>
      <c r="KWM3" s="62"/>
      <c r="KWN3" s="62"/>
      <c r="KWO3" s="62"/>
      <c r="KWP3" s="62"/>
      <c r="KWQ3" s="62"/>
      <c r="KWR3" s="62"/>
      <c r="KWS3" s="62"/>
      <c r="KWT3" s="62"/>
      <c r="KWU3" s="62"/>
      <c r="KWV3" s="62"/>
      <c r="KWW3" s="62"/>
      <c r="KWX3" s="62"/>
      <c r="KWY3" s="62"/>
      <c r="KWZ3" s="62"/>
      <c r="KXA3" s="62"/>
      <c r="KXB3" s="62"/>
      <c r="KXC3" s="62"/>
      <c r="KXD3" s="62"/>
      <c r="KXE3" s="62"/>
      <c r="KXF3" s="62"/>
      <c r="KXG3" s="62"/>
      <c r="KXH3" s="62"/>
      <c r="KXI3" s="62"/>
      <c r="KXJ3" s="62"/>
      <c r="KXK3" s="62"/>
      <c r="KXL3" s="62"/>
      <c r="KXM3" s="62"/>
      <c r="KXN3" s="62"/>
      <c r="KXO3" s="62"/>
      <c r="KXP3" s="62"/>
      <c r="KXQ3" s="62"/>
      <c r="KXR3" s="62"/>
      <c r="KXS3" s="62"/>
      <c r="KXT3" s="62"/>
      <c r="KXU3" s="62"/>
      <c r="KXV3" s="62"/>
      <c r="KXW3" s="62"/>
      <c r="KXX3" s="62"/>
      <c r="KXY3" s="62"/>
      <c r="KXZ3" s="62"/>
      <c r="KYA3" s="62"/>
      <c r="KYB3" s="62"/>
      <c r="KYC3" s="62"/>
      <c r="KYD3" s="62"/>
      <c r="KYE3" s="62"/>
      <c r="KYF3" s="62"/>
      <c r="KYG3" s="62"/>
      <c r="KYH3" s="62"/>
      <c r="KYI3" s="62"/>
      <c r="KYJ3" s="62"/>
      <c r="KYK3" s="62"/>
      <c r="KYL3" s="62"/>
      <c r="KYM3" s="62"/>
      <c r="KYN3" s="62"/>
      <c r="KYO3" s="62"/>
      <c r="KYP3" s="62"/>
      <c r="KYQ3" s="62"/>
      <c r="KYR3" s="62"/>
      <c r="KYS3" s="62"/>
      <c r="KYT3" s="62"/>
      <c r="KYU3" s="62"/>
      <c r="KYV3" s="62"/>
      <c r="KYW3" s="62"/>
      <c r="KYX3" s="62"/>
      <c r="KYY3" s="62"/>
      <c r="KYZ3" s="62"/>
      <c r="KZA3" s="62"/>
      <c r="KZB3" s="62"/>
      <c r="KZC3" s="62"/>
      <c r="KZD3" s="62"/>
      <c r="KZE3" s="62"/>
      <c r="KZF3" s="62"/>
      <c r="KZG3" s="62"/>
      <c r="KZH3" s="62"/>
      <c r="KZI3" s="62"/>
      <c r="KZJ3" s="62"/>
      <c r="KZK3" s="62"/>
      <c r="KZL3" s="62"/>
      <c r="KZM3" s="62"/>
      <c r="KZN3" s="62"/>
      <c r="KZO3" s="62"/>
      <c r="KZP3" s="62"/>
      <c r="KZQ3" s="62"/>
      <c r="KZR3" s="62"/>
      <c r="KZS3" s="62"/>
      <c r="KZT3" s="62"/>
      <c r="KZU3" s="62"/>
      <c r="KZV3" s="62"/>
      <c r="KZW3" s="62"/>
      <c r="KZX3" s="62"/>
      <c r="KZY3" s="62"/>
      <c r="KZZ3" s="62"/>
      <c r="LAA3" s="62"/>
      <c r="LAB3" s="62"/>
      <c r="LAC3" s="62"/>
      <c r="LAD3" s="62"/>
      <c r="LAE3" s="62"/>
      <c r="LAF3" s="62"/>
      <c r="LAG3" s="62"/>
      <c r="LAH3" s="62"/>
      <c r="LAI3" s="62"/>
      <c r="LAJ3" s="62"/>
      <c r="LAK3" s="62"/>
      <c r="LAL3" s="62"/>
      <c r="LAM3" s="62"/>
      <c r="LAN3" s="62"/>
      <c r="LAO3" s="62"/>
      <c r="LAP3" s="62"/>
      <c r="LAQ3" s="62"/>
      <c r="LAR3" s="62"/>
      <c r="LAS3" s="62"/>
      <c r="LAT3" s="62"/>
      <c r="LAU3" s="62"/>
      <c r="LAV3" s="62"/>
      <c r="LAW3" s="62"/>
      <c r="LAX3" s="62"/>
      <c r="LAY3" s="62"/>
      <c r="LAZ3" s="62"/>
      <c r="LBA3" s="62"/>
      <c r="LBB3" s="62"/>
      <c r="LBC3" s="62"/>
      <c r="LBD3" s="62"/>
      <c r="LBE3" s="62"/>
      <c r="LBF3" s="62"/>
      <c r="LBG3" s="62"/>
      <c r="LBH3" s="62"/>
      <c r="LBI3" s="62"/>
      <c r="LBJ3" s="62"/>
      <c r="LBK3" s="62"/>
      <c r="LBL3" s="62"/>
      <c r="LBM3" s="62"/>
      <c r="LBN3" s="62"/>
      <c r="LBO3" s="62"/>
      <c r="LBP3" s="62"/>
      <c r="LBQ3" s="62"/>
      <c r="LBR3" s="62"/>
      <c r="LBS3" s="62"/>
      <c r="LBT3" s="62"/>
      <c r="LBU3" s="62"/>
      <c r="LBV3" s="62"/>
      <c r="LBW3" s="62"/>
      <c r="LBX3" s="62"/>
      <c r="LBY3" s="62"/>
      <c r="LBZ3" s="62"/>
      <c r="LCA3" s="62"/>
      <c r="LCB3" s="62"/>
      <c r="LCC3" s="62"/>
      <c r="LCD3" s="62"/>
      <c r="LCE3" s="62"/>
      <c r="LCF3" s="62"/>
      <c r="LCG3" s="62"/>
      <c r="LCH3" s="62"/>
      <c r="LCI3" s="62"/>
      <c r="LCJ3" s="62"/>
      <c r="LCK3" s="62"/>
      <c r="LCL3" s="62"/>
      <c r="LCM3" s="62"/>
      <c r="LCN3" s="62"/>
      <c r="LCO3" s="62"/>
      <c r="LCP3" s="62"/>
      <c r="LCQ3" s="62"/>
      <c r="LCR3" s="62"/>
      <c r="LCS3" s="62"/>
      <c r="LCT3" s="62"/>
      <c r="LCU3" s="62"/>
      <c r="LCV3" s="62"/>
      <c r="LCW3" s="62"/>
      <c r="LCX3" s="62"/>
      <c r="LCY3" s="62"/>
      <c r="LCZ3" s="62"/>
      <c r="LDA3" s="62"/>
      <c r="LDB3" s="62"/>
      <c r="LDC3" s="62"/>
      <c r="LDD3" s="62"/>
      <c r="LDE3" s="62"/>
      <c r="LDF3" s="62"/>
      <c r="LDG3" s="62"/>
      <c r="LDH3" s="62"/>
      <c r="LDI3" s="62"/>
      <c r="LDJ3" s="62"/>
      <c r="LDK3" s="62"/>
      <c r="LDL3" s="62"/>
      <c r="LDM3" s="62"/>
      <c r="LDN3" s="62"/>
      <c r="LDO3" s="62"/>
      <c r="LDP3" s="62"/>
      <c r="LDQ3" s="62"/>
      <c r="LDR3" s="62"/>
      <c r="LDS3" s="62"/>
      <c r="LDT3" s="62"/>
      <c r="LDU3" s="62"/>
      <c r="LDV3" s="62"/>
      <c r="LDW3" s="62"/>
      <c r="LDX3" s="62"/>
      <c r="LDY3" s="62"/>
      <c r="LDZ3" s="62"/>
      <c r="LEA3" s="62"/>
      <c r="LEB3" s="62"/>
      <c r="LEC3" s="62"/>
      <c r="LED3" s="62"/>
      <c r="LEE3" s="62"/>
      <c r="LEF3" s="62"/>
      <c r="LEG3" s="62"/>
      <c r="LEH3" s="62"/>
      <c r="LEI3" s="62"/>
      <c r="LEJ3" s="62"/>
      <c r="LEK3" s="62"/>
      <c r="LEL3" s="62"/>
      <c r="LEM3" s="62"/>
      <c r="LEN3" s="62"/>
      <c r="LEO3" s="62"/>
      <c r="LEP3" s="62"/>
      <c r="LEQ3" s="62"/>
      <c r="LER3" s="62"/>
      <c r="LES3" s="62"/>
      <c r="LET3" s="62"/>
      <c r="LEU3" s="62"/>
      <c r="LEV3" s="62"/>
      <c r="LEW3" s="62"/>
      <c r="LEX3" s="62"/>
      <c r="LEY3" s="62"/>
      <c r="LEZ3" s="62"/>
      <c r="LFA3" s="62"/>
      <c r="LFB3" s="62"/>
      <c r="LFC3" s="62"/>
      <c r="LFD3" s="62"/>
      <c r="LFE3" s="62"/>
      <c r="LFF3" s="62"/>
      <c r="LFG3" s="62"/>
      <c r="LFH3" s="62"/>
      <c r="LFI3" s="62"/>
      <c r="LFJ3" s="62"/>
      <c r="LFK3" s="62"/>
      <c r="LFL3" s="62"/>
      <c r="LFM3" s="62"/>
      <c r="LFN3" s="62"/>
      <c r="LFO3" s="62"/>
      <c r="LFP3" s="62"/>
      <c r="LFQ3" s="62"/>
      <c r="LFR3" s="62"/>
      <c r="LFS3" s="62"/>
      <c r="LFT3" s="62"/>
      <c r="LFU3" s="62"/>
      <c r="LFV3" s="62"/>
      <c r="LFW3" s="62"/>
      <c r="LFX3" s="62"/>
      <c r="LFY3" s="62"/>
      <c r="LFZ3" s="62"/>
      <c r="LGA3" s="62"/>
      <c r="LGB3" s="62"/>
      <c r="LGC3" s="62"/>
      <c r="LGD3" s="62"/>
      <c r="LGE3" s="62"/>
      <c r="LGF3" s="62"/>
      <c r="LGG3" s="62"/>
      <c r="LGH3" s="62"/>
      <c r="LGI3" s="62"/>
      <c r="LGJ3" s="62"/>
      <c r="LGK3" s="62"/>
      <c r="LGL3" s="62"/>
      <c r="LGM3" s="62"/>
      <c r="LGN3" s="62"/>
      <c r="LGO3" s="62"/>
      <c r="LGP3" s="62"/>
      <c r="LGQ3" s="62"/>
      <c r="LGR3" s="62"/>
      <c r="LGS3" s="62"/>
      <c r="LGT3" s="62"/>
      <c r="LGU3" s="62"/>
      <c r="LGV3" s="62"/>
      <c r="LGW3" s="62"/>
      <c r="LGX3" s="62"/>
      <c r="LGY3" s="62"/>
      <c r="LGZ3" s="62"/>
      <c r="LHA3" s="62"/>
      <c r="LHB3" s="62"/>
      <c r="LHC3" s="62"/>
      <c r="LHD3" s="62"/>
      <c r="LHE3" s="62"/>
      <c r="LHF3" s="62"/>
      <c r="LHG3" s="62"/>
      <c r="LHH3" s="62"/>
      <c r="LHI3" s="62"/>
      <c r="LHJ3" s="62"/>
      <c r="LHK3" s="62"/>
      <c r="LHL3" s="62"/>
      <c r="LHM3" s="62"/>
      <c r="LHN3" s="62"/>
      <c r="LHO3" s="62"/>
      <c r="LHP3" s="62"/>
      <c r="LHQ3" s="62"/>
      <c r="LHR3" s="62"/>
      <c r="LHS3" s="62"/>
      <c r="LHT3" s="62"/>
      <c r="LHU3" s="62"/>
      <c r="LHV3" s="62"/>
      <c r="LHW3" s="62"/>
      <c r="LHX3" s="62"/>
      <c r="LHY3" s="62"/>
      <c r="LHZ3" s="62"/>
      <c r="LIA3" s="62"/>
      <c r="LIB3" s="62"/>
      <c r="LIC3" s="62"/>
      <c r="LID3" s="62"/>
      <c r="LIE3" s="62"/>
      <c r="LIF3" s="62"/>
      <c r="LIG3" s="62"/>
      <c r="LIH3" s="62"/>
      <c r="LII3" s="62"/>
      <c r="LIJ3" s="62"/>
      <c r="LIK3" s="62"/>
      <c r="LIL3" s="62"/>
      <c r="LIM3" s="62"/>
      <c r="LIN3" s="62"/>
      <c r="LIO3" s="62"/>
      <c r="LIP3" s="62"/>
      <c r="LIQ3" s="62"/>
      <c r="LIR3" s="62"/>
      <c r="LIS3" s="62"/>
      <c r="LIT3" s="62"/>
      <c r="LIU3" s="62"/>
      <c r="LIV3" s="62"/>
      <c r="LIW3" s="62"/>
      <c r="LIX3" s="62"/>
      <c r="LIY3" s="62"/>
      <c r="LIZ3" s="62"/>
      <c r="LJA3" s="62"/>
      <c r="LJB3" s="62"/>
      <c r="LJC3" s="62"/>
      <c r="LJD3" s="62"/>
      <c r="LJE3" s="62"/>
      <c r="LJF3" s="62"/>
      <c r="LJG3" s="62"/>
      <c r="LJH3" s="62"/>
      <c r="LJI3" s="62"/>
      <c r="LJJ3" s="62"/>
      <c r="LJK3" s="62"/>
      <c r="LJL3" s="62"/>
      <c r="LJM3" s="62"/>
      <c r="LJN3" s="62"/>
      <c r="LJO3" s="62"/>
      <c r="LJP3" s="62"/>
      <c r="LJQ3" s="62"/>
      <c r="LJR3" s="62"/>
      <c r="LJS3" s="62"/>
      <c r="LJT3" s="62"/>
      <c r="LJU3" s="62"/>
      <c r="LJV3" s="62"/>
      <c r="LJW3" s="62"/>
      <c r="LJX3" s="62"/>
      <c r="LJY3" s="62"/>
      <c r="LJZ3" s="62"/>
      <c r="LKA3" s="62"/>
      <c r="LKB3" s="62"/>
      <c r="LKC3" s="62"/>
      <c r="LKD3" s="62"/>
      <c r="LKE3" s="62"/>
      <c r="LKF3" s="62"/>
      <c r="LKG3" s="62"/>
      <c r="LKH3" s="62"/>
      <c r="LKI3" s="62"/>
      <c r="LKJ3" s="62"/>
      <c r="LKK3" s="62"/>
      <c r="LKL3" s="62"/>
      <c r="LKM3" s="62"/>
      <c r="LKN3" s="62"/>
      <c r="LKO3" s="62"/>
      <c r="LKP3" s="62"/>
      <c r="LKQ3" s="62"/>
      <c r="LKR3" s="62"/>
      <c r="LKS3" s="62"/>
      <c r="LKT3" s="62"/>
      <c r="LKU3" s="62"/>
      <c r="LKV3" s="62"/>
      <c r="LKW3" s="62"/>
      <c r="LKX3" s="62"/>
      <c r="LKY3" s="62"/>
      <c r="LKZ3" s="62"/>
      <c r="LLA3" s="62"/>
      <c r="LLB3" s="62"/>
      <c r="LLC3" s="62"/>
      <c r="LLD3" s="62"/>
      <c r="LLE3" s="62"/>
      <c r="LLF3" s="62"/>
      <c r="LLG3" s="62"/>
      <c r="LLH3" s="62"/>
      <c r="LLI3" s="62"/>
      <c r="LLJ3" s="62"/>
      <c r="LLK3" s="62"/>
      <c r="LLL3" s="62"/>
      <c r="LLM3" s="62"/>
      <c r="LLN3" s="62"/>
      <c r="LLO3" s="62"/>
      <c r="LLP3" s="62"/>
      <c r="LLQ3" s="62"/>
      <c r="LLR3" s="62"/>
      <c r="LLS3" s="62"/>
      <c r="LLT3" s="62"/>
      <c r="LLU3" s="62"/>
      <c r="LLV3" s="62"/>
      <c r="LLW3" s="62"/>
      <c r="LLX3" s="62"/>
      <c r="LLY3" s="62"/>
      <c r="LLZ3" s="62"/>
      <c r="LMA3" s="62"/>
      <c r="LMB3" s="62"/>
      <c r="LMC3" s="62"/>
      <c r="LMD3" s="62"/>
      <c r="LME3" s="62"/>
      <c r="LMF3" s="62"/>
      <c r="LMG3" s="62"/>
      <c r="LMH3" s="62"/>
      <c r="LMI3" s="62"/>
      <c r="LMJ3" s="62"/>
      <c r="LMK3" s="62"/>
      <c r="LML3" s="62"/>
      <c r="LMM3" s="62"/>
      <c r="LMN3" s="62"/>
      <c r="LMO3" s="62"/>
      <c r="LMP3" s="62"/>
      <c r="LMQ3" s="62"/>
      <c r="LMR3" s="62"/>
      <c r="LMS3" s="62"/>
      <c r="LMT3" s="62"/>
      <c r="LMU3" s="62"/>
      <c r="LMV3" s="62"/>
      <c r="LMW3" s="62"/>
      <c r="LMX3" s="62"/>
      <c r="LMY3" s="62"/>
      <c r="LMZ3" s="62"/>
      <c r="LNA3" s="62"/>
      <c r="LNB3" s="62"/>
      <c r="LNC3" s="62"/>
      <c r="LND3" s="62"/>
      <c r="LNE3" s="62"/>
      <c r="LNF3" s="62"/>
      <c r="LNG3" s="62"/>
      <c r="LNH3" s="62"/>
      <c r="LNI3" s="62"/>
      <c r="LNJ3" s="62"/>
      <c r="LNK3" s="62"/>
      <c r="LNL3" s="62"/>
      <c r="LNM3" s="62"/>
      <c r="LNN3" s="62"/>
      <c r="LNO3" s="62"/>
      <c r="LNP3" s="62"/>
      <c r="LNQ3" s="62"/>
      <c r="LNR3" s="62"/>
      <c r="LNS3" s="62"/>
      <c r="LNT3" s="62"/>
      <c r="LNU3" s="62"/>
      <c r="LNV3" s="62"/>
      <c r="LNW3" s="62"/>
      <c r="LNX3" s="62"/>
      <c r="LNY3" s="62"/>
      <c r="LNZ3" s="62"/>
      <c r="LOA3" s="62"/>
      <c r="LOB3" s="62"/>
      <c r="LOC3" s="62"/>
      <c r="LOD3" s="62"/>
      <c r="LOE3" s="62"/>
      <c r="LOF3" s="62"/>
      <c r="LOG3" s="62"/>
      <c r="LOH3" s="62"/>
      <c r="LOI3" s="62"/>
      <c r="LOJ3" s="62"/>
      <c r="LOK3" s="62"/>
      <c r="LOL3" s="62"/>
      <c r="LOM3" s="62"/>
      <c r="LON3" s="62"/>
      <c r="LOO3" s="62"/>
      <c r="LOP3" s="62"/>
      <c r="LOQ3" s="62"/>
      <c r="LOR3" s="62"/>
      <c r="LOS3" s="62"/>
      <c r="LOT3" s="62"/>
      <c r="LOU3" s="62"/>
      <c r="LOV3" s="62"/>
      <c r="LOW3" s="62"/>
      <c r="LOX3" s="62"/>
      <c r="LOY3" s="62"/>
      <c r="LOZ3" s="62"/>
      <c r="LPA3" s="62"/>
      <c r="LPB3" s="62"/>
      <c r="LPC3" s="62"/>
      <c r="LPD3" s="62"/>
      <c r="LPE3" s="62"/>
      <c r="LPF3" s="62"/>
      <c r="LPG3" s="62"/>
      <c r="LPH3" s="62"/>
      <c r="LPI3" s="62"/>
      <c r="LPJ3" s="62"/>
      <c r="LPK3" s="62"/>
      <c r="LPL3" s="62"/>
      <c r="LPM3" s="62"/>
      <c r="LPN3" s="62"/>
      <c r="LPO3" s="62"/>
      <c r="LPP3" s="62"/>
      <c r="LPQ3" s="62"/>
      <c r="LPR3" s="62"/>
      <c r="LPS3" s="62"/>
      <c r="LPT3" s="62"/>
      <c r="LPU3" s="62"/>
      <c r="LPV3" s="62"/>
      <c r="LPW3" s="62"/>
      <c r="LPX3" s="62"/>
      <c r="LPY3" s="62"/>
      <c r="LPZ3" s="62"/>
      <c r="LQA3" s="62"/>
      <c r="LQB3" s="62"/>
      <c r="LQC3" s="62"/>
      <c r="LQD3" s="62"/>
      <c r="LQE3" s="62"/>
      <c r="LQF3" s="62"/>
      <c r="LQG3" s="62"/>
      <c r="LQH3" s="62"/>
      <c r="LQI3" s="62"/>
      <c r="LQJ3" s="62"/>
      <c r="LQK3" s="62"/>
      <c r="LQL3" s="62"/>
      <c r="LQM3" s="62"/>
      <c r="LQN3" s="62"/>
      <c r="LQO3" s="62"/>
      <c r="LQP3" s="62"/>
      <c r="LQQ3" s="62"/>
      <c r="LQR3" s="62"/>
      <c r="LQS3" s="62"/>
      <c r="LQT3" s="62"/>
      <c r="LQU3" s="62"/>
      <c r="LQV3" s="62"/>
      <c r="LQW3" s="62"/>
      <c r="LQX3" s="62"/>
      <c r="LQY3" s="62"/>
      <c r="LQZ3" s="62"/>
      <c r="LRA3" s="62"/>
      <c r="LRB3" s="62"/>
      <c r="LRC3" s="62"/>
      <c r="LRD3" s="62"/>
      <c r="LRE3" s="62"/>
      <c r="LRF3" s="62"/>
      <c r="LRG3" s="62"/>
      <c r="LRH3" s="62"/>
      <c r="LRI3" s="62"/>
      <c r="LRJ3" s="62"/>
      <c r="LRK3" s="62"/>
      <c r="LRL3" s="62"/>
      <c r="LRM3" s="62"/>
      <c r="LRN3" s="62"/>
      <c r="LRO3" s="62"/>
      <c r="LRP3" s="62"/>
      <c r="LRQ3" s="62"/>
      <c r="LRR3" s="62"/>
      <c r="LRS3" s="62"/>
      <c r="LRT3" s="62"/>
      <c r="LRU3" s="62"/>
      <c r="LRV3" s="62"/>
      <c r="LRW3" s="62"/>
      <c r="LRX3" s="62"/>
      <c r="LRY3" s="62"/>
      <c r="LRZ3" s="62"/>
      <c r="LSA3" s="62"/>
      <c r="LSB3" s="62"/>
      <c r="LSC3" s="62"/>
      <c r="LSD3" s="62"/>
      <c r="LSE3" s="62"/>
      <c r="LSF3" s="62"/>
      <c r="LSG3" s="62"/>
      <c r="LSH3" s="62"/>
      <c r="LSI3" s="62"/>
      <c r="LSJ3" s="62"/>
      <c r="LSK3" s="62"/>
      <c r="LSL3" s="62"/>
      <c r="LSM3" s="62"/>
      <c r="LSN3" s="62"/>
      <c r="LSO3" s="62"/>
      <c r="LSP3" s="62"/>
      <c r="LSQ3" s="62"/>
      <c r="LSR3" s="62"/>
      <c r="LSS3" s="62"/>
      <c r="LST3" s="62"/>
      <c r="LSU3" s="62"/>
      <c r="LSV3" s="62"/>
      <c r="LSW3" s="62"/>
      <c r="LSX3" s="62"/>
      <c r="LSY3" s="62"/>
      <c r="LSZ3" s="62"/>
      <c r="LTA3" s="62"/>
      <c r="LTB3" s="62"/>
      <c r="LTC3" s="62"/>
      <c r="LTD3" s="62"/>
      <c r="LTE3" s="62"/>
      <c r="LTF3" s="62"/>
      <c r="LTG3" s="62"/>
      <c r="LTH3" s="62"/>
      <c r="LTI3" s="62"/>
      <c r="LTJ3" s="62"/>
      <c r="LTK3" s="62"/>
      <c r="LTL3" s="62"/>
      <c r="LTM3" s="62"/>
      <c r="LTN3" s="62"/>
      <c r="LTO3" s="62"/>
      <c r="LTP3" s="62"/>
      <c r="LTQ3" s="62"/>
      <c r="LTR3" s="62"/>
      <c r="LTS3" s="62"/>
      <c r="LTT3" s="62"/>
      <c r="LTU3" s="62"/>
      <c r="LTV3" s="62"/>
      <c r="LTW3" s="62"/>
      <c r="LTX3" s="62"/>
      <c r="LTY3" s="62"/>
      <c r="LTZ3" s="62"/>
      <c r="LUA3" s="62"/>
      <c r="LUB3" s="62"/>
      <c r="LUC3" s="62"/>
      <c r="LUD3" s="62"/>
      <c r="LUE3" s="62"/>
      <c r="LUF3" s="62"/>
      <c r="LUG3" s="62"/>
      <c r="LUH3" s="62"/>
      <c r="LUI3" s="62"/>
      <c r="LUJ3" s="62"/>
      <c r="LUK3" s="62"/>
      <c r="LUL3" s="62"/>
      <c r="LUM3" s="62"/>
      <c r="LUN3" s="62"/>
      <c r="LUO3" s="62"/>
      <c r="LUP3" s="62"/>
      <c r="LUQ3" s="62"/>
      <c r="LUR3" s="62"/>
      <c r="LUS3" s="62"/>
      <c r="LUT3" s="62"/>
      <c r="LUU3" s="62"/>
      <c r="LUV3" s="62"/>
      <c r="LUW3" s="62"/>
      <c r="LUX3" s="62"/>
      <c r="LUY3" s="62"/>
      <c r="LUZ3" s="62"/>
      <c r="LVA3" s="62"/>
      <c r="LVB3" s="62"/>
      <c r="LVC3" s="62"/>
      <c r="LVD3" s="62"/>
      <c r="LVE3" s="62"/>
      <c r="LVF3" s="62"/>
      <c r="LVG3" s="62"/>
      <c r="LVH3" s="62"/>
      <c r="LVI3" s="62"/>
      <c r="LVJ3" s="62"/>
      <c r="LVK3" s="62"/>
      <c r="LVL3" s="62"/>
      <c r="LVM3" s="62"/>
      <c r="LVN3" s="62"/>
      <c r="LVO3" s="62"/>
      <c r="LVP3" s="62"/>
      <c r="LVQ3" s="62"/>
      <c r="LVR3" s="62"/>
      <c r="LVS3" s="62"/>
      <c r="LVT3" s="62"/>
      <c r="LVU3" s="62"/>
      <c r="LVV3" s="62"/>
      <c r="LVW3" s="62"/>
      <c r="LVX3" s="62"/>
      <c r="LVY3" s="62"/>
      <c r="LVZ3" s="62"/>
      <c r="LWA3" s="62"/>
      <c r="LWB3" s="62"/>
      <c r="LWC3" s="62"/>
      <c r="LWD3" s="62"/>
      <c r="LWE3" s="62"/>
      <c r="LWF3" s="62"/>
      <c r="LWG3" s="62"/>
      <c r="LWH3" s="62"/>
      <c r="LWI3" s="62"/>
      <c r="LWJ3" s="62"/>
      <c r="LWK3" s="62"/>
      <c r="LWL3" s="62"/>
      <c r="LWM3" s="62"/>
      <c r="LWN3" s="62"/>
      <c r="LWO3" s="62"/>
      <c r="LWP3" s="62"/>
      <c r="LWQ3" s="62"/>
      <c r="LWR3" s="62"/>
      <c r="LWS3" s="62"/>
      <c r="LWT3" s="62"/>
      <c r="LWU3" s="62"/>
      <c r="LWV3" s="62"/>
      <c r="LWW3" s="62"/>
      <c r="LWX3" s="62"/>
      <c r="LWY3" s="62"/>
      <c r="LWZ3" s="62"/>
      <c r="LXA3" s="62"/>
      <c r="LXB3" s="62"/>
      <c r="LXC3" s="62"/>
      <c r="LXD3" s="62"/>
      <c r="LXE3" s="62"/>
      <c r="LXF3" s="62"/>
      <c r="LXG3" s="62"/>
      <c r="LXH3" s="62"/>
      <c r="LXI3" s="62"/>
      <c r="LXJ3" s="62"/>
      <c r="LXK3" s="62"/>
      <c r="LXL3" s="62"/>
      <c r="LXM3" s="62"/>
      <c r="LXN3" s="62"/>
      <c r="LXO3" s="62"/>
      <c r="LXP3" s="62"/>
      <c r="LXQ3" s="62"/>
      <c r="LXR3" s="62"/>
      <c r="LXS3" s="62"/>
      <c r="LXT3" s="62"/>
      <c r="LXU3" s="62"/>
      <c r="LXV3" s="62"/>
      <c r="LXW3" s="62"/>
      <c r="LXX3" s="62"/>
      <c r="LXY3" s="62"/>
      <c r="LXZ3" s="62"/>
      <c r="LYA3" s="62"/>
      <c r="LYB3" s="62"/>
      <c r="LYC3" s="62"/>
      <c r="LYD3" s="62"/>
      <c r="LYE3" s="62"/>
      <c r="LYF3" s="62"/>
      <c r="LYG3" s="62"/>
      <c r="LYH3" s="62"/>
      <c r="LYI3" s="62"/>
      <c r="LYJ3" s="62"/>
      <c r="LYK3" s="62"/>
      <c r="LYL3" s="62"/>
      <c r="LYM3" s="62"/>
      <c r="LYN3" s="62"/>
      <c r="LYO3" s="62"/>
      <c r="LYP3" s="62"/>
      <c r="LYQ3" s="62"/>
      <c r="LYR3" s="62"/>
      <c r="LYS3" s="62"/>
      <c r="LYT3" s="62"/>
      <c r="LYU3" s="62"/>
      <c r="LYV3" s="62"/>
      <c r="LYW3" s="62"/>
      <c r="LYX3" s="62"/>
      <c r="LYY3" s="62"/>
      <c r="LYZ3" s="62"/>
      <c r="LZA3" s="62"/>
      <c r="LZB3" s="62"/>
      <c r="LZC3" s="62"/>
      <c r="LZD3" s="62"/>
      <c r="LZE3" s="62"/>
      <c r="LZF3" s="62"/>
      <c r="LZG3" s="62"/>
      <c r="LZH3" s="62"/>
      <c r="LZI3" s="62"/>
      <c r="LZJ3" s="62"/>
      <c r="LZK3" s="62"/>
      <c r="LZL3" s="62"/>
      <c r="LZM3" s="62"/>
      <c r="LZN3" s="62"/>
      <c r="LZO3" s="62"/>
      <c r="LZP3" s="62"/>
      <c r="LZQ3" s="62"/>
      <c r="LZR3" s="62"/>
      <c r="LZS3" s="62"/>
      <c r="LZT3" s="62"/>
      <c r="LZU3" s="62"/>
      <c r="LZV3" s="62"/>
      <c r="LZW3" s="62"/>
      <c r="LZX3" s="62"/>
      <c r="LZY3" s="62"/>
      <c r="LZZ3" s="62"/>
      <c r="MAA3" s="62"/>
      <c r="MAB3" s="62"/>
      <c r="MAC3" s="62"/>
      <c r="MAD3" s="62"/>
      <c r="MAE3" s="62"/>
      <c r="MAF3" s="62"/>
      <c r="MAG3" s="62"/>
      <c r="MAH3" s="62"/>
      <c r="MAI3" s="62"/>
      <c r="MAJ3" s="62"/>
      <c r="MAK3" s="62"/>
      <c r="MAL3" s="62"/>
      <c r="MAM3" s="62"/>
      <c r="MAN3" s="62"/>
      <c r="MAO3" s="62"/>
      <c r="MAP3" s="62"/>
      <c r="MAQ3" s="62"/>
      <c r="MAR3" s="62"/>
      <c r="MAS3" s="62"/>
      <c r="MAT3" s="62"/>
      <c r="MAU3" s="62"/>
      <c r="MAV3" s="62"/>
      <c r="MAW3" s="62"/>
      <c r="MAX3" s="62"/>
      <c r="MAY3" s="62"/>
      <c r="MAZ3" s="62"/>
      <c r="MBA3" s="62"/>
      <c r="MBB3" s="62"/>
      <c r="MBC3" s="62"/>
      <c r="MBD3" s="62"/>
      <c r="MBE3" s="62"/>
      <c r="MBF3" s="62"/>
      <c r="MBG3" s="62"/>
      <c r="MBH3" s="62"/>
      <c r="MBI3" s="62"/>
      <c r="MBJ3" s="62"/>
      <c r="MBK3" s="62"/>
      <c r="MBL3" s="62"/>
      <c r="MBM3" s="62"/>
      <c r="MBN3" s="62"/>
      <c r="MBO3" s="62"/>
      <c r="MBP3" s="62"/>
      <c r="MBQ3" s="62"/>
      <c r="MBR3" s="62"/>
      <c r="MBS3" s="62"/>
      <c r="MBT3" s="62"/>
      <c r="MBU3" s="62"/>
      <c r="MBV3" s="62"/>
      <c r="MBW3" s="62"/>
      <c r="MBX3" s="62"/>
      <c r="MBY3" s="62"/>
      <c r="MBZ3" s="62"/>
      <c r="MCA3" s="62"/>
      <c r="MCB3" s="62"/>
      <c r="MCC3" s="62"/>
      <c r="MCD3" s="62"/>
      <c r="MCE3" s="62"/>
      <c r="MCF3" s="62"/>
      <c r="MCG3" s="62"/>
      <c r="MCH3" s="62"/>
      <c r="MCI3" s="62"/>
      <c r="MCJ3" s="62"/>
      <c r="MCK3" s="62"/>
      <c r="MCL3" s="62"/>
      <c r="MCM3" s="62"/>
      <c r="MCN3" s="62"/>
      <c r="MCO3" s="62"/>
      <c r="MCP3" s="62"/>
      <c r="MCQ3" s="62"/>
      <c r="MCR3" s="62"/>
      <c r="MCS3" s="62"/>
      <c r="MCT3" s="62"/>
      <c r="MCU3" s="62"/>
      <c r="MCV3" s="62"/>
      <c r="MCW3" s="62"/>
      <c r="MCX3" s="62"/>
      <c r="MCY3" s="62"/>
      <c r="MCZ3" s="62"/>
      <c r="MDA3" s="62"/>
      <c r="MDB3" s="62"/>
      <c r="MDC3" s="62"/>
      <c r="MDD3" s="62"/>
      <c r="MDE3" s="62"/>
      <c r="MDF3" s="62"/>
      <c r="MDG3" s="62"/>
      <c r="MDH3" s="62"/>
      <c r="MDI3" s="62"/>
      <c r="MDJ3" s="62"/>
      <c r="MDK3" s="62"/>
      <c r="MDL3" s="62"/>
      <c r="MDM3" s="62"/>
      <c r="MDN3" s="62"/>
      <c r="MDO3" s="62"/>
      <c r="MDP3" s="62"/>
      <c r="MDQ3" s="62"/>
      <c r="MDR3" s="62"/>
      <c r="MDS3" s="62"/>
      <c r="MDT3" s="62"/>
      <c r="MDU3" s="62"/>
      <c r="MDV3" s="62"/>
      <c r="MDW3" s="62"/>
      <c r="MDX3" s="62"/>
      <c r="MDY3" s="62"/>
      <c r="MDZ3" s="62"/>
      <c r="MEA3" s="62"/>
      <c r="MEB3" s="62"/>
      <c r="MEC3" s="62"/>
      <c r="MED3" s="62"/>
      <c r="MEE3" s="62"/>
      <c r="MEF3" s="62"/>
      <c r="MEG3" s="62"/>
      <c r="MEH3" s="62"/>
      <c r="MEI3" s="62"/>
      <c r="MEJ3" s="62"/>
      <c r="MEK3" s="62"/>
      <c r="MEL3" s="62"/>
      <c r="MEM3" s="62"/>
      <c r="MEN3" s="62"/>
      <c r="MEO3" s="62"/>
      <c r="MEP3" s="62"/>
      <c r="MEQ3" s="62"/>
      <c r="MER3" s="62"/>
      <c r="MES3" s="62"/>
      <c r="MET3" s="62"/>
      <c r="MEU3" s="62"/>
      <c r="MEV3" s="62"/>
      <c r="MEW3" s="62"/>
      <c r="MEX3" s="62"/>
      <c r="MEY3" s="62"/>
      <c r="MEZ3" s="62"/>
      <c r="MFA3" s="62"/>
      <c r="MFB3" s="62"/>
      <c r="MFC3" s="62"/>
      <c r="MFD3" s="62"/>
      <c r="MFE3" s="62"/>
      <c r="MFF3" s="62"/>
      <c r="MFG3" s="62"/>
      <c r="MFH3" s="62"/>
      <c r="MFI3" s="62"/>
      <c r="MFJ3" s="62"/>
      <c r="MFK3" s="62"/>
      <c r="MFL3" s="62"/>
      <c r="MFM3" s="62"/>
      <c r="MFN3" s="62"/>
      <c r="MFO3" s="62"/>
      <c r="MFP3" s="62"/>
      <c r="MFQ3" s="62"/>
      <c r="MFR3" s="62"/>
      <c r="MFS3" s="62"/>
      <c r="MFT3" s="62"/>
      <c r="MFU3" s="62"/>
      <c r="MFV3" s="62"/>
      <c r="MFW3" s="62"/>
      <c r="MFX3" s="62"/>
      <c r="MFY3" s="62"/>
      <c r="MFZ3" s="62"/>
      <c r="MGA3" s="62"/>
      <c r="MGB3" s="62"/>
      <c r="MGC3" s="62"/>
      <c r="MGD3" s="62"/>
      <c r="MGE3" s="62"/>
      <c r="MGF3" s="62"/>
      <c r="MGG3" s="62"/>
      <c r="MGH3" s="62"/>
      <c r="MGI3" s="62"/>
      <c r="MGJ3" s="62"/>
      <c r="MGK3" s="62"/>
      <c r="MGL3" s="62"/>
      <c r="MGM3" s="62"/>
      <c r="MGN3" s="62"/>
      <c r="MGO3" s="62"/>
      <c r="MGP3" s="62"/>
      <c r="MGQ3" s="62"/>
      <c r="MGR3" s="62"/>
      <c r="MGS3" s="62"/>
      <c r="MGT3" s="62"/>
      <c r="MGU3" s="62"/>
      <c r="MGV3" s="62"/>
      <c r="MGW3" s="62"/>
      <c r="MGX3" s="62"/>
      <c r="MGY3" s="62"/>
      <c r="MGZ3" s="62"/>
      <c r="MHA3" s="62"/>
      <c r="MHB3" s="62"/>
      <c r="MHC3" s="62"/>
      <c r="MHD3" s="62"/>
      <c r="MHE3" s="62"/>
      <c r="MHF3" s="62"/>
      <c r="MHG3" s="62"/>
      <c r="MHH3" s="62"/>
      <c r="MHI3" s="62"/>
      <c r="MHJ3" s="62"/>
      <c r="MHK3" s="62"/>
      <c r="MHL3" s="62"/>
      <c r="MHM3" s="62"/>
      <c r="MHN3" s="62"/>
      <c r="MHO3" s="62"/>
      <c r="MHP3" s="62"/>
      <c r="MHQ3" s="62"/>
      <c r="MHR3" s="62"/>
      <c r="MHS3" s="62"/>
      <c r="MHT3" s="62"/>
      <c r="MHU3" s="62"/>
      <c r="MHV3" s="62"/>
      <c r="MHW3" s="62"/>
      <c r="MHX3" s="62"/>
      <c r="MHY3" s="62"/>
      <c r="MHZ3" s="62"/>
      <c r="MIA3" s="62"/>
      <c r="MIB3" s="62"/>
      <c r="MIC3" s="62"/>
      <c r="MID3" s="62"/>
      <c r="MIE3" s="62"/>
      <c r="MIF3" s="62"/>
      <c r="MIG3" s="62"/>
      <c r="MIH3" s="62"/>
      <c r="MII3" s="62"/>
      <c r="MIJ3" s="62"/>
      <c r="MIK3" s="62"/>
      <c r="MIL3" s="62"/>
      <c r="MIM3" s="62"/>
      <c r="MIN3" s="62"/>
      <c r="MIO3" s="62"/>
      <c r="MIP3" s="62"/>
      <c r="MIQ3" s="62"/>
      <c r="MIR3" s="62"/>
      <c r="MIS3" s="62"/>
      <c r="MIT3" s="62"/>
      <c r="MIU3" s="62"/>
      <c r="MIV3" s="62"/>
      <c r="MIW3" s="62"/>
      <c r="MIX3" s="62"/>
      <c r="MIY3" s="62"/>
      <c r="MIZ3" s="62"/>
      <c r="MJA3" s="62"/>
      <c r="MJB3" s="62"/>
      <c r="MJC3" s="62"/>
      <c r="MJD3" s="62"/>
      <c r="MJE3" s="62"/>
      <c r="MJF3" s="62"/>
      <c r="MJG3" s="62"/>
      <c r="MJH3" s="62"/>
      <c r="MJI3" s="62"/>
      <c r="MJJ3" s="62"/>
      <c r="MJK3" s="62"/>
      <c r="MJL3" s="62"/>
      <c r="MJM3" s="62"/>
      <c r="MJN3" s="62"/>
      <c r="MJO3" s="62"/>
      <c r="MJP3" s="62"/>
      <c r="MJQ3" s="62"/>
      <c r="MJR3" s="62"/>
      <c r="MJS3" s="62"/>
      <c r="MJT3" s="62"/>
      <c r="MJU3" s="62"/>
      <c r="MJV3" s="62"/>
      <c r="MJW3" s="62"/>
      <c r="MJX3" s="62"/>
      <c r="MJY3" s="62"/>
      <c r="MJZ3" s="62"/>
      <c r="MKA3" s="62"/>
      <c r="MKB3" s="62"/>
      <c r="MKC3" s="62"/>
      <c r="MKD3" s="62"/>
      <c r="MKE3" s="62"/>
      <c r="MKF3" s="62"/>
      <c r="MKG3" s="62"/>
      <c r="MKH3" s="62"/>
      <c r="MKI3" s="62"/>
      <c r="MKJ3" s="62"/>
      <c r="MKK3" s="62"/>
      <c r="MKL3" s="62"/>
      <c r="MKM3" s="62"/>
      <c r="MKN3" s="62"/>
      <c r="MKO3" s="62"/>
      <c r="MKP3" s="62"/>
      <c r="MKQ3" s="62"/>
      <c r="MKR3" s="62"/>
      <c r="MKS3" s="62"/>
      <c r="MKT3" s="62"/>
      <c r="MKU3" s="62"/>
      <c r="MKV3" s="62"/>
      <c r="MKW3" s="62"/>
      <c r="MKX3" s="62"/>
      <c r="MKY3" s="62"/>
      <c r="MKZ3" s="62"/>
      <c r="MLA3" s="62"/>
      <c r="MLB3" s="62"/>
      <c r="MLC3" s="62"/>
      <c r="MLD3" s="62"/>
      <c r="MLE3" s="62"/>
      <c r="MLF3" s="62"/>
      <c r="MLG3" s="62"/>
      <c r="MLH3" s="62"/>
      <c r="MLI3" s="62"/>
      <c r="MLJ3" s="62"/>
      <c r="MLK3" s="62"/>
      <c r="MLL3" s="62"/>
      <c r="MLM3" s="62"/>
      <c r="MLN3" s="62"/>
      <c r="MLO3" s="62"/>
      <c r="MLP3" s="62"/>
      <c r="MLQ3" s="62"/>
      <c r="MLR3" s="62"/>
      <c r="MLS3" s="62"/>
      <c r="MLT3" s="62"/>
      <c r="MLU3" s="62"/>
      <c r="MLV3" s="62"/>
      <c r="MLW3" s="62"/>
      <c r="MLX3" s="62"/>
      <c r="MLY3" s="62"/>
      <c r="MLZ3" s="62"/>
      <c r="MMA3" s="62"/>
      <c r="MMB3" s="62"/>
      <c r="MMC3" s="62"/>
      <c r="MMD3" s="62"/>
      <c r="MME3" s="62"/>
      <c r="MMF3" s="62"/>
      <c r="MMG3" s="62"/>
      <c r="MMH3" s="62"/>
      <c r="MMI3" s="62"/>
      <c r="MMJ3" s="62"/>
      <c r="MMK3" s="62"/>
      <c r="MML3" s="62"/>
      <c r="MMM3" s="62"/>
      <c r="MMN3" s="62"/>
      <c r="MMO3" s="62"/>
      <c r="MMP3" s="62"/>
      <c r="MMQ3" s="62"/>
      <c r="MMR3" s="62"/>
      <c r="MMS3" s="62"/>
      <c r="MMT3" s="62"/>
      <c r="MMU3" s="62"/>
      <c r="MMV3" s="62"/>
      <c r="MMW3" s="62"/>
      <c r="MMX3" s="62"/>
      <c r="MMY3" s="62"/>
      <c r="MMZ3" s="62"/>
      <c r="MNA3" s="62"/>
      <c r="MNB3" s="62"/>
      <c r="MNC3" s="62"/>
      <c r="MND3" s="62"/>
      <c r="MNE3" s="62"/>
      <c r="MNF3" s="62"/>
      <c r="MNG3" s="62"/>
      <c r="MNH3" s="62"/>
      <c r="MNI3" s="62"/>
      <c r="MNJ3" s="62"/>
      <c r="MNK3" s="62"/>
      <c r="MNL3" s="62"/>
      <c r="MNM3" s="62"/>
      <c r="MNN3" s="62"/>
      <c r="MNO3" s="62"/>
      <c r="MNP3" s="62"/>
      <c r="MNQ3" s="62"/>
      <c r="MNR3" s="62"/>
      <c r="MNS3" s="62"/>
      <c r="MNT3" s="62"/>
      <c r="MNU3" s="62"/>
      <c r="MNV3" s="62"/>
      <c r="MNW3" s="62"/>
      <c r="MNX3" s="62"/>
      <c r="MNY3" s="62"/>
      <c r="MNZ3" s="62"/>
      <c r="MOA3" s="62"/>
      <c r="MOB3" s="62"/>
      <c r="MOC3" s="62"/>
      <c r="MOD3" s="62"/>
      <c r="MOE3" s="62"/>
      <c r="MOF3" s="62"/>
      <c r="MOG3" s="62"/>
      <c r="MOH3" s="62"/>
      <c r="MOI3" s="62"/>
      <c r="MOJ3" s="62"/>
      <c r="MOK3" s="62"/>
      <c r="MOL3" s="62"/>
      <c r="MOM3" s="62"/>
      <c r="MON3" s="62"/>
      <c r="MOO3" s="62"/>
      <c r="MOP3" s="62"/>
      <c r="MOQ3" s="62"/>
      <c r="MOR3" s="62"/>
      <c r="MOS3" s="62"/>
      <c r="MOT3" s="62"/>
      <c r="MOU3" s="62"/>
      <c r="MOV3" s="62"/>
      <c r="MOW3" s="62"/>
      <c r="MOX3" s="62"/>
      <c r="MOY3" s="62"/>
      <c r="MOZ3" s="62"/>
      <c r="MPA3" s="62"/>
      <c r="MPB3" s="62"/>
      <c r="MPC3" s="62"/>
      <c r="MPD3" s="62"/>
      <c r="MPE3" s="62"/>
      <c r="MPF3" s="62"/>
      <c r="MPG3" s="62"/>
      <c r="MPH3" s="62"/>
      <c r="MPI3" s="62"/>
      <c r="MPJ3" s="62"/>
      <c r="MPK3" s="62"/>
      <c r="MPL3" s="62"/>
      <c r="MPM3" s="62"/>
      <c r="MPN3" s="62"/>
      <c r="MPO3" s="62"/>
      <c r="MPP3" s="62"/>
      <c r="MPQ3" s="62"/>
      <c r="MPR3" s="62"/>
      <c r="MPS3" s="62"/>
      <c r="MPT3" s="62"/>
      <c r="MPU3" s="62"/>
      <c r="MPV3" s="62"/>
      <c r="MPW3" s="62"/>
      <c r="MPX3" s="62"/>
      <c r="MPY3" s="62"/>
      <c r="MPZ3" s="62"/>
      <c r="MQA3" s="62"/>
      <c r="MQB3" s="62"/>
      <c r="MQC3" s="62"/>
      <c r="MQD3" s="62"/>
      <c r="MQE3" s="62"/>
      <c r="MQF3" s="62"/>
      <c r="MQG3" s="62"/>
      <c r="MQH3" s="62"/>
      <c r="MQI3" s="62"/>
      <c r="MQJ3" s="62"/>
      <c r="MQK3" s="62"/>
      <c r="MQL3" s="62"/>
      <c r="MQM3" s="62"/>
      <c r="MQN3" s="62"/>
      <c r="MQO3" s="62"/>
      <c r="MQP3" s="62"/>
      <c r="MQQ3" s="62"/>
      <c r="MQR3" s="62"/>
      <c r="MQS3" s="62"/>
      <c r="MQT3" s="62"/>
      <c r="MQU3" s="62"/>
      <c r="MQV3" s="62"/>
      <c r="MQW3" s="62"/>
      <c r="MQX3" s="62"/>
      <c r="MQY3" s="62"/>
      <c r="MQZ3" s="62"/>
      <c r="MRA3" s="62"/>
      <c r="MRB3" s="62"/>
      <c r="MRC3" s="62"/>
      <c r="MRD3" s="62"/>
      <c r="MRE3" s="62"/>
      <c r="MRF3" s="62"/>
      <c r="MRG3" s="62"/>
      <c r="MRH3" s="62"/>
      <c r="MRI3" s="62"/>
      <c r="MRJ3" s="62"/>
      <c r="MRK3" s="62"/>
      <c r="MRL3" s="62"/>
      <c r="MRM3" s="62"/>
      <c r="MRN3" s="62"/>
      <c r="MRO3" s="62"/>
      <c r="MRP3" s="62"/>
      <c r="MRQ3" s="62"/>
      <c r="MRR3" s="62"/>
      <c r="MRS3" s="62"/>
      <c r="MRT3" s="62"/>
      <c r="MRU3" s="62"/>
      <c r="MRV3" s="62"/>
      <c r="MRW3" s="62"/>
      <c r="MRX3" s="62"/>
      <c r="MRY3" s="62"/>
      <c r="MRZ3" s="62"/>
      <c r="MSA3" s="62"/>
      <c r="MSB3" s="62"/>
      <c r="MSC3" s="62"/>
      <c r="MSD3" s="62"/>
      <c r="MSE3" s="62"/>
      <c r="MSF3" s="62"/>
      <c r="MSG3" s="62"/>
      <c r="MSH3" s="62"/>
      <c r="MSI3" s="62"/>
      <c r="MSJ3" s="62"/>
      <c r="MSK3" s="62"/>
      <c r="MSL3" s="62"/>
      <c r="MSM3" s="62"/>
      <c r="MSN3" s="62"/>
      <c r="MSO3" s="62"/>
      <c r="MSP3" s="62"/>
      <c r="MSQ3" s="62"/>
      <c r="MSR3" s="62"/>
      <c r="MSS3" s="62"/>
      <c r="MST3" s="62"/>
      <c r="MSU3" s="62"/>
      <c r="MSV3" s="62"/>
      <c r="MSW3" s="62"/>
      <c r="MSX3" s="62"/>
      <c r="MSY3" s="62"/>
      <c r="MSZ3" s="62"/>
      <c r="MTA3" s="62"/>
      <c r="MTB3" s="62"/>
      <c r="MTC3" s="62"/>
      <c r="MTD3" s="62"/>
      <c r="MTE3" s="62"/>
      <c r="MTF3" s="62"/>
      <c r="MTG3" s="62"/>
      <c r="MTH3" s="62"/>
      <c r="MTI3" s="62"/>
      <c r="MTJ3" s="62"/>
      <c r="MTK3" s="62"/>
      <c r="MTL3" s="62"/>
      <c r="MTM3" s="62"/>
      <c r="MTN3" s="62"/>
      <c r="MTO3" s="62"/>
      <c r="MTP3" s="62"/>
      <c r="MTQ3" s="62"/>
      <c r="MTR3" s="62"/>
      <c r="MTS3" s="62"/>
      <c r="MTT3" s="62"/>
      <c r="MTU3" s="62"/>
      <c r="MTV3" s="62"/>
      <c r="MTW3" s="62"/>
      <c r="MTX3" s="62"/>
      <c r="MTY3" s="62"/>
      <c r="MTZ3" s="62"/>
      <c r="MUA3" s="62"/>
      <c r="MUB3" s="62"/>
      <c r="MUC3" s="62"/>
      <c r="MUD3" s="62"/>
      <c r="MUE3" s="62"/>
      <c r="MUF3" s="62"/>
      <c r="MUG3" s="62"/>
      <c r="MUH3" s="62"/>
      <c r="MUI3" s="62"/>
      <c r="MUJ3" s="62"/>
      <c r="MUK3" s="62"/>
      <c r="MUL3" s="62"/>
      <c r="MUM3" s="62"/>
      <c r="MUN3" s="62"/>
      <c r="MUO3" s="62"/>
      <c r="MUP3" s="62"/>
      <c r="MUQ3" s="62"/>
      <c r="MUR3" s="62"/>
      <c r="MUS3" s="62"/>
      <c r="MUT3" s="62"/>
      <c r="MUU3" s="62"/>
      <c r="MUV3" s="62"/>
      <c r="MUW3" s="62"/>
      <c r="MUX3" s="62"/>
      <c r="MUY3" s="62"/>
      <c r="MUZ3" s="62"/>
      <c r="MVA3" s="62"/>
      <c r="MVB3" s="62"/>
      <c r="MVC3" s="62"/>
      <c r="MVD3" s="62"/>
      <c r="MVE3" s="62"/>
      <c r="MVF3" s="62"/>
      <c r="MVG3" s="62"/>
      <c r="MVH3" s="62"/>
      <c r="MVI3" s="62"/>
      <c r="MVJ3" s="62"/>
      <c r="MVK3" s="62"/>
      <c r="MVL3" s="62"/>
      <c r="MVM3" s="62"/>
      <c r="MVN3" s="62"/>
      <c r="MVO3" s="62"/>
      <c r="MVP3" s="62"/>
      <c r="MVQ3" s="62"/>
      <c r="MVR3" s="62"/>
      <c r="MVS3" s="62"/>
      <c r="MVT3" s="62"/>
      <c r="MVU3" s="62"/>
      <c r="MVV3" s="62"/>
      <c r="MVW3" s="62"/>
      <c r="MVX3" s="62"/>
      <c r="MVY3" s="62"/>
      <c r="MVZ3" s="62"/>
      <c r="MWA3" s="62"/>
      <c r="MWB3" s="62"/>
      <c r="MWC3" s="62"/>
      <c r="MWD3" s="62"/>
      <c r="MWE3" s="62"/>
      <c r="MWF3" s="62"/>
      <c r="MWG3" s="62"/>
      <c r="MWH3" s="62"/>
      <c r="MWI3" s="62"/>
      <c r="MWJ3" s="62"/>
      <c r="MWK3" s="62"/>
      <c r="MWL3" s="62"/>
      <c r="MWM3" s="62"/>
      <c r="MWN3" s="62"/>
      <c r="MWO3" s="62"/>
      <c r="MWP3" s="62"/>
      <c r="MWQ3" s="62"/>
      <c r="MWR3" s="62"/>
      <c r="MWS3" s="62"/>
      <c r="MWT3" s="62"/>
      <c r="MWU3" s="62"/>
      <c r="MWV3" s="62"/>
      <c r="MWW3" s="62"/>
      <c r="MWX3" s="62"/>
      <c r="MWY3" s="62"/>
      <c r="MWZ3" s="62"/>
      <c r="MXA3" s="62"/>
      <c r="MXB3" s="62"/>
      <c r="MXC3" s="62"/>
      <c r="MXD3" s="62"/>
      <c r="MXE3" s="62"/>
      <c r="MXF3" s="62"/>
      <c r="MXG3" s="62"/>
      <c r="MXH3" s="62"/>
      <c r="MXI3" s="62"/>
      <c r="MXJ3" s="62"/>
      <c r="MXK3" s="62"/>
      <c r="MXL3" s="62"/>
      <c r="MXM3" s="62"/>
      <c r="MXN3" s="62"/>
      <c r="MXO3" s="62"/>
      <c r="MXP3" s="62"/>
      <c r="MXQ3" s="62"/>
      <c r="MXR3" s="62"/>
      <c r="MXS3" s="62"/>
      <c r="MXT3" s="62"/>
      <c r="MXU3" s="62"/>
      <c r="MXV3" s="62"/>
      <c r="MXW3" s="62"/>
      <c r="MXX3" s="62"/>
      <c r="MXY3" s="62"/>
      <c r="MXZ3" s="62"/>
      <c r="MYA3" s="62"/>
      <c r="MYB3" s="62"/>
      <c r="MYC3" s="62"/>
      <c r="MYD3" s="62"/>
      <c r="MYE3" s="62"/>
      <c r="MYF3" s="62"/>
      <c r="MYG3" s="62"/>
      <c r="MYH3" s="62"/>
      <c r="MYI3" s="62"/>
      <c r="MYJ3" s="62"/>
      <c r="MYK3" s="62"/>
      <c r="MYL3" s="62"/>
      <c r="MYM3" s="62"/>
      <c r="MYN3" s="62"/>
      <c r="MYO3" s="62"/>
      <c r="MYP3" s="62"/>
      <c r="MYQ3" s="62"/>
      <c r="MYR3" s="62"/>
      <c r="MYS3" s="62"/>
      <c r="MYT3" s="62"/>
      <c r="MYU3" s="62"/>
      <c r="MYV3" s="62"/>
      <c r="MYW3" s="62"/>
      <c r="MYX3" s="62"/>
      <c r="MYY3" s="62"/>
      <c r="MYZ3" s="62"/>
      <c r="MZA3" s="62"/>
      <c r="MZB3" s="62"/>
      <c r="MZC3" s="62"/>
      <c r="MZD3" s="62"/>
      <c r="MZE3" s="62"/>
      <c r="MZF3" s="62"/>
      <c r="MZG3" s="62"/>
      <c r="MZH3" s="62"/>
      <c r="MZI3" s="62"/>
      <c r="MZJ3" s="62"/>
      <c r="MZK3" s="62"/>
      <c r="MZL3" s="62"/>
      <c r="MZM3" s="62"/>
      <c r="MZN3" s="62"/>
      <c r="MZO3" s="62"/>
      <c r="MZP3" s="62"/>
      <c r="MZQ3" s="62"/>
      <c r="MZR3" s="62"/>
      <c r="MZS3" s="62"/>
      <c r="MZT3" s="62"/>
      <c r="MZU3" s="62"/>
      <c r="MZV3" s="62"/>
      <c r="MZW3" s="62"/>
      <c r="MZX3" s="62"/>
      <c r="MZY3" s="62"/>
      <c r="MZZ3" s="62"/>
      <c r="NAA3" s="62"/>
      <c r="NAB3" s="62"/>
      <c r="NAC3" s="62"/>
      <c r="NAD3" s="62"/>
      <c r="NAE3" s="62"/>
      <c r="NAF3" s="62"/>
      <c r="NAG3" s="62"/>
      <c r="NAH3" s="62"/>
      <c r="NAI3" s="62"/>
      <c r="NAJ3" s="62"/>
      <c r="NAK3" s="62"/>
      <c r="NAL3" s="62"/>
      <c r="NAM3" s="62"/>
      <c r="NAN3" s="62"/>
      <c r="NAO3" s="62"/>
      <c r="NAP3" s="62"/>
      <c r="NAQ3" s="62"/>
      <c r="NAR3" s="62"/>
      <c r="NAS3" s="62"/>
      <c r="NAT3" s="62"/>
      <c r="NAU3" s="62"/>
      <c r="NAV3" s="62"/>
      <c r="NAW3" s="62"/>
      <c r="NAX3" s="62"/>
      <c r="NAY3" s="62"/>
      <c r="NAZ3" s="62"/>
      <c r="NBA3" s="62"/>
      <c r="NBB3" s="62"/>
      <c r="NBC3" s="62"/>
      <c r="NBD3" s="62"/>
      <c r="NBE3" s="62"/>
      <c r="NBF3" s="62"/>
      <c r="NBG3" s="62"/>
      <c r="NBH3" s="62"/>
      <c r="NBI3" s="62"/>
      <c r="NBJ3" s="62"/>
      <c r="NBK3" s="62"/>
      <c r="NBL3" s="62"/>
      <c r="NBM3" s="62"/>
      <c r="NBN3" s="62"/>
      <c r="NBO3" s="62"/>
      <c r="NBP3" s="62"/>
      <c r="NBQ3" s="62"/>
      <c r="NBR3" s="62"/>
      <c r="NBS3" s="62"/>
      <c r="NBT3" s="62"/>
      <c r="NBU3" s="62"/>
      <c r="NBV3" s="62"/>
      <c r="NBW3" s="62"/>
      <c r="NBX3" s="62"/>
      <c r="NBY3" s="62"/>
      <c r="NBZ3" s="62"/>
      <c r="NCA3" s="62"/>
      <c r="NCB3" s="62"/>
      <c r="NCC3" s="62"/>
      <c r="NCD3" s="62"/>
      <c r="NCE3" s="62"/>
      <c r="NCF3" s="62"/>
      <c r="NCG3" s="62"/>
      <c r="NCH3" s="62"/>
      <c r="NCI3" s="62"/>
      <c r="NCJ3" s="62"/>
      <c r="NCK3" s="62"/>
      <c r="NCL3" s="62"/>
      <c r="NCM3" s="62"/>
      <c r="NCN3" s="62"/>
      <c r="NCO3" s="62"/>
      <c r="NCP3" s="62"/>
      <c r="NCQ3" s="62"/>
      <c r="NCR3" s="62"/>
      <c r="NCS3" s="62"/>
      <c r="NCT3" s="62"/>
      <c r="NCU3" s="62"/>
      <c r="NCV3" s="62"/>
      <c r="NCW3" s="62"/>
      <c r="NCX3" s="62"/>
      <c r="NCY3" s="62"/>
      <c r="NCZ3" s="62"/>
      <c r="NDA3" s="62"/>
      <c r="NDB3" s="62"/>
      <c r="NDC3" s="62"/>
      <c r="NDD3" s="62"/>
      <c r="NDE3" s="62"/>
      <c r="NDF3" s="62"/>
      <c r="NDG3" s="62"/>
      <c r="NDH3" s="62"/>
      <c r="NDI3" s="62"/>
      <c r="NDJ3" s="62"/>
      <c r="NDK3" s="62"/>
      <c r="NDL3" s="62"/>
      <c r="NDM3" s="62"/>
      <c r="NDN3" s="62"/>
      <c r="NDO3" s="62"/>
      <c r="NDP3" s="62"/>
      <c r="NDQ3" s="62"/>
      <c r="NDR3" s="62"/>
      <c r="NDS3" s="62"/>
      <c r="NDT3" s="62"/>
      <c r="NDU3" s="62"/>
      <c r="NDV3" s="62"/>
      <c r="NDW3" s="62"/>
      <c r="NDX3" s="62"/>
      <c r="NDY3" s="62"/>
      <c r="NDZ3" s="62"/>
      <c r="NEA3" s="62"/>
      <c r="NEB3" s="62"/>
      <c r="NEC3" s="62"/>
      <c r="NED3" s="62"/>
      <c r="NEE3" s="62"/>
      <c r="NEF3" s="62"/>
      <c r="NEG3" s="62"/>
      <c r="NEH3" s="62"/>
      <c r="NEI3" s="62"/>
      <c r="NEJ3" s="62"/>
      <c r="NEK3" s="62"/>
      <c r="NEL3" s="62"/>
      <c r="NEM3" s="62"/>
      <c r="NEN3" s="62"/>
      <c r="NEO3" s="62"/>
      <c r="NEP3" s="62"/>
      <c r="NEQ3" s="62"/>
      <c r="NER3" s="62"/>
      <c r="NES3" s="62"/>
      <c r="NET3" s="62"/>
      <c r="NEU3" s="62"/>
      <c r="NEV3" s="62"/>
      <c r="NEW3" s="62"/>
      <c r="NEX3" s="62"/>
      <c r="NEY3" s="62"/>
      <c r="NEZ3" s="62"/>
      <c r="NFA3" s="62"/>
      <c r="NFB3" s="62"/>
      <c r="NFC3" s="62"/>
      <c r="NFD3" s="62"/>
      <c r="NFE3" s="62"/>
      <c r="NFF3" s="62"/>
      <c r="NFG3" s="62"/>
      <c r="NFH3" s="62"/>
      <c r="NFI3" s="62"/>
      <c r="NFJ3" s="62"/>
      <c r="NFK3" s="62"/>
      <c r="NFL3" s="62"/>
      <c r="NFM3" s="62"/>
      <c r="NFN3" s="62"/>
      <c r="NFO3" s="62"/>
      <c r="NFP3" s="62"/>
      <c r="NFQ3" s="62"/>
      <c r="NFR3" s="62"/>
      <c r="NFS3" s="62"/>
      <c r="NFT3" s="62"/>
      <c r="NFU3" s="62"/>
      <c r="NFV3" s="62"/>
      <c r="NFW3" s="62"/>
      <c r="NFX3" s="62"/>
      <c r="NFY3" s="62"/>
      <c r="NFZ3" s="62"/>
      <c r="NGA3" s="62"/>
      <c r="NGB3" s="62"/>
      <c r="NGC3" s="62"/>
      <c r="NGD3" s="62"/>
      <c r="NGE3" s="62"/>
      <c r="NGF3" s="62"/>
      <c r="NGG3" s="62"/>
      <c r="NGH3" s="62"/>
      <c r="NGI3" s="62"/>
      <c r="NGJ3" s="62"/>
      <c r="NGK3" s="62"/>
      <c r="NGL3" s="62"/>
      <c r="NGM3" s="62"/>
      <c r="NGN3" s="62"/>
      <c r="NGO3" s="62"/>
      <c r="NGP3" s="62"/>
      <c r="NGQ3" s="62"/>
      <c r="NGR3" s="62"/>
      <c r="NGS3" s="62"/>
      <c r="NGT3" s="62"/>
      <c r="NGU3" s="62"/>
      <c r="NGV3" s="62"/>
      <c r="NGW3" s="62"/>
      <c r="NGX3" s="62"/>
      <c r="NGY3" s="62"/>
      <c r="NGZ3" s="62"/>
      <c r="NHA3" s="62"/>
      <c r="NHB3" s="62"/>
      <c r="NHC3" s="62"/>
      <c r="NHD3" s="62"/>
      <c r="NHE3" s="62"/>
      <c r="NHF3" s="62"/>
      <c r="NHG3" s="62"/>
      <c r="NHH3" s="62"/>
      <c r="NHI3" s="62"/>
      <c r="NHJ3" s="62"/>
      <c r="NHK3" s="62"/>
      <c r="NHL3" s="62"/>
      <c r="NHM3" s="62"/>
      <c r="NHN3" s="62"/>
      <c r="NHO3" s="62"/>
      <c r="NHP3" s="62"/>
      <c r="NHQ3" s="62"/>
      <c r="NHR3" s="62"/>
      <c r="NHS3" s="62"/>
      <c r="NHT3" s="62"/>
      <c r="NHU3" s="62"/>
      <c r="NHV3" s="62"/>
      <c r="NHW3" s="62"/>
      <c r="NHX3" s="62"/>
      <c r="NHY3" s="62"/>
      <c r="NHZ3" s="62"/>
      <c r="NIA3" s="62"/>
      <c r="NIB3" s="62"/>
      <c r="NIC3" s="62"/>
      <c r="NID3" s="62"/>
      <c r="NIE3" s="62"/>
      <c r="NIF3" s="62"/>
      <c r="NIG3" s="62"/>
      <c r="NIH3" s="62"/>
      <c r="NII3" s="62"/>
      <c r="NIJ3" s="62"/>
      <c r="NIK3" s="62"/>
      <c r="NIL3" s="62"/>
      <c r="NIM3" s="62"/>
      <c r="NIN3" s="62"/>
      <c r="NIO3" s="62"/>
      <c r="NIP3" s="62"/>
      <c r="NIQ3" s="62"/>
      <c r="NIR3" s="62"/>
      <c r="NIS3" s="62"/>
      <c r="NIT3" s="62"/>
      <c r="NIU3" s="62"/>
      <c r="NIV3" s="62"/>
      <c r="NIW3" s="62"/>
      <c r="NIX3" s="62"/>
      <c r="NIY3" s="62"/>
      <c r="NIZ3" s="62"/>
      <c r="NJA3" s="62"/>
      <c r="NJB3" s="62"/>
      <c r="NJC3" s="62"/>
      <c r="NJD3" s="62"/>
      <c r="NJE3" s="62"/>
      <c r="NJF3" s="62"/>
      <c r="NJG3" s="62"/>
      <c r="NJH3" s="62"/>
      <c r="NJI3" s="62"/>
      <c r="NJJ3" s="62"/>
      <c r="NJK3" s="62"/>
      <c r="NJL3" s="62"/>
      <c r="NJM3" s="62"/>
      <c r="NJN3" s="62"/>
      <c r="NJO3" s="62"/>
      <c r="NJP3" s="62"/>
      <c r="NJQ3" s="62"/>
      <c r="NJR3" s="62"/>
      <c r="NJS3" s="62"/>
      <c r="NJT3" s="62"/>
      <c r="NJU3" s="62"/>
      <c r="NJV3" s="62"/>
      <c r="NJW3" s="62"/>
      <c r="NJX3" s="62"/>
      <c r="NJY3" s="62"/>
      <c r="NJZ3" s="62"/>
      <c r="NKA3" s="62"/>
      <c r="NKB3" s="62"/>
      <c r="NKC3" s="62"/>
      <c r="NKD3" s="62"/>
      <c r="NKE3" s="62"/>
      <c r="NKF3" s="62"/>
      <c r="NKG3" s="62"/>
      <c r="NKH3" s="62"/>
      <c r="NKI3" s="62"/>
      <c r="NKJ3" s="62"/>
      <c r="NKK3" s="62"/>
      <c r="NKL3" s="62"/>
      <c r="NKM3" s="62"/>
      <c r="NKN3" s="62"/>
      <c r="NKO3" s="62"/>
      <c r="NKP3" s="62"/>
      <c r="NKQ3" s="62"/>
      <c r="NKR3" s="62"/>
      <c r="NKS3" s="62"/>
      <c r="NKT3" s="62"/>
      <c r="NKU3" s="62"/>
      <c r="NKV3" s="62"/>
      <c r="NKW3" s="62"/>
      <c r="NKX3" s="62"/>
      <c r="NKY3" s="62"/>
      <c r="NKZ3" s="62"/>
      <c r="NLA3" s="62"/>
      <c r="NLB3" s="62"/>
      <c r="NLC3" s="62"/>
      <c r="NLD3" s="62"/>
      <c r="NLE3" s="62"/>
      <c r="NLF3" s="62"/>
      <c r="NLG3" s="62"/>
      <c r="NLH3" s="62"/>
      <c r="NLI3" s="62"/>
      <c r="NLJ3" s="62"/>
      <c r="NLK3" s="62"/>
      <c r="NLL3" s="62"/>
      <c r="NLM3" s="62"/>
      <c r="NLN3" s="62"/>
      <c r="NLO3" s="62"/>
      <c r="NLP3" s="62"/>
      <c r="NLQ3" s="62"/>
      <c r="NLR3" s="62"/>
      <c r="NLS3" s="62"/>
      <c r="NLT3" s="62"/>
      <c r="NLU3" s="62"/>
      <c r="NLV3" s="62"/>
      <c r="NLW3" s="62"/>
      <c r="NLX3" s="62"/>
      <c r="NLY3" s="62"/>
      <c r="NLZ3" s="62"/>
      <c r="NMA3" s="62"/>
      <c r="NMB3" s="62"/>
      <c r="NMC3" s="62"/>
      <c r="NMD3" s="62"/>
      <c r="NME3" s="62"/>
      <c r="NMF3" s="62"/>
      <c r="NMG3" s="62"/>
      <c r="NMH3" s="62"/>
      <c r="NMI3" s="62"/>
      <c r="NMJ3" s="62"/>
      <c r="NMK3" s="62"/>
      <c r="NML3" s="62"/>
      <c r="NMM3" s="62"/>
      <c r="NMN3" s="62"/>
      <c r="NMO3" s="62"/>
      <c r="NMP3" s="62"/>
      <c r="NMQ3" s="62"/>
      <c r="NMR3" s="62"/>
      <c r="NMS3" s="62"/>
      <c r="NMT3" s="62"/>
      <c r="NMU3" s="62"/>
      <c r="NMV3" s="62"/>
      <c r="NMW3" s="62"/>
      <c r="NMX3" s="62"/>
      <c r="NMY3" s="62"/>
      <c r="NMZ3" s="62"/>
      <c r="NNA3" s="62"/>
      <c r="NNB3" s="62"/>
      <c r="NNC3" s="62"/>
      <c r="NND3" s="62"/>
      <c r="NNE3" s="62"/>
      <c r="NNF3" s="62"/>
      <c r="NNG3" s="62"/>
      <c r="NNH3" s="62"/>
      <c r="NNI3" s="62"/>
      <c r="NNJ3" s="62"/>
      <c r="NNK3" s="62"/>
      <c r="NNL3" s="62"/>
      <c r="NNM3" s="62"/>
      <c r="NNN3" s="62"/>
      <c r="NNO3" s="62"/>
      <c r="NNP3" s="62"/>
      <c r="NNQ3" s="62"/>
      <c r="NNR3" s="62"/>
      <c r="NNS3" s="62"/>
      <c r="NNT3" s="62"/>
      <c r="NNU3" s="62"/>
      <c r="NNV3" s="62"/>
      <c r="NNW3" s="62"/>
      <c r="NNX3" s="62"/>
      <c r="NNY3" s="62"/>
      <c r="NNZ3" s="62"/>
      <c r="NOA3" s="62"/>
      <c r="NOB3" s="62"/>
      <c r="NOC3" s="62"/>
      <c r="NOD3" s="62"/>
      <c r="NOE3" s="62"/>
      <c r="NOF3" s="62"/>
      <c r="NOG3" s="62"/>
      <c r="NOH3" s="62"/>
      <c r="NOI3" s="62"/>
      <c r="NOJ3" s="62"/>
      <c r="NOK3" s="62"/>
      <c r="NOL3" s="62"/>
      <c r="NOM3" s="62"/>
      <c r="NON3" s="62"/>
      <c r="NOO3" s="62"/>
      <c r="NOP3" s="62"/>
      <c r="NOQ3" s="62"/>
      <c r="NOR3" s="62"/>
      <c r="NOS3" s="62"/>
      <c r="NOT3" s="62"/>
      <c r="NOU3" s="62"/>
      <c r="NOV3" s="62"/>
      <c r="NOW3" s="62"/>
      <c r="NOX3" s="62"/>
      <c r="NOY3" s="62"/>
      <c r="NOZ3" s="62"/>
      <c r="NPA3" s="62"/>
      <c r="NPB3" s="62"/>
      <c r="NPC3" s="62"/>
      <c r="NPD3" s="62"/>
      <c r="NPE3" s="62"/>
      <c r="NPF3" s="62"/>
      <c r="NPG3" s="62"/>
      <c r="NPH3" s="62"/>
      <c r="NPI3" s="62"/>
      <c r="NPJ3" s="62"/>
      <c r="NPK3" s="62"/>
      <c r="NPL3" s="62"/>
      <c r="NPM3" s="62"/>
      <c r="NPN3" s="62"/>
      <c r="NPO3" s="62"/>
      <c r="NPP3" s="62"/>
      <c r="NPQ3" s="62"/>
      <c r="NPR3" s="62"/>
      <c r="NPS3" s="62"/>
      <c r="NPT3" s="62"/>
      <c r="NPU3" s="62"/>
      <c r="NPV3" s="62"/>
      <c r="NPW3" s="62"/>
      <c r="NPX3" s="62"/>
      <c r="NPY3" s="62"/>
      <c r="NPZ3" s="62"/>
      <c r="NQA3" s="62"/>
      <c r="NQB3" s="62"/>
      <c r="NQC3" s="62"/>
      <c r="NQD3" s="62"/>
      <c r="NQE3" s="62"/>
      <c r="NQF3" s="62"/>
      <c r="NQG3" s="62"/>
      <c r="NQH3" s="62"/>
      <c r="NQI3" s="62"/>
      <c r="NQJ3" s="62"/>
      <c r="NQK3" s="62"/>
      <c r="NQL3" s="62"/>
      <c r="NQM3" s="62"/>
      <c r="NQN3" s="62"/>
      <c r="NQO3" s="62"/>
      <c r="NQP3" s="62"/>
      <c r="NQQ3" s="62"/>
      <c r="NQR3" s="62"/>
      <c r="NQS3" s="62"/>
      <c r="NQT3" s="62"/>
      <c r="NQU3" s="62"/>
      <c r="NQV3" s="62"/>
      <c r="NQW3" s="62"/>
      <c r="NQX3" s="62"/>
      <c r="NQY3" s="62"/>
      <c r="NQZ3" s="62"/>
      <c r="NRA3" s="62"/>
      <c r="NRB3" s="62"/>
      <c r="NRC3" s="62"/>
      <c r="NRD3" s="62"/>
      <c r="NRE3" s="62"/>
      <c r="NRF3" s="62"/>
      <c r="NRG3" s="62"/>
      <c r="NRH3" s="62"/>
      <c r="NRI3" s="62"/>
      <c r="NRJ3" s="62"/>
      <c r="NRK3" s="62"/>
      <c r="NRL3" s="62"/>
      <c r="NRM3" s="62"/>
      <c r="NRN3" s="62"/>
      <c r="NRO3" s="62"/>
      <c r="NRP3" s="62"/>
      <c r="NRQ3" s="62"/>
      <c r="NRR3" s="62"/>
      <c r="NRS3" s="62"/>
      <c r="NRT3" s="62"/>
      <c r="NRU3" s="62"/>
      <c r="NRV3" s="62"/>
      <c r="NRW3" s="62"/>
      <c r="NRX3" s="62"/>
      <c r="NRY3" s="62"/>
      <c r="NRZ3" s="62"/>
      <c r="NSA3" s="62"/>
      <c r="NSB3" s="62"/>
      <c r="NSC3" s="62"/>
      <c r="NSD3" s="62"/>
      <c r="NSE3" s="62"/>
      <c r="NSF3" s="62"/>
      <c r="NSG3" s="62"/>
      <c r="NSH3" s="62"/>
      <c r="NSI3" s="62"/>
      <c r="NSJ3" s="62"/>
      <c r="NSK3" s="62"/>
      <c r="NSL3" s="62"/>
      <c r="NSM3" s="62"/>
      <c r="NSN3" s="62"/>
      <c r="NSO3" s="62"/>
      <c r="NSP3" s="62"/>
      <c r="NSQ3" s="62"/>
      <c r="NSR3" s="62"/>
      <c r="NSS3" s="62"/>
      <c r="NST3" s="62"/>
      <c r="NSU3" s="62"/>
      <c r="NSV3" s="62"/>
      <c r="NSW3" s="62"/>
      <c r="NSX3" s="62"/>
      <c r="NSY3" s="62"/>
      <c r="NSZ3" s="62"/>
      <c r="NTA3" s="62"/>
      <c r="NTB3" s="62"/>
      <c r="NTC3" s="62"/>
      <c r="NTD3" s="62"/>
      <c r="NTE3" s="62"/>
      <c r="NTF3" s="62"/>
      <c r="NTG3" s="62"/>
      <c r="NTH3" s="62"/>
      <c r="NTI3" s="62"/>
      <c r="NTJ3" s="62"/>
      <c r="NTK3" s="62"/>
      <c r="NTL3" s="62"/>
      <c r="NTM3" s="62"/>
      <c r="NTN3" s="62"/>
      <c r="NTO3" s="62"/>
      <c r="NTP3" s="62"/>
      <c r="NTQ3" s="62"/>
      <c r="NTR3" s="62"/>
      <c r="NTS3" s="62"/>
      <c r="NTT3" s="62"/>
      <c r="NTU3" s="62"/>
      <c r="NTV3" s="62"/>
      <c r="NTW3" s="62"/>
      <c r="NTX3" s="62"/>
      <c r="NTY3" s="62"/>
      <c r="NTZ3" s="62"/>
      <c r="NUA3" s="62"/>
      <c r="NUB3" s="62"/>
      <c r="NUC3" s="62"/>
      <c r="NUD3" s="62"/>
      <c r="NUE3" s="62"/>
      <c r="NUF3" s="62"/>
      <c r="NUG3" s="62"/>
      <c r="NUH3" s="62"/>
      <c r="NUI3" s="62"/>
      <c r="NUJ3" s="62"/>
      <c r="NUK3" s="62"/>
      <c r="NUL3" s="62"/>
      <c r="NUM3" s="62"/>
      <c r="NUN3" s="62"/>
      <c r="NUO3" s="62"/>
      <c r="NUP3" s="62"/>
      <c r="NUQ3" s="62"/>
      <c r="NUR3" s="62"/>
      <c r="NUS3" s="62"/>
      <c r="NUT3" s="62"/>
      <c r="NUU3" s="62"/>
      <c r="NUV3" s="62"/>
      <c r="NUW3" s="62"/>
      <c r="NUX3" s="62"/>
      <c r="NUY3" s="62"/>
      <c r="NUZ3" s="62"/>
      <c r="NVA3" s="62"/>
      <c r="NVB3" s="62"/>
      <c r="NVC3" s="62"/>
      <c r="NVD3" s="62"/>
      <c r="NVE3" s="62"/>
      <c r="NVF3" s="62"/>
      <c r="NVG3" s="62"/>
      <c r="NVH3" s="62"/>
      <c r="NVI3" s="62"/>
      <c r="NVJ3" s="62"/>
      <c r="NVK3" s="62"/>
      <c r="NVL3" s="62"/>
      <c r="NVM3" s="62"/>
      <c r="NVN3" s="62"/>
      <c r="NVO3" s="62"/>
      <c r="NVP3" s="62"/>
      <c r="NVQ3" s="62"/>
      <c r="NVR3" s="62"/>
      <c r="NVS3" s="62"/>
      <c r="NVT3" s="62"/>
      <c r="NVU3" s="62"/>
      <c r="NVV3" s="62"/>
      <c r="NVW3" s="62"/>
      <c r="NVX3" s="62"/>
      <c r="NVY3" s="62"/>
      <c r="NVZ3" s="62"/>
      <c r="NWA3" s="62"/>
      <c r="NWB3" s="62"/>
      <c r="NWC3" s="62"/>
      <c r="NWD3" s="62"/>
      <c r="NWE3" s="62"/>
      <c r="NWF3" s="62"/>
      <c r="NWG3" s="62"/>
      <c r="NWH3" s="62"/>
      <c r="NWI3" s="62"/>
      <c r="NWJ3" s="62"/>
      <c r="NWK3" s="62"/>
      <c r="NWL3" s="62"/>
      <c r="NWM3" s="62"/>
      <c r="NWN3" s="62"/>
      <c r="NWO3" s="62"/>
      <c r="NWP3" s="62"/>
      <c r="NWQ3" s="62"/>
      <c r="NWR3" s="62"/>
      <c r="NWS3" s="62"/>
      <c r="NWT3" s="62"/>
      <c r="NWU3" s="62"/>
      <c r="NWV3" s="62"/>
      <c r="NWW3" s="62"/>
      <c r="NWX3" s="62"/>
      <c r="NWY3" s="62"/>
      <c r="NWZ3" s="62"/>
      <c r="NXA3" s="62"/>
      <c r="NXB3" s="62"/>
      <c r="NXC3" s="62"/>
      <c r="NXD3" s="62"/>
      <c r="NXE3" s="62"/>
      <c r="NXF3" s="62"/>
      <c r="NXG3" s="62"/>
      <c r="NXH3" s="62"/>
      <c r="NXI3" s="62"/>
      <c r="NXJ3" s="62"/>
      <c r="NXK3" s="62"/>
      <c r="NXL3" s="62"/>
      <c r="NXM3" s="62"/>
      <c r="NXN3" s="62"/>
      <c r="NXO3" s="62"/>
      <c r="NXP3" s="62"/>
      <c r="NXQ3" s="62"/>
      <c r="NXR3" s="62"/>
      <c r="NXS3" s="62"/>
      <c r="NXT3" s="62"/>
      <c r="NXU3" s="62"/>
      <c r="NXV3" s="62"/>
      <c r="NXW3" s="62"/>
      <c r="NXX3" s="62"/>
      <c r="NXY3" s="62"/>
      <c r="NXZ3" s="62"/>
      <c r="NYA3" s="62"/>
      <c r="NYB3" s="62"/>
      <c r="NYC3" s="62"/>
      <c r="NYD3" s="62"/>
      <c r="NYE3" s="62"/>
      <c r="NYF3" s="62"/>
      <c r="NYG3" s="62"/>
      <c r="NYH3" s="62"/>
      <c r="NYI3" s="62"/>
      <c r="NYJ3" s="62"/>
      <c r="NYK3" s="62"/>
      <c r="NYL3" s="62"/>
      <c r="NYM3" s="62"/>
      <c r="NYN3" s="62"/>
      <c r="NYO3" s="62"/>
      <c r="NYP3" s="62"/>
      <c r="NYQ3" s="62"/>
      <c r="NYR3" s="62"/>
      <c r="NYS3" s="62"/>
      <c r="NYT3" s="62"/>
      <c r="NYU3" s="62"/>
      <c r="NYV3" s="62"/>
      <c r="NYW3" s="62"/>
      <c r="NYX3" s="62"/>
      <c r="NYY3" s="62"/>
      <c r="NYZ3" s="62"/>
      <c r="NZA3" s="62"/>
      <c r="NZB3" s="62"/>
      <c r="NZC3" s="62"/>
      <c r="NZD3" s="62"/>
      <c r="NZE3" s="62"/>
      <c r="NZF3" s="62"/>
      <c r="NZG3" s="62"/>
      <c r="NZH3" s="62"/>
      <c r="NZI3" s="62"/>
      <c r="NZJ3" s="62"/>
      <c r="NZK3" s="62"/>
      <c r="NZL3" s="62"/>
      <c r="NZM3" s="62"/>
      <c r="NZN3" s="62"/>
      <c r="NZO3" s="62"/>
      <c r="NZP3" s="62"/>
      <c r="NZQ3" s="62"/>
      <c r="NZR3" s="62"/>
      <c r="NZS3" s="62"/>
      <c r="NZT3" s="62"/>
      <c r="NZU3" s="62"/>
      <c r="NZV3" s="62"/>
      <c r="NZW3" s="62"/>
      <c r="NZX3" s="62"/>
      <c r="NZY3" s="62"/>
      <c r="NZZ3" s="62"/>
      <c r="OAA3" s="62"/>
      <c r="OAB3" s="62"/>
      <c r="OAC3" s="62"/>
      <c r="OAD3" s="62"/>
      <c r="OAE3" s="62"/>
      <c r="OAF3" s="62"/>
      <c r="OAG3" s="62"/>
      <c r="OAH3" s="62"/>
      <c r="OAI3" s="62"/>
      <c r="OAJ3" s="62"/>
      <c r="OAK3" s="62"/>
      <c r="OAL3" s="62"/>
      <c r="OAM3" s="62"/>
      <c r="OAN3" s="62"/>
      <c r="OAO3" s="62"/>
      <c r="OAP3" s="62"/>
      <c r="OAQ3" s="62"/>
      <c r="OAR3" s="62"/>
      <c r="OAS3" s="62"/>
      <c r="OAT3" s="62"/>
      <c r="OAU3" s="62"/>
      <c r="OAV3" s="62"/>
      <c r="OAW3" s="62"/>
      <c r="OAX3" s="62"/>
      <c r="OAY3" s="62"/>
      <c r="OAZ3" s="62"/>
      <c r="OBA3" s="62"/>
      <c r="OBB3" s="62"/>
      <c r="OBC3" s="62"/>
      <c r="OBD3" s="62"/>
      <c r="OBE3" s="62"/>
      <c r="OBF3" s="62"/>
      <c r="OBG3" s="62"/>
      <c r="OBH3" s="62"/>
      <c r="OBI3" s="62"/>
      <c r="OBJ3" s="62"/>
      <c r="OBK3" s="62"/>
      <c r="OBL3" s="62"/>
      <c r="OBM3" s="62"/>
      <c r="OBN3" s="62"/>
      <c r="OBO3" s="62"/>
      <c r="OBP3" s="62"/>
      <c r="OBQ3" s="62"/>
      <c r="OBR3" s="62"/>
      <c r="OBS3" s="62"/>
      <c r="OBT3" s="62"/>
      <c r="OBU3" s="62"/>
      <c r="OBV3" s="62"/>
      <c r="OBW3" s="62"/>
      <c r="OBX3" s="62"/>
      <c r="OBY3" s="62"/>
      <c r="OBZ3" s="62"/>
      <c r="OCA3" s="62"/>
      <c r="OCB3" s="62"/>
      <c r="OCC3" s="62"/>
      <c r="OCD3" s="62"/>
      <c r="OCE3" s="62"/>
      <c r="OCF3" s="62"/>
      <c r="OCG3" s="62"/>
      <c r="OCH3" s="62"/>
      <c r="OCI3" s="62"/>
      <c r="OCJ3" s="62"/>
      <c r="OCK3" s="62"/>
      <c r="OCL3" s="62"/>
      <c r="OCM3" s="62"/>
      <c r="OCN3" s="62"/>
      <c r="OCO3" s="62"/>
      <c r="OCP3" s="62"/>
      <c r="OCQ3" s="62"/>
      <c r="OCR3" s="62"/>
      <c r="OCS3" s="62"/>
      <c r="OCT3" s="62"/>
      <c r="OCU3" s="62"/>
      <c r="OCV3" s="62"/>
      <c r="OCW3" s="62"/>
      <c r="OCX3" s="62"/>
      <c r="OCY3" s="62"/>
      <c r="OCZ3" s="62"/>
      <c r="ODA3" s="62"/>
      <c r="ODB3" s="62"/>
      <c r="ODC3" s="62"/>
      <c r="ODD3" s="62"/>
      <c r="ODE3" s="62"/>
      <c r="ODF3" s="62"/>
      <c r="ODG3" s="62"/>
      <c r="ODH3" s="62"/>
      <c r="ODI3" s="62"/>
      <c r="ODJ3" s="62"/>
      <c r="ODK3" s="62"/>
      <c r="ODL3" s="62"/>
      <c r="ODM3" s="62"/>
      <c r="ODN3" s="62"/>
      <c r="ODO3" s="62"/>
      <c r="ODP3" s="62"/>
      <c r="ODQ3" s="62"/>
      <c r="ODR3" s="62"/>
      <c r="ODS3" s="62"/>
      <c r="ODT3" s="62"/>
      <c r="ODU3" s="62"/>
      <c r="ODV3" s="62"/>
      <c r="ODW3" s="62"/>
      <c r="ODX3" s="62"/>
      <c r="ODY3" s="62"/>
      <c r="ODZ3" s="62"/>
      <c r="OEA3" s="62"/>
      <c r="OEB3" s="62"/>
      <c r="OEC3" s="62"/>
      <c r="OED3" s="62"/>
      <c r="OEE3" s="62"/>
      <c r="OEF3" s="62"/>
      <c r="OEG3" s="62"/>
      <c r="OEH3" s="62"/>
      <c r="OEI3" s="62"/>
      <c r="OEJ3" s="62"/>
      <c r="OEK3" s="62"/>
      <c r="OEL3" s="62"/>
      <c r="OEM3" s="62"/>
      <c r="OEN3" s="62"/>
      <c r="OEO3" s="62"/>
      <c r="OEP3" s="62"/>
      <c r="OEQ3" s="62"/>
      <c r="OER3" s="62"/>
      <c r="OES3" s="62"/>
      <c r="OET3" s="62"/>
      <c r="OEU3" s="62"/>
      <c r="OEV3" s="62"/>
      <c r="OEW3" s="62"/>
      <c r="OEX3" s="62"/>
      <c r="OEY3" s="62"/>
      <c r="OEZ3" s="62"/>
      <c r="OFA3" s="62"/>
      <c r="OFB3" s="62"/>
      <c r="OFC3" s="62"/>
      <c r="OFD3" s="62"/>
      <c r="OFE3" s="62"/>
      <c r="OFF3" s="62"/>
      <c r="OFG3" s="62"/>
      <c r="OFH3" s="62"/>
      <c r="OFI3" s="62"/>
      <c r="OFJ3" s="62"/>
      <c r="OFK3" s="62"/>
      <c r="OFL3" s="62"/>
      <c r="OFM3" s="62"/>
      <c r="OFN3" s="62"/>
      <c r="OFO3" s="62"/>
      <c r="OFP3" s="62"/>
      <c r="OFQ3" s="62"/>
      <c r="OFR3" s="62"/>
      <c r="OFS3" s="62"/>
      <c r="OFT3" s="62"/>
      <c r="OFU3" s="62"/>
      <c r="OFV3" s="62"/>
      <c r="OFW3" s="62"/>
      <c r="OFX3" s="62"/>
      <c r="OFY3" s="62"/>
      <c r="OFZ3" s="62"/>
      <c r="OGA3" s="62"/>
      <c r="OGB3" s="62"/>
      <c r="OGC3" s="62"/>
      <c r="OGD3" s="62"/>
      <c r="OGE3" s="62"/>
      <c r="OGF3" s="62"/>
      <c r="OGG3" s="62"/>
      <c r="OGH3" s="62"/>
      <c r="OGI3" s="62"/>
      <c r="OGJ3" s="62"/>
      <c r="OGK3" s="62"/>
      <c r="OGL3" s="62"/>
      <c r="OGM3" s="62"/>
      <c r="OGN3" s="62"/>
      <c r="OGO3" s="62"/>
      <c r="OGP3" s="62"/>
      <c r="OGQ3" s="62"/>
      <c r="OGR3" s="62"/>
      <c r="OGS3" s="62"/>
      <c r="OGT3" s="62"/>
      <c r="OGU3" s="62"/>
      <c r="OGV3" s="62"/>
      <c r="OGW3" s="62"/>
      <c r="OGX3" s="62"/>
      <c r="OGY3" s="62"/>
      <c r="OGZ3" s="62"/>
      <c r="OHA3" s="62"/>
      <c r="OHB3" s="62"/>
      <c r="OHC3" s="62"/>
      <c r="OHD3" s="62"/>
      <c r="OHE3" s="62"/>
      <c r="OHF3" s="62"/>
      <c r="OHG3" s="62"/>
      <c r="OHH3" s="62"/>
      <c r="OHI3" s="62"/>
      <c r="OHJ3" s="62"/>
      <c r="OHK3" s="62"/>
      <c r="OHL3" s="62"/>
      <c r="OHM3" s="62"/>
      <c r="OHN3" s="62"/>
      <c r="OHO3" s="62"/>
      <c r="OHP3" s="62"/>
      <c r="OHQ3" s="62"/>
      <c r="OHR3" s="62"/>
      <c r="OHS3" s="62"/>
      <c r="OHT3" s="62"/>
      <c r="OHU3" s="62"/>
      <c r="OHV3" s="62"/>
      <c r="OHW3" s="62"/>
      <c r="OHX3" s="62"/>
      <c r="OHY3" s="62"/>
      <c r="OHZ3" s="62"/>
      <c r="OIA3" s="62"/>
      <c r="OIB3" s="62"/>
      <c r="OIC3" s="62"/>
      <c r="OID3" s="62"/>
      <c r="OIE3" s="62"/>
      <c r="OIF3" s="62"/>
      <c r="OIG3" s="62"/>
      <c r="OIH3" s="62"/>
      <c r="OII3" s="62"/>
      <c r="OIJ3" s="62"/>
      <c r="OIK3" s="62"/>
      <c r="OIL3" s="62"/>
      <c r="OIM3" s="62"/>
      <c r="OIN3" s="62"/>
      <c r="OIO3" s="62"/>
      <c r="OIP3" s="62"/>
      <c r="OIQ3" s="62"/>
      <c r="OIR3" s="62"/>
      <c r="OIS3" s="62"/>
      <c r="OIT3" s="62"/>
      <c r="OIU3" s="62"/>
      <c r="OIV3" s="62"/>
      <c r="OIW3" s="62"/>
      <c r="OIX3" s="62"/>
      <c r="OIY3" s="62"/>
      <c r="OIZ3" s="62"/>
      <c r="OJA3" s="62"/>
      <c r="OJB3" s="62"/>
      <c r="OJC3" s="62"/>
      <c r="OJD3" s="62"/>
      <c r="OJE3" s="62"/>
      <c r="OJF3" s="62"/>
      <c r="OJG3" s="62"/>
      <c r="OJH3" s="62"/>
      <c r="OJI3" s="62"/>
      <c r="OJJ3" s="62"/>
      <c r="OJK3" s="62"/>
      <c r="OJL3" s="62"/>
      <c r="OJM3" s="62"/>
      <c r="OJN3" s="62"/>
      <c r="OJO3" s="62"/>
      <c r="OJP3" s="62"/>
      <c r="OJQ3" s="62"/>
      <c r="OJR3" s="62"/>
      <c r="OJS3" s="62"/>
      <c r="OJT3" s="62"/>
      <c r="OJU3" s="62"/>
      <c r="OJV3" s="62"/>
      <c r="OJW3" s="62"/>
      <c r="OJX3" s="62"/>
      <c r="OJY3" s="62"/>
      <c r="OJZ3" s="62"/>
      <c r="OKA3" s="62"/>
      <c r="OKB3" s="62"/>
      <c r="OKC3" s="62"/>
      <c r="OKD3" s="62"/>
      <c r="OKE3" s="62"/>
      <c r="OKF3" s="62"/>
      <c r="OKG3" s="62"/>
      <c r="OKH3" s="62"/>
      <c r="OKI3" s="62"/>
      <c r="OKJ3" s="62"/>
      <c r="OKK3" s="62"/>
      <c r="OKL3" s="62"/>
      <c r="OKM3" s="62"/>
      <c r="OKN3" s="62"/>
      <c r="OKO3" s="62"/>
      <c r="OKP3" s="62"/>
      <c r="OKQ3" s="62"/>
      <c r="OKR3" s="62"/>
      <c r="OKS3" s="62"/>
      <c r="OKT3" s="62"/>
      <c r="OKU3" s="62"/>
      <c r="OKV3" s="62"/>
      <c r="OKW3" s="62"/>
      <c r="OKX3" s="62"/>
      <c r="OKY3" s="62"/>
      <c r="OKZ3" s="62"/>
      <c r="OLA3" s="62"/>
      <c r="OLB3" s="62"/>
      <c r="OLC3" s="62"/>
      <c r="OLD3" s="62"/>
      <c r="OLE3" s="62"/>
      <c r="OLF3" s="62"/>
      <c r="OLG3" s="62"/>
      <c r="OLH3" s="62"/>
      <c r="OLI3" s="62"/>
      <c r="OLJ3" s="62"/>
      <c r="OLK3" s="62"/>
      <c r="OLL3" s="62"/>
      <c r="OLM3" s="62"/>
      <c r="OLN3" s="62"/>
      <c r="OLO3" s="62"/>
      <c r="OLP3" s="62"/>
      <c r="OLQ3" s="62"/>
      <c r="OLR3" s="62"/>
      <c r="OLS3" s="62"/>
      <c r="OLT3" s="62"/>
      <c r="OLU3" s="62"/>
      <c r="OLV3" s="62"/>
      <c r="OLW3" s="62"/>
      <c r="OLX3" s="62"/>
      <c r="OLY3" s="62"/>
      <c r="OLZ3" s="62"/>
      <c r="OMA3" s="62"/>
      <c r="OMB3" s="62"/>
      <c r="OMC3" s="62"/>
      <c r="OMD3" s="62"/>
      <c r="OME3" s="62"/>
      <c r="OMF3" s="62"/>
      <c r="OMG3" s="62"/>
      <c r="OMH3" s="62"/>
      <c r="OMI3" s="62"/>
      <c r="OMJ3" s="62"/>
      <c r="OMK3" s="62"/>
      <c r="OML3" s="62"/>
      <c r="OMM3" s="62"/>
      <c r="OMN3" s="62"/>
      <c r="OMO3" s="62"/>
      <c r="OMP3" s="62"/>
      <c r="OMQ3" s="62"/>
      <c r="OMR3" s="62"/>
      <c r="OMS3" s="62"/>
      <c r="OMT3" s="62"/>
      <c r="OMU3" s="62"/>
      <c r="OMV3" s="62"/>
      <c r="OMW3" s="62"/>
      <c r="OMX3" s="62"/>
      <c r="OMY3" s="62"/>
      <c r="OMZ3" s="62"/>
      <c r="ONA3" s="62"/>
      <c r="ONB3" s="62"/>
      <c r="ONC3" s="62"/>
      <c r="OND3" s="62"/>
      <c r="ONE3" s="62"/>
      <c r="ONF3" s="62"/>
      <c r="ONG3" s="62"/>
      <c r="ONH3" s="62"/>
      <c r="ONI3" s="62"/>
      <c r="ONJ3" s="62"/>
      <c r="ONK3" s="62"/>
      <c r="ONL3" s="62"/>
      <c r="ONM3" s="62"/>
      <c r="ONN3" s="62"/>
      <c r="ONO3" s="62"/>
      <c r="ONP3" s="62"/>
      <c r="ONQ3" s="62"/>
      <c r="ONR3" s="62"/>
      <c r="ONS3" s="62"/>
      <c r="ONT3" s="62"/>
      <c r="ONU3" s="62"/>
      <c r="ONV3" s="62"/>
      <c r="ONW3" s="62"/>
      <c r="ONX3" s="62"/>
      <c r="ONY3" s="62"/>
      <c r="ONZ3" s="62"/>
      <c r="OOA3" s="62"/>
      <c r="OOB3" s="62"/>
      <c r="OOC3" s="62"/>
      <c r="OOD3" s="62"/>
      <c r="OOE3" s="62"/>
      <c r="OOF3" s="62"/>
      <c r="OOG3" s="62"/>
      <c r="OOH3" s="62"/>
      <c r="OOI3" s="62"/>
      <c r="OOJ3" s="62"/>
      <c r="OOK3" s="62"/>
      <c r="OOL3" s="62"/>
      <c r="OOM3" s="62"/>
      <c r="OON3" s="62"/>
      <c r="OOO3" s="62"/>
      <c r="OOP3" s="62"/>
      <c r="OOQ3" s="62"/>
      <c r="OOR3" s="62"/>
      <c r="OOS3" s="62"/>
      <c r="OOT3" s="62"/>
      <c r="OOU3" s="62"/>
      <c r="OOV3" s="62"/>
      <c r="OOW3" s="62"/>
      <c r="OOX3" s="62"/>
      <c r="OOY3" s="62"/>
      <c r="OOZ3" s="62"/>
      <c r="OPA3" s="62"/>
      <c r="OPB3" s="62"/>
      <c r="OPC3" s="62"/>
      <c r="OPD3" s="62"/>
      <c r="OPE3" s="62"/>
      <c r="OPF3" s="62"/>
      <c r="OPG3" s="62"/>
      <c r="OPH3" s="62"/>
      <c r="OPI3" s="62"/>
      <c r="OPJ3" s="62"/>
      <c r="OPK3" s="62"/>
      <c r="OPL3" s="62"/>
      <c r="OPM3" s="62"/>
      <c r="OPN3" s="62"/>
      <c r="OPO3" s="62"/>
      <c r="OPP3" s="62"/>
      <c r="OPQ3" s="62"/>
      <c r="OPR3" s="62"/>
      <c r="OPS3" s="62"/>
      <c r="OPT3" s="62"/>
      <c r="OPU3" s="62"/>
      <c r="OPV3" s="62"/>
      <c r="OPW3" s="62"/>
      <c r="OPX3" s="62"/>
      <c r="OPY3" s="62"/>
      <c r="OPZ3" s="62"/>
      <c r="OQA3" s="62"/>
      <c r="OQB3" s="62"/>
      <c r="OQC3" s="62"/>
      <c r="OQD3" s="62"/>
      <c r="OQE3" s="62"/>
      <c r="OQF3" s="62"/>
      <c r="OQG3" s="62"/>
      <c r="OQH3" s="62"/>
      <c r="OQI3" s="62"/>
      <c r="OQJ3" s="62"/>
      <c r="OQK3" s="62"/>
      <c r="OQL3" s="62"/>
      <c r="OQM3" s="62"/>
      <c r="OQN3" s="62"/>
      <c r="OQO3" s="62"/>
      <c r="OQP3" s="62"/>
      <c r="OQQ3" s="62"/>
      <c r="OQR3" s="62"/>
      <c r="OQS3" s="62"/>
      <c r="OQT3" s="62"/>
      <c r="OQU3" s="62"/>
      <c r="OQV3" s="62"/>
      <c r="OQW3" s="62"/>
      <c r="OQX3" s="62"/>
      <c r="OQY3" s="62"/>
      <c r="OQZ3" s="62"/>
      <c r="ORA3" s="62"/>
      <c r="ORB3" s="62"/>
      <c r="ORC3" s="62"/>
      <c r="ORD3" s="62"/>
      <c r="ORE3" s="62"/>
      <c r="ORF3" s="62"/>
      <c r="ORG3" s="62"/>
      <c r="ORH3" s="62"/>
      <c r="ORI3" s="62"/>
      <c r="ORJ3" s="62"/>
      <c r="ORK3" s="62"/>
      <c r="ORL3" s="62"/>
      <c r="ORM3" s="62"/>
      <c r="ORN3" s="62"/>
      <c r="ORO3" s="62"/>
      <c r="ORP3" s="62"/>
      <c r="ORQ3" s="62"/>
      <c r="ORR3" s="62"/>
      <c r="ORS3" s="62"/>
      <c r="ORT3" s="62"/>
      <c r="ORU3" s="62"/>
      <c r="ORV3" s="62"/>
      <c r="ORW3" s="62"/>
      <c r="ORX3" s="62"/>
      <c r="ORY3" s="62"/>
      <c r="ORZ3" s="62"/>
      <c r="OSA3" s="62"/>
      <c r="OSB3" s="62"/>
      <c r="OSC3" s="62"/>
      <c r="OSD3" s="62"/>
      <c r="OSE3" s="62"/>
      <c r="OSF3" s="62"/>
      <c r="OSG3" s="62"/>
      <c r="OSH3" s="62"/>
      <c r="OSI3" s="62"/>
      <c r="OSJ3" s="62"/>
      <c r="OSK3" s="62"/>
      <c r="OSL3" s="62"/>
      <c r="OSM3" s="62"/>
      <c r="OSN3" s="62"/>
      <c r="OSO3" s="62"/>
      <c r="OSP3" s="62"/>
      <c r="OSQ3" s="62"/>
      <c r="OSR3" s="62"/>
      <c r="OSS3" s="62"/>
      <c r="OST3" s="62"/>
      <c r="OSU3" s="62"/>
      <c r="OSV3" s="62"/>
      <c r="OSW3" s="62"/>
      <c r="OSX3" s="62"/>
      <c r="OSY3" s="62"/>
      <c r="OSZ3" s="62"/>
      <c r="OTA3" s="62"/>
      <c r="OTB3" s="62"/>
      <c r="OTC3" s="62"/>
      <c r="OTD3" s="62"/>
      <c r="OTE3" s="62"/>
      <c r="OTF3" s="62"/>
      <c r="OTG3" s="62"/>
      <c r="OTH3" s="62"/>
      <c r="OTI3" s="62"/>
      <c r="OTJ3" s="62"/>
      <c r="OTK3" s="62"/>
      <c r="OTL3" s="62"/>
      <c r="OTM3" s="62"/>
      <c r="OTN3" s="62"/>
      <c r="OTO3" s="62"/>
      <c r="OTP3" s="62"/>
      <c r="OTQ3" s="62"/>
      <c r="OTR3" s="62"/>
      <c r="OTS3" s="62"/>
      <c r="OTT3" s="62"/>
      <c r="OTU3" s="62"/>
      <c r="OTV3" s="62"/>
      <c r="OTW3" s="62"/>
      <c r="OTX3" s="62"/>
      <c r="OTY3" s="62"/>
      <c r="OTZ3" s="62"/>
      <c r="OUA3" s="62"/>
      <c r="OUB3" s="62"/>
      <c r="OUC3" s="62"/>
      <c r="OUD3" s="62"/>
      <c r="OUE3" s="62"/>
      <c r="OUF3" s="62"/>
      <c r="OUG3" s="62"/>
      <c r="OUH3" s="62"/>
      <c r="OUI3" s="62"/>
      <c r="OUJ3" s="62"/>
      <c r="OUK3" s="62"/>
      <c r="OUL3" s="62"/>
      <c r="OUM3" s="62"/>
      <c r="OUN3" s="62"/>
      <c r="OUO3" s="62"/>
      <c r="OUP3" s="62"/>
      <c r="OUQ3" s="62"/>
      <c r="OUR3" s="62"/>
      <c r="OUS3" s="62"/>
      <c r="OUT3" s="62"/>
      <c r="OUU3" s="62"/>
      <c r="OUV3" s="62"/>
      <c r="OUW3" s="62"/>
      <c r="OUX3" s="62"/>
      <c r="OUY3" s="62"/>
      <c r="OUZ3" s="62"/>
      <c r="OVA3" s="62"/>
      <c r="OVB3" s="62"/>
      <c r="OVC3" s="62"/>
      <c r="OVD3" s="62"/>
      <c r="OVE3" s="62"/>
      <c r="OVF3" s="62"/>
      <c r="OVG3" s="62"/>
      <c r="OVH3" s="62"/>
      <c r="OVI3" s="62"/>
      <c r="OVJ3" s="62"/>
      <c r="OVK3" s="62"/>
      <c r="OVL3" s="62"/>
      <c r="OVM3" s="62"/>
      <c r="OVN3" s="62"/>
      <c r="OVO3" s="62"/>
      <c r="OVP3" s="62"/>
      <c r="OVQ3" s="62"/>
      <c r="OVR3" s="62"/>
      <c r="OVS3" s="62"/>
      <c r="OVT3" s="62"/>
      <c r="OVU3" s="62"/>
      <c r="OVV3" s="62"/>
      <c r="OVW3" s="62"/>
      <c r="OVX3" s="62"/>
      <c r="OVY3" s="62"/>
      <c r="OVZ3" s="62"/>
      <c r="OWA3" s="62"/>
      <c r="OWB3" s="62"/>
      <c r="OWC3" s="62"/>
      <c r="OWD3" s="62"/>
      <c r="OWE3" s="62"/>
      <c r="OWF3" s="62"/>
      <c r="OWG3" s="62"/>
      <c r="OWH3" s="62"/>
      <c r="OWI3" s="62"/>
      <c r="OWJ3" s="62"/>
      <c r="OWK3" s="62"/>
      <c r="OWL3" s="62"/>
      <c r="OWM3" s="62"/>
      <c r="OWN3" s="62"/>
      <c r="OWO3" s="62"/>
      <c r="OWP3" s="62"/>
      <c r="OWQ3" s="62"/>
      <c r="OWR3" s="62"/>
      <c r="OWS3" s="62"/>
      <c r="OWT3" s="62"/>
      <c r="OWU3" s="62"/>
      <c r="OWV3" s="62"/>
      <c r="OWW3" s="62"/>
      <c r="OWX3" s="62"/>
      <c r="OWY3" s="62"/>
      <c r="OWZ3" s="62"/>
      <c r="OXA3" s="62"/>
      <c r="OXB3" s="62"/>
      <c r="OXC3" s="62"/>
      <c r="OXD3" s="62"/>
      <c r="OXE3" s="62"/>
      <c r="OXF3" s="62"/>
      <c r="OXG3" s="62"/>
      <c r="OXH3" s="62"/>
      <c r="OXI3" s="62"/>
      <c r="OXJ3" s="62"/>
      <c r="OXK3" s="62"/>
      <c r="OXL3" s="62"/>
      <c r="OXM3" s="62"/>
      <c r="OXN3" s="62"/>
      <c r="OXO3" s="62"/>
      <c r="OXP3" s="62"/>
      <c r="OXQ3" s="62"/>
      <c r="OXR3" s="62"/>
      <c r="OXS3" s="62"/>
      <c r="OXT3" s="62"/>
      <c r="OXU3" s="62"/>
      <c r="OXV3" s="62"/>
      <c r="OXW3" s="62"/>
      <c r="OXX3" s="62"/>
      <c r="OXY3" s="62"/>
      <c r="OXZ3" s="62"/>
      <c r="OYA3" s="62"/>
      <c r="OYB3" s="62"/>
      <c r="OYC3" s="62"/>
      <c r="OYD3" s="62"/>
      <c r="OYE3" s="62"/>
      <c r="OYF3" s="62"/>
      <c r="OYG3" s="62"/>
      <c r="OYH3" s="62"/>
      <c r="OYI3" s="62"/>
      <c r="OYJ3" s="62"/>
      <c r="OYK3" s="62"/>
      <c r="OYL3" s="62"/>
      <c r="OYM3" s="62"/>
      <c r="OYN3" s="62"/>
      <c r="OYO3" s="62"/>
      <c r="OYP3" s="62"/>
      <c r="OYQ3" s="62"/>
      <c r="OYR3" s="62"/>
      <c r="OYS3" s="62"/>
      <c r="OYT3" s="62"/>
      <c r="OYU3" s="62"/>
      <c r="OYV3" s="62"/>
      <c r="OYW3" s="62"/>
      <c r="OYX3" s="62"/>
      <c r="OYY3" s="62"/>
      <c r="OYZ3" s="62"/>
      <c r="OZA3" s="62"/>
      <c r="OZB3" s="62"/>
      <c r="OZC3" s="62"/>
      <c r="OZD3" s="62"/>
      <c r="OZE3" s="62"/>
      <c r="OZF3" s="62"/>
      <c r="OZG3" s="62"/>
      <c r="OZH3" s="62"/>
      <c r="OZI3" s="62"/>
      <c r="OZJ3" s="62"/>
      <c r="OZK3" s="62"/>
      <c r="OZL3" s="62"/>
      <c r="OZM3" s="62"/>
      <c r="OZN3" s="62"/>
      <c r="OZO3" s="62"/>
      <c r="OZP3" s="62"/>
      <c r="OZQ3" s="62"/>
      <c r="OZR3" s="62"/>
      <c r="OZS3" s="62"/>
      <c r="OZT3" s="62"/>
      <c r="OZU3" s="62"/>
      <c r="OZV3" s="62"/>
      <c r="OZW3" s="62"/>
      <c r="OZX3" s="62"/>
      <c r="OZY3" s="62"/>
      <c r="OZZ3" s="62"/>
      <c r="PAA3" s="62"/>
      <c r="PAB3" s="62"/>
      <c r="PAC3" s="62"/>
      <c r="PAD3" s="62"/>
      <c r="PAE3" s="62"/>
      <c r="PAF3" s="62"/>
      <c r="PAG3" s="62"/>
      <c r="PAH3" s="62"/>
      <c r="PAI3" s="62"/>
      <c r="PAJ3" s="62"/>
      <c r="PAK3" s="62"/>
      <c r="PAL3" s="62"/>
      <c r="PAM3" s="62"/>
      <c r="PAN3" s="62"/>
      <c r="PAO3" s="62"/>
      <c r="PAP3" s="62"/>
      <c r="PAQ3" s="62"/>
      <c r="PAR3" s="62"/>
      <c r="PAS3" s="62"/>
      <c r="PAT3" s="62"/>
      <c r="PAU3" s="62"/>
      <c r="PAV3" s="62"/>
      <c r="PAW3" s="62"/>
      <c r="PAX3" s="62"/>
      <c r="PAY3" s="62"/>
      <c r="PAZ3" s="62"/>
      <c r="PBA3" s="62"/>
      <c r="PBB3" s="62"/>
      <c r="PBC3" s="62"/>
      <c r="PBD3" s="62"/>
      <c r="PBE3" s="62"/>
      <c r="PBF3" s="62"/>
      <c r="PBG3" s="62"/>
      <c r="PBH3" s="62"/>
      <c r="PBI3" s="62"/>
      <c r="PBJ3" s="62"/>
      <c r="PBK3" s="62"/>
      <c r="PBL3" s="62"/>
      <c r="PBM3" s="62"/>
      <c r="PBN3" s="62"/>
      <c r="PBO3" s="62"/>
      <c r="PBP3" s="62"/>
      <c r="PBQ3" s="62"/>
      <c r="PBR3" s="62"/>
      <c r="PBS3" s="62"/>
      <c r="PBT3" s="62"/>
      <c r="PBU3" s="62"/>
      <c r="PBV3" s="62"/>
      <c r="PBW3" s="62"/>
      <c r="PBX3" s="62"/>
      <c r="PBY3" s="62"/>
      <c r="PBZ3" s="62"/>
      <c r="PCA3" s="62"/>
      <c r="PCB3" s="62"/>
      <c r="PCC3" s="62"/>
      <c r="PCD3" s="62"/>
      <c r="PCE3" s="62"/>
      <c r="PCF3" s="62"/>
      <c r="PCG3" s="62"/>
      <c r="PCH3" s="62"/>
      <c r="PCI3" s="62"/>
      <c r="PCJ3" s="62"/>
      <c r="PCK3" s="62"/>
      <c r="PCL3" s="62"/>
      <c r="PCM3" s="62"/>
      <c r="PCN3" s="62"/>
      <c r="PCO3" s="62"/>
      <c r="PCP3" s="62"/>
      <c r="PCQ3" s="62"/>
      <c r="PCR3" s="62"/>
      <c r="PCS3" s="62"/>
      <c r="PCT3" s="62"/>
      <c r="PCU3" s="62"/>
      <c r="PCV3" s="62"/>
      <c r="PCW3" s="62"/>
      <c r="PCX3" s="62"/>
      <c r="PCY3" s="62"/>
      <c r="PCZ3" s="62"/>
      <c r="PDA3" s="62"/>
      <c r="PDB3" s="62"/>
      <c r="PDC3" s="62"/>
      <c r="PDD3" s="62"/>
      <c r="PDE3" s="62"/>
      <c r="PDF3" s="62"/>
      <c r="PDG3" s="62"/>
      <c r="PDH3" s="62"/>
      <c r="PDI3" s="62"/>
      <c r="PDJ3" s="62"/>
      <c r="PDK3" s="62"/>
      <c r="PDL3" s="62"/>
      <c r="PDM3" s="62"/>
      <c r="PDN3" s="62"/>
      <c r="PDO3" s="62"/>
      <c r="PDP3" s="62"/>
      <c r="PDQ3" s="62"/>
      <c r="PDR3" s="62"/>
      <c r="PDS3" s="62"/>
      <c r="PDT3" s="62"/>
      <c r="PDU3" s="62"/>
      <c r="PDV3" s="62"/>
      <c r="PDW3" s="62"/>
      <c r="PDX3" s="62"/>
      <c r="PDY3" s="62"/>
      <c r="PDZ3" s="62"/>
      <c r="PEA3" s="62"/>
      <c r="PEB3" s="62"/>
      <c r="PEC3" s="62"/>
      <c r="PED3" s="62"/>
      <c r="PEE3" s="62"/>
      <c r="PEF3" s="62"/>
      <c r="PEG3" s="62"/>
      <c r="PEH3" s="62"/>
      <c r="PEI3" s="62"/>
      <c r="PEJ3" s="62"/>
      <c r="PEK3" s="62"/>
      <c r="PEL3" s="62"/>
      <c r="PEM3" s="62"/>
      <c r="PEN3" s="62"/>
      <c r="PEO3" s="62"/>
      <c r="PEP3" s="62"/>
      <c r="PEQ3" s="62"/>
      <c r="PER3" s="62"/>
      <c r="PES3" s="62"/>
      <c r="PET3" s="62"/>
      <c r="PEU3" s="62"/>
      <c r="PEV3" s="62"/>
      <c r="PEW3" s="62"/>
      <c r="PEX3" s="62"/>
      <c r="PEY3" s="62"/>
      <c r="PEZ3" s="62"/>
      <c r="PFA3" s="62"/>
      <c r="PFB3" s="62"/>
      <c r="PFC3" s="62"/>
      <c r="PFD3" s="62"/>
      <c r="PFE3" s="62"/>
      <c r="PFF3" s="62"/>
      <c r="PFG3" s="62"/>
      <c r="PFH3" s="62"/>
      <c r="PFI3" s="62"/>
      <c r="PFJ3" s="62"/>
      <c r="PFK3" s="62"/>
      <c r="PFL3" s="62"/>
      <c r="PFM3" s="62"/>
      <c r="PFN3" s="62"/>
      <c r="PFO3" s="62"/>
      <c r="PFP3" s="62"/>
      <c r="PFQ3" s="62"/>
      <c r="PFR3" s="62"/>
      <c r="PFS3" s="62"/>
      <c r="PFT3" s="62"/>
      <c r="PFU3" s="62"/>
      <c r="PFV3" s="62"/>
      <c r="PFW3" s="62"/>
      <c r="PFX3" s="62"/>
      <c r="PFY3" s="62"/>
      <c r="PFZ3" s="62"/>
      <c r="PGA3" s="62"/>
      <c r="PGB3" s="62"/>
      <c r="PGC3" s="62"/>
      <c r="PGD3" s="62"/>
      <c r="PGE3" s="62"/>
      <c r="PGF3" s="62"/>
      <c r="PGG3" s="62"/>
      <c r="PGH3" s="62"/>
      <c r="PGI3" s="62"/>
      <c r="PGJ3" s="62"/>
      <c r="PGK3" s="62"/>
      <c r="PGL3" s="62"/>
      <c r="PGM3" s="62"/>
      <c r="PGN3" s="62"/>
      <c r="PGO3" s="62"/>
      <c r="PGP3" s="62"/>
      <c r="PGQ3" s="62"/>
      <c r="PGR3" s="62"/>
      <c r="PGS3" s="62"/>
      <c r="PGT3" s="62"/>
      <c r="PGU3" s="62"/>
      <c r="PGV3" s="62"/>
      <c r="PGW3" s="62"/>
      <c r="PGX3" s="62"/>
      <c r="PGY3" s="62"/>
      <c r="PGZ3" s="62"/>
      <c r="PHA3" s="62"/>
      <c r="PHB3" s="62"/>
      <c r="PHC3" s="62"/>
      <c r="PHD3" s="62"/>
      <c r="PHE3" s="62"/>
      <c r="PHF3" s="62"/>
      <c r="PHG3" s="62"/>
      <c r="PHH3" s="62"/>
      <c r="PHI3" s="62"/>
      <c r="PHJ3" s="62"/>
      <c r="PHK3" s="62"/>
      <c r="PHL3" s="62"/>
      <c r="PHM3" s="62"/>
      <c r="PHN3" s="62"/>
      <c r="PHO3" s="62"/>
      <c r="PHP3" s="62"/>
      <c r="PHQ3" s="62"/>
      <c r="PHR3" s="62"/>
      <c r="PHS3" s="62"/>
      <c r="PHT3" s="62"/>
      <c r="PHU3" s="62"/>
      <c r="PHV3" s="62"/>
      <c r="PHW3" s="62"/>
      <c r="PHX3" s="62"/>
      <c r="PHY3" s="62"/>
      <c r="PHZ3" s="62"/>
      <c r="PIA3" s="62"/>
      <c r="PIB3" s="62"/>
      <c r="PIC3" s="62"/>
      <c r="PID3" s="62"/>
      <c r="PIE3" s="62"/>
      <c r="PIF3" s="62"/>
      <c r="PIG3" s="62"/>
      <c r="PIH3" s="62"/>
      <c r="PII3" s="62"/>
      <c r="PIJ3" s="62"/>
      <c r="PIK3" s="62"/>
      <c r="PIL3" s="62"/>
      <c r="PIM3" s="62"/>
      <c r="PIN3" s="62"/>
      <c r="PIO3" s="62"/>
      <c r="PIP3" s="62"/>
      <c r="PIQ3" s="62"/>
      <c r="PIR3" s="62"/>
      <c r="PIS3" s="62"/>
      <c r="PIT3" s="62"/>
      <c r="PIU3" s="62"/>
      <c r="PIV3" s="62"/>
      <c r="PIW3" s="62"/>
      <c r="PIX3" s="62"/>
      <c r="PIY3" s="62"/>
      <c r="PIZ3" s="62"/>
      <c r="PJA3" s="62"/>
      <c r="PJB3" s="62"/>
      <c r="PJC3" s="62"/>
      <c r="PJD3" s="62"/>
      <c r="PJE3" s="62"/>
      <c r="PJF3" s="62"/>
      <c r="PJG3" s="62"/>
      <c r="PJH3" s="62"/>
      <c r="PJI3" s="62"/>
      <c r="PJJ3" s="62"/>
      <c r="PJK3" s="62"/>
      <c r="PJL3" s="62"/>
      <c r="PJM3" s="62"/>
      <c r="PJN3" s="62"/>
      <c r="PJO3" s="62"/>
      <c r="PJP3" s="62"/>
      <c r="PJQ3" s="62"/>
      <c r="PJR3" s="62"/>
      <c r="PJS3" s="62"/>
      <c r="PJT3" s="62"/>
      <c r="PJU3" s="62"/>
      <c r="PJV3" s="62"/>
      <c r="PJW3" s="62"/>
      <c r="PJX3" s="62"/>
      <c r="PJY3" s="62"/>
      <c r="PJZ3" s="62"/>
      <c r="PKA3" s="62"/>
      <c r="PKB3" s="62"/>
      <c r="PKC3" s="62"/>
      <c r="PKD3" s="62"/>
      <c r="PKE3" s="62"/>
      <c r="PKF3" s="62"/>
      <c r="PKG3" s="62"/>
      <c r="PKH3" s="62"/>
      <c r="PKI3" s="62"/>
      <c r="PKJ3" s="62"/>
      <c r="PKK3" s="62"/>
      <c r="PKL3" s="62"/>
      <c r="PKM3" s="62"/>
      <c r="PKN3" s="62"/>
      <c r="PKO3" s="62"/>
      <c r="PKP3" s="62"/>
      <c r="PKQ3" s="62"/>
      <c r="PKR3" s="62"/>
      <c r="PKS3" s="62"/>
      <c r="PKT3" s="62"/>
      <c r="PKU3" s="62"/>
      <c r="PKV3" s="62"/>
      <c r="PKW3" s="62"/>
      <c r="PKX3" s="62"/>
      <c r="PKY3" s="62"/>
      <c r="PKZ3" s="62"/>
      <c r="PLA3" s="62"/>
      <c r="PLB3" s="62"/>
      <c r="PLC3" s="62"/>
      <c r="PLD3" s="62"/>
      <c r="PLE3" s="62"/>
      <c r="PLF3" s="62"/>
      <c r="PLG3" s="62"/>
      <c r="PLH3" s="62"/>
      <c r="PLI3" s="62"/>
      <c r="PLJ3" s="62"/>
      <c r="PLK3" s="62"/>
      <c r="PLL3" s="62"/>
      <c r="PLM3" s="62"/>
      <c r="PLN3" s="62"/>
      <c r="PLO3" s="62"/>
      <c r="PLP3" s="62"/>
      <c r="PLQ3" s="62"/>
      <c r="PLR3" s="62"/>
      <c r="PLS3" s="62"/>
      <c r="PLT3" s="62"/>
      <c r="PLU3" s="62"/>
      <c r="PLV3" s="62"/>
      <c r="PLW3" s="62"/>
      <c r="PLX3" s="62"/>
      <c r="PLY3" s="62"/>
      <c r="PLZ3" s="62"/>
      <c r="PMA3" s="62"/>
      <c r="PMB3" s="62"/>
      <c r="PMC3" s="62"/>
      <c r="PMD3" s="62"/>
      <c r="PME3" s="62"/>
      <c r="PMF3" s="62"/>
      <c r="PMG3" s="62"/>
      <c r="PMH3" s="62"/>
      <c r="PMI3" s="62"/>
      <c r="PMJ3" s="62"/>
      <c r="PMK3" s="62"/>
      <c r="PML3" s="62"/>
      <c r="PMM3" s="62"/>
      <c r="PMN3" s="62"/>
      <c r="PMO3" s="62"/>
      <c r="PMP3" s="62"/>
      <c r="PMQ3" s="62"/>
      <c r="PMR3" s="62"/>
      <c r="PMS3" s="62"/>
      <c r="PMT3" s="62"/>
      <c r="PMU3" s="62"/>
      <c r="PMV3" s="62"/>
      <c r="PMW3" s="62"/>
      <c r="PMX3" s="62"/>
      <c r="PMY3" s="62"/>
      <c r="PMZ3" s="62"/>
      <c r="PNA3" s="62"/>
      <c r="PNB3" s="62"/>
      <c r="PNC3" s="62"/>
      <c r="PND3" s="62"/>
      <c r="PNE3" s="62"/>
      <c r="PNF3" s="62"/>
      <c r="PNG3" s="62"/>
      <c r="PNH3" s="62"/>
      <c r="PNI3" s="62"/>
      <c r="PNJ3" s="62"/>
      <c r="PNK3" s="62"/>
      <c r="PNL3" s="62"/>
      <c r="PNM3" s="62"/>
      <c r="PNN3" s="62"/>
      <c r="PNO3" s="62"/>
      <c r="PNP3" s="62"/>
      <c r="PNQ3" s="62"/>
      <c r="PNR3" s="62"/>
      <c r="PNS3" s="62"/>
      <c r="PNT3" s="62"/>
      <c r="PNU3" s="62"/>
      <c r="PNV3" s="62"/>
      <c r="PNW3" s="62"/>
      <c r="PNX3" s="62"/>
      <c r="PNY3" s="62"/>
      <c r="PNZ3" s="62"/>
      <c r="POA3" s="62"/>
      <c r="POB3" s="62"/>
      <c r="POC3" s="62"/>
      <c r="POD3" s="62"/>
      <c r="POE3" s="62"/>
      <c r="POF3" s="62"/>
      <c r="POG3" s="62"/>
      <c r="POH3" s="62"/>
      <c r="POI3" s="62"/>
      <c r="POJ3" s="62"/>
      <c r="POK3" s="62"/>
      <c r="POL3" s="62"/>
      <c r="POM3" s="62"/>
      <c r="PON3" s="62"/>
      <c r="POO3" s="62"/>
      <c r="POP3" s="62"/>
      <c r="POQ3" s="62"/>
      <c r="POR3" s="62"/>
      <c r="POS3" s="62"/>
      <c r="POT3" s="62"/>
      <c r="POU3" s="62"/>
      <c r="POV3" s="62"/>
      <c r="POW3" s="62"/>
      <c r="POX3" s="62"/>
      <c r="POY3" s="62"/>
      <c r="POZ3" s="62"/>
      <c r="PPA3" s="62"/>
      <c r="PPB3" s="62"/>
      <c r="PPC3" s="62"/>
      <c r="PPD3" s="62"/>
      <c r="PPE3" s="62"/>
      <c r="PPF3" s="62"/>
      <c r="PPG3" s="62"/>
      <c r="PPH3" s="62"/>
      <c r="PPI3" s="62"/>
      <c r="PPJ3" s="62"/>
      <c r="PPK3" s="62"/>
      <c r="PPL3" s="62"/>
      <c r="PPM3" s="62"/>
      <c r="PPN3" s="62"/>
      <c r="PPO3" s="62"/>
      <c r="PPP3" s="62"/>
      <c r="PPQ3" s="62"/>
      <c r="PPR3" s="62"/>
      <c r="PPS3" s="62"/>
      <c r="PPT3" s="62"/>
      <c r="PPU3" s="62"/>
      <c r="PPV3" s="62"/>
      <c r="PPW3" s="62"/>
      <c r="PPX3" s="62"/>
      <c r="PPY3" s="62"/>
      <c r="PPZ3" s="62"/>
      <c r="PQA3" s="62"/>
      <c r="PQB3" s="62"/>
      <c r="PQC3" s="62"/>
      <c r="PQD3" s="62"/>
      <c r="PQE3" s="62"/>
      <c r="PQF3" s="62"/>
      <c r="PQG3" s="62"/>
      <c r="PQH3" s="62"/>
      <c r="PQI3" s="62"/>
      <c r="PQJ3" s="62"/>
      <c r="PQK3" s="62"/>
      <c r="PQL3" s="62"/>
      <c r="PQM3" s="62"/>
      <c r="PQN3" s="62"/>
      <c r="PQO3" s="62"/>
      <c r="PQP3" s="62"/>
      <c r="PQQ3" s="62"/>
      <c r="PQR3" s="62"/>
      <c r="PQS3" s="62"/>
      <c r="PQT3" s="62"/>
      <c r="PQU3" s="62"/>
      <c r="PQV3" s="62"/>
      <c r="PQW3" s="62"/>
      <c r="PQX3" s="62"/>
      <c r="PQY3" s="62"/>
      <c r="PQZ3" s="62"/>
      <c r="PRA3" s="62"/>
      <c r="PRB3" s="62"/>
      <c r="PRC3" s="62"/>
      <c r="PRD3" s="62"/>
      <c r="PRE3" s="62"/>
      <c r="PRF3" s="62"/>
      <c r="PRG3" s="62"/>
      <c r="PRH3" s="62"/>
      <c r="PRI3" s="62"/>
      <c r="PRJ3" s="62"/>
      <c r="PRK3" s="62"/>
      <c r="PRL3" s="62"/>
      <c r="PRM3" s="62"/>
      <c r="PRN3" s="62"/>
      <c r="PRO3" s="62"/>
      <c r="PRP3" s="62"/>
      <c r="PRQ3" s="62"/>
      <c r="PRR3" s="62"/>
      <c r="PRS3" s="62"/>
      <c r="PRT3" s="62"/>
      <c r="PRU3" s="62"/>
      <c r="PRV3" s="62"/>
      <c r="PRW3" s="62"/>
      <c r="PRX3" s="62"/>
      <c r="PRY3" s="62"/>
      <c r="PRZ3" s="62"/>
      <c r="PSA3" s="62"/>
      <c r="PSB3" s="62"/>
      <c r="PSC3" s="62"/>
      <c r="PSD3" s="62"/>
      <c r="PSE3" s="62"/>
      <c r="PSF3" s="62"/>
      <c r="PSG3" s="62"/>
      <c r="PSH3" s="62"/>
      <c r="PSI3" s="62"/>
      <c r="PSJ3" s="62"/>
      <c r="PSK3" s="62"/>
      <c r="PSL3" s="62"/>
      <c r="PSM3" s="62"/>
      <c r="PSN3" s="62"/>
      <c r="PSO3" s="62"/>
      <c r="PSP3" s="62"/>
      <c r="PSQ3" s="62"/>
      <c r="PSR3" s="62"/>
      <c r="PSS3" s="62"/>
      <c r="PST3" s="62"/>
      <c r="PSU3" s="62"/>
      <c r="PSV3" s="62"/>
      <c r="PSW3" s="62"/>
      <c r="PSX3" s="62"/>
      <c r="PSY3" s="62"/>
      <c r="PSZ3" s="62"/>
      <c r="PTA3" s="62"/>
      <c r="PTB3" s="62"/>
      <c r="PTC3" s="62"/>
      <c r="PTD3" s="62"/>
      <c r="PTE3" s="62"/>
      <c r="PTF3" s="62"/>
      <c r="PTG3" s="62"/>
      <c r="PTH3" s="62"/>
      <c r="PTI3" s="62"/>
      <c r="PTJ3" s="62"/>
      <c r="PTK3" s="62"/>
      <c r="PTL3" s="62"/>
      <c r="PTM3" s="62"/>
      <c r="PTN3" s="62"/>
      <c r="PTO3" s="62"/>
      <c r="PTP3" s="62"/>
      <c r="PTQ3" s="62"/>
      <c r="PTR3" s="62"/>
      <c r="PTS3" s="62"/>
      <c r="PTT3" s="62"/>
      <c r="PTU3" s="62"/>
      <c r="PTV3" s="62"/>
      <c r="PTW3" s="62"/>
      <c r="PTX3" s="62"/>
      <c r="PTY3" s="62"/>
      <c r="PTZ3" s="62"/>
      <c r="PUA3" s="62"/>
      <c r="PUB3" s="62"/>
      <c r="PUC3" s="62"/>
      <c r="PUD3" s="62"/>
      <c r="PUE3" s="62"/>
      <c r="PUF3" s="62"/>
      <c r="PUG3" s="62"/>
      <c r="PUH3" s="62"/>
      <c r="PUI3" s="62"/>
      <c r="PUJ3" s="62"/>
      <c r="PUK3" s="62"/>
      <c r="PUL3" s="62"/>
      <c r="PUM3" s="62"/>
      <c r="PUN3" s="62"/>
      <c r="PUO3" s="62"/>
      <c r="PUP3" s="62"/>
      <c r="PUQ3" s="62"/>
      <c r="PUR3" s="62"/>
      <c r="PUS3" s="62"/>
      <c r="PUT3" s="62"/>
      <c r="PUU3" s="62"/>
      <c r="PUV3" s="62"/>
      <c r="PUW3" s="62"/>
      <c r="PUX3" s="62"/>
      <c r="PUY3" s="62"/>
      <c r="PUZ3" s="62"/>
      <c r="PVA3" s="62"/>
      <c r="PVB3" s="62"/>
      <c r="PVC3" s="62"/>
      <c r="PVD3" s="62"/>
      <c r="PVE3" s="62"/>
      <c r="PVF3" s="62"/>
      <c r="PVG3" s="62"/>
      <c r="PVH3" s="62"/>
      <c r="PVI3" s="62"/>
      <c r="PVJ3" s="62"/>
      <c r="PVK3" s="62"/>
      <c r="PVL3" s="62"/>
      <c r="PVM3" s="62"/>
      <c r="PVN3" s="62"/>
      <c r="PVO3" s="62"/>
      <c r="PVP3" s="62"/>
      <c r="PVQ3" s="62"/>
      <c r="PVR3" s="62"/>
      <c r="PVS3" s="62"/>
      <c r="PVT3" s="62"/>
      <c r="PVU3" s="62"/>
      <c r="PVV3" s="62"/>
      <c r="PVW3" s="62"/>
      <c r="PVX3" s="62"/>
      <c r="PVY3" s="62"/>
      <c r="PVZ3" s="62"/>
      <c r="PWA3" s="62"/>
      <c r="PWB3" s="62"/>
      <c r="PWC3" s="62"/>
      <c r="PWD3" s="62"/>
      <c r="PWE3" s="62"/>
      <c r="PWF3" s="62"/>
      <c r="PWG3" s="62"/>
      <c r="PWH3" s="62"/>
      <c r="PWI3" s="62"/>
      <c r="PWJ3" s="62"/>
      <c r="PWK3" s="62"/>
      <c r="PWL3" s="62"/>
      <c r="PWM3" s="62"/>
      <c r="PWN3" s="62"/>
      <c r="PWO3" s="62"/>
      <c r="PWP3" s="62"/>
      <c r="PWQ3" s="62"/>
      <c r="PWR3" s="62"/>
      <c r="PWS3" s="62"/>
      <c r="PWT3" s="62"/>
      <c r="PWU3" s="62"/>
      <c r="PWV3" s="62"/>
      <c r="PWW3" s="62"/>
      <c r="PWX3" s="62"/>
      <c r="PWY3" s="62"/>
      <c r="PWZ3" s="62"/>
      <c r="PXA3" s="62"/>
      <c r="PXB3" s="62"/>
      <c r="PXC3" s="62"/>
      <c r="PXD3" s="62"/>
      <c r="PXE3" s="62"/>
      <c r="PXF3" s="62"/>
      <c r="PXG3" s="62"/>
      <c r="PXH3" s="62"/>
      <c r="PXI3" s="62"/>
      <c r="PXJ3" s="62"/>
      <c r="PXK3" s="62"/>
      <c r="PXL3" s="62"/>
      <c r="PXM3" s="62"/>
      <c r="PXN3" s="62"/>
      <c r="PXO3" s="62"/>
      <c r="PXP3" s="62"/>
      <c r="PXQ3" s="62"/>
      <c r="PXR3" s="62"/>
      <c r="PXS3" s="62"/>
      <c r="PXT3" s="62"/>
      <c r="PXU3" s="62"/>
      <c r="PXV3" s="62"/>
      <c r="PXW3" s="62"/>
      <c r="PXX3" s="62"/>
      <c r="PXY3" s="62"/>
      <c r="PXZ3" s="62"/>
      <c r="PYA3" s="62"/>
      <c r="PYB3" s="62"/>
      <c r="PYC3" s="62"/>
      <c r="PYD3" s="62"/>
      <c r="PYE3" s="62"/>
      <c r="PYF3" s="62"/>
      <c r="PYG3" s="62"/>
      <c r="PYH3" s="62"/>
      <c r="PYI3" s="62"/>
      <c r="PYJ3" s="62"/>
      <c r="PYK3" s="62"/>
      <c r="PYL3" s="62"/>
      <c r="PYM3" s="62"/>
      <c r="PYN3" s="62"/>
      <c r="PYO3" s="62"/>
      <c r="PYP3" s="62"/>
      <c r="PYQ3" s="62"/>
      <c r="PYR3" s="62"/>
      <c r="PYS3" s="62"/>
      <c r="PYT3" s="62"/>
      <c r="PYU3" s="62"/>
      <c r="PYV3" s="62"/>
      <c r="PYW3" s="62"/>
      <c r="PYX3" s="62"/>
      <c r="PYY3" s="62"/>
      <c r="PYZ3" s="62"/>
      <c r="PZA3" s="62"/>
      <c r="PZB3" s="62"/>
      <c r="PZC3" s="62"/>
      <c r="PZD3" s="62"/>
      <c r="PZE3" s="62"/>
      <c r="PZF3" s="62"/>
      <c r="PZG3" s="62"/>
      <c r="PZH3" s="62"/>
      <c r="PZI3" s="62"/>
      <c r="PZJ3" s="62"/>
      <c r="PZK3" s="62"/>
      <c r="PZL3" s="62"/>
      <c r="PZM3" s="62"/>
      <c r="PZN3" s="62"/>
      <c r="PZO3" s="62"/>
      <c r="PZP3" s="62"/>
      <c r="PZQ3" s="62"/>
      <c r="PZR3" s="62"/>
      <c r="PZS3" s="62"/>
      <c r="PZT3" s="62"/>
      <c r="PZU3" s="62"/>
      <c r="PZV3" s="62"/>
      <c r="PZW3" s="62"/>
      <c r="PZX3" s="62"/>
      <c r="PZY3" s="62"/>
      <c r="PZZ3" s="62"/>
      <c r="QAA3" s="62"/>
      <c r="QAB3" s="62"/>
      <c r="QAC3" s="62"/>
      <c r="QAD3" s="62"/>
      <c r="QAE3" s="62"/>
      <c r="QAF3" s="62"/>
      <c r="QAG3" s="62"/>
      <c r="QAH3" s="62"/>
      <c r="QAI3" s="62"/>
      <c r="QAJ3" s="62"/>
      <c r="QAK3" s="62"/>
      <c r="QAL3" s="62"/>
      <c r="QAM3" s="62"/>
      <c r="QAN3" s="62"/>
      <c r="QAO3" s="62"/>
      <c r="QAP3" s="62"/>
      <c r="QAQ3" s="62"/>
      <c r="QAR3" s="62"/>
      <c r="QAS3" s="62"/>
      <c r="QAT3" s="62"/>
      <c r="QAU3" s="62"/>
      <c r="QAV3" s="62"/>
      <c r="QAW3" s="62"/>
      <c r="QAX3" s="62"/>
      <c r="QAY3" s="62"/>
      <c r="QAZ3" s="62"/>
      <c r="QBA3" s="62"/>
      <c r="QBB3" s="62"/>
      <c r="QBC3" s="62"/>
      <c r="QBD3" s="62"/>
      <c r="QBE3" s="62"/>
      <c r="QBF3" s="62"/>
      <c r="QBG3" s="62"/>
      <c r="QBH3" s="62"/>
      <c r="QBI3" s="62"/>
      <c r="QBJ3" s="62"/>
      <c r="QBK3" s="62"/>
      <c r="QBL3" s="62"/>
      <c r="QBM3" s="62"/>
      <c r="QBN3" s="62"/>
      <c r="QBO3" s="62"/>
      <c r="QBP3" s="62"/>
      <c r="QBQ3" s="62"/>
      <c r="QBR3" s="62"/>
      <c r="QBS3" s="62"/>
      <c r="QBT3" s="62"/>
      <c r="QBU3" s="62"/>
      <c r="QBV3" s="62"/>
      <c r="QBW3" s="62"/>
      <c r="QBX3" s="62"/>
      <c r="QBY3" s="62"/>
      <c r="QBZ3" s="62"/>
      <c r="QCA3" s="62"/>
      <c r="QCB3" s="62"/>
      <c r="QCC3" s="62"/>
      <c r="QCD3" s="62"/>
      <c r="QCE3" s="62"/>
      <c r="QCF3" s="62"/>
      <c r="QCG3" s="62"/>
      <c r="QCH3" s="62"/>
      <c r="QCI3" s="62"/>
      <c r="QCJ3" s="62"/>
      <c r="QCK3" s="62"/>
      <c r="QCL3" s="62"/>
      <c r="QCM3" s="62"/>
      <c r="QCN3" s="62"/>
      <c r="QCO3" s="62"/>
      <c r="QCP3" s="62"/>
      <c r="QCQ3" s="62"/>
      <c r="QCR3" s="62"/>
      <c r="QCS3" s="62"/>
      <c r="QCT3" s="62"/>
      <c r="QCU3" s="62"/>
      <c r="QCV3" s="62"/>
      <c r="QCW3" s="62"/>
      <c r="QCX3" s="62"/>
      <c r="QCY3" s="62"/>
      <c r="QCZ3" s="62"/>
      <c r="QDA3" s="62"/>
      <c r="QDB3" s="62"/>
      <c r="QDC3" s="62"/>
      <c r="QDD3" s="62"/>
      <c r="QDE3" s="62"/>
      <c r="QDF3" s="62"/>
      <c r="QDG3" s="62"/>
      <c r="QDH3" s="62"/>
      <c r="QDI3" s="62"/>
      <c r="QDJ3" s="62"/>
      <c r="QDK3" s="62"/>
      <c r="QDL3" s="62"/>
      <c r="QDM3" s="62"/>
      <c r="QDN3" s="62"/>
      <c r="QDO3" s="62"/>
      <c r="QDP3" s="62"/>
      <c r="QDQ3" s="62"/>
      <c r="QDR3" s="62"/>
      <c r="QDS3" s="62"/>
      <c r="QDT3" s="62"/>
      <c r="QDU3" s="62"/>
      <c r="QDV3" s="62"/>
      <c r="QDW3" s="62"/>
      <c r="QDX3" s="62"/>
      <c r="QDY3" s="62"/>
      <c r="QDZ3" s="62"/>
      <c r="QEA3" s="62"/>
      <c r="QEB3" s="62"/>
      <c r="QEC3" s="62"/>
      <c r="QED3" s="62"/>
      <c r="QEE3" s="62"/>
      <c r="QEF3" s="62"/>
      <c r="QEG3" s="62"/>
      <c r="QEH3" s="62"/>
      <c r="QEI3" s="62"/>
      <c r="QEJ3" s="62"/>
      <c r="QEK3" s="62"/>
      <c r="QEL3" s="62"/>
      <c r="QEM3" s="62"/>
      <c r="QEN3" s="62"/>
      <c r="QEO3" s="62"/>
      <c r="QEP3" s="62"/>
      <c r="QEQ3" s="62"/>
      <c r="QER3" s="62"/>
      <c r="QES3" s="62"/>
      <c r="QET3" s="62"/>
      <c r="QEU3" s="62"/>
      <c r="QEV3" s="62"/>
      <c r="QEW3" s="62"/>
      <c r="QEX3" s="62"/>
      <c r="QEY3" s="62"/>
      <c r="QEZ3" s="62"/>
      <c r="QFA3" s="62"/>
      <c r="QFB3" s="62"/>
      <c r="QFC3" s="62"/>
      <c r="QFD3" s="62"/>
      <c r="QFE3" s="62"/>
      <c r="QFF3" s="62"/>
      <c r="QFG3" s="62"/>
      <c r="QFH3" s="62"/>
      <c r="QFI3" s="62"/>
      <c r="QFJ3" s="62"/>
      <c r="QFK3" s="62"/>
      <c r="QFL3" s="62"/>
      <c r="QFM3" s="62"/>
      <c r="QFN3" s="62"/>
      <c r="QFO3" s="62"/>
      <c r="QFP3" s="62"/>
      <c r="QFQ3" s="62"/>
      <c r="QFR3" s="62"/>
      <c r="QFS3" s="62"/>
      <c r="QFT3" s="62"/>
      <c r="QFU3" s="62"/>
      <c r="QFV3" s="62"/>
      <c r="QFW3" s="62"/>
      <c r="QFX3" s="62"/>
      <c r="QFY3" s="62"/>
      <c r="QFZ3" s="62"/>
      <c r="QGA3" s="62"/>
      <c r="QGB3" s="62"/>
      <c r="QGC3" s="62"/>
      <c r="QGD3" s="62"/>
      <c r="QGE3" s="62"/>
      <c r="QGF3" s="62"/>
      <c r="QGG3" s="62"/>
      <c r="QGH3" s="62"/>
      <c r="QGI3" s="62"/>
      <c r="QGJ3" s="62"/>
      <c r="QGK3" s="62"/>
      <c r="QGL3" s="62"/>
      <c r="QGM3" s="62"/>
      <c r="QGN3" s="62"/>
      <c r="QGO3" s="62"/>
      <c r="QGP3" s="62"/>
      <c r="QGQ3" s="62"/>
      <c r="QGR3" s="62"/>
      <c r="QGS3" s="62"/>
      <c r="QGT3" s="62"/>
      <c r="QGU3" s="62"/>
      <c r="QGV3" s="62"/>
      <c r="QGW3" s="62"/>
      <c r="QGX3" s="62"/>
      <c r="QGY3" s="62"/>
      <c r="QGZ3" s="62"/>
      <c r="QHA3" s="62"/>
      <c r="QHB3" s="62"/>
      <c r="QHC3" s="62"/>
      <c r="QHD3" s="62"/>
      <c r="QHE3" s="62"/>
      <c r="QHF3" s="62"/>
      <c r="QHG3" s="62"/>
      <c r="QHH3" s="62"/>
      <c r="QHI3" s="62"/>
      <c r="QHJ3" s="62"/>
      <c r="QHK3" s="62"/>
      <c r="QHL3" s="62"/>
      <c r="QHM3" s="62"/>
      <c r="QHN3" s="62"/>
      <c r="QHO3" s="62"/>
      <c r="QHP3" s="62"/>
      <c r="QHQ3" s="62"/>
      <c r="QHR3" s="62"/>
      <c r="QHS3" s="62"/>
      <c r="QHT3" s="62"/>
      <c r="QHU3" s="62"/>
      <c r="QHV3" s="62"/>
      <c r="QHW3" s="62"/>
      <c r="QHX3" s="62"/>
      <c r="QHY3" s="62"/>
      <c r="QHZ3" s="62"/>
      <c r="QIA3" s="62"/>
      <c r="QIB3" s="62"/>
      <c r="QIC3" s="62"/>
      <c r="QID3" s="62"/>
      <c r="QIE3" s="62"/>
      <c r="QIF3" s="62"/>
      <c r="QIG3" s="62"/>
      <c r="QIH3" s="62"/>
      <c r="QII3" s="62"/>
      <c r="QIJ3" s="62"/>
      <c r="QIK3" s="62"/>
      <c r="QIL3" s="62"/>
      <c r="QIM3" s="62"/>
      <c r="QIN3" s="62"/>
      <c r="QIO3" s="62"/>
      <c r="QIP3" s="62"/>
      <c r="QIQ3" s="62"/>
      <c r="QIR3" s="62"/>
      <c r="QIS3" s="62"/>
      <c r="QIT3" s="62"/>
      <c r="QIU3" s="62"/>
      <c r="QIV3" s="62"/>
      <c r="QIW3" s="62"/>
      <c r="QIX3" s="62"/>
      <c r="QIY3" s="62"/>
      <c r="QIZ3" s="62"/>
      <c r="QJA3" s="62"/>
      <c r="QJB3" s="62"/>
      <c r="QJC3" s="62"/>
      <c r="QJD3" s="62"/>
      <c r="QJE3" s="62"/>
      <c r="QJF3" s="62"/>
      <c r="QJG3" s="62"/>
      <c r="QJH3" s="62"/>
      <c r="QJI3" s="62"/>
      <c r="QJJ3" s="62"/>
      <c r="QJK3" s="62"/>
      <c r="QJL3" s="62"/>
      <c r="QJM3" s="62"/>
      <c r="QJN3" s="62"/>
      <c r="QJO3" s="62"/>
      <c r="QJP3" s="62"/>
      <c r="QJQ3" s="62"/>
      <c r="QJR3" s="62"/>
      <c r="QJS3" s="62"/>
      <c r="QJT3" s="62"/>
      <c r="QJU3" s="62"/>
      <c r="QJV3" s="62"/>
      <c r="QJW3" s="62"/>
      <c r="QJX3" s="62"/>
      <c r="QJY3" s="62"/>
      <c r="QJZ3" s="62"/>
      <c r="QKA3" s="62"/>
      <c r="QKB3" s="62"/>
      <c r="QKC3" s="62"/>
      <c r="QKD3" s="62"/>
      <c r="QKE3" s="62"/>
      <c r="QKF3" s="62"/>
      <c r="QKG3" s="62"/>
      <c r="QKH3" s="62"/>
      <c r="QKI3" s="62"/>
      <c r="QKJ3" s="62"/>
      <c r="QKK3" s="62"/>
      <c r="QKL3" s="62"/>
      <c r="QKM3" s="62"/>
      <c r="QKN3" s="62"/>
      <c r="QKO3" s="62"/>
      <c r="QKP3" s="62"/>
      <c r="QKQ3" s="62"/>
      <c r="QKR3" s="62"/>
      <c r="QKS3" s="62"/>
      <c r="QKT3" s="62"/>
      <c r="QKU3" s="62"/>
      <c r="QKV3" s="62"/>
      <c r="QKW3" s="62"/>
      <c r="QKX3" s="62"/>
      <c r="QKY3" s="62"/>
      <c r="QKZ3" s="62"/>
      <c r="QLA3" s="62"/>
      <c r="QLB3" s="62"/>
      <c r="QLC3" s="62"/>
      <c r="QLD3" s="62"/>
      <c r="QLE3" s="62"/>
      <c r="QLF3" s="62"/>
      <c r="QLG3" s="62"/>
      <c r="QLH3" s="62"/>
      <c r="QLI3" s="62"/>
      <c r="QLJ3" s="62"/>
      <c r="QLK3" s="62"/>
      <c r="QLL3" s="62"/>
      <c r="QLM3" s="62"/>
      <c r="QLN3" s="62"/>
      <c r="QLO3" s="62"/>
      <c r="QLP3" s="62"/>
      <c r="QLQ3" s="62"/>
      <c r="QLR3" s="62"/>
      <c r="QLS3" s="62"/>
      <c r="QLT3" s="62"/>
      <c r="QLU3" s="62"/>
      <c r="QLV3" s="62"/>
      <c r="QLW3" s="62"/>
      <c r="QLX3" s="62"/>
      <c r="QLY3" s="62"/>
      <c r="QLZ3" s="62"/>
      <c r="QMA3" s="62"/>
      <c r="QMB3" s="62"/>
      <c r="QMC3" s="62"/>
      <c r="QMD3" s="62"/>
      <c r="QME3" s="62"/>
      <c r="QMF3" s="62"/>
      <c r="QMG3" s="62"/>
      <c r="QMH3" s="62"/>
      <c r="QMI3" s="62"/>
      <c r="QMJ3" s="62"/>
      <c r="QMK3" s="62"/>
      <c r="QML3" s="62"/>
      <c r="QMM3" s="62"/>
      <c r="QMN3" s="62"/>
      <c r="QMO3" s="62"/>
      <c r="QMP3" s="62"/>
      <c r="QMQ3" s="62"/>
      <c r="QMR3" s="62"/>
      <c r="QMS3" s="62"/>
      <c r="QMT3" s="62"/>
      <c r="QMU3" s="62"/>
      <c r="QMV3" s="62"/>
      <c r="QMW3" s="62"/>
      <c r="QMX3" s="62"/>
      <c r="QMY3" s="62"/>
      <c r="QMZ3" s="62"/>
      <c r="QNA3" s="62"/>
      <c r="QNB3" s="62"/>
      <c r="QNC3" s="62"/>
      <c r="QND3" s="62"/>
      <c r="QNE3" s="62"/>
      <c r="QNF3" s="62"/>
      <c r="QNG3" s="62"/>
      <c r="QNH3" s="62"/>
      <c r="QNI3" s="62"/>
      <c r="QNJ3" s="62"/>
      <c r="QNK3" s="62"/>
      <c r="QNL3" s="62"/>
      <c r="QNM3" s="62"/>
      <c r="QNN3" s="62"/>
      <c r="QNO3" s="62"/>
      <c r="QNP3" s="62"/>
      <c r="QNQ3" s="62"/>
      <c r="QNR3" s="62"/>
      <c r="QNS3" s="62"/>
      <c r="QNT3" s="62"/>
      <c r="QNU3" s="62"/>
      <c r="QNV3" s="62"/>
      <c r="QNW3" s="62"/>
      <c r="QNX3" s="62"/>
      <c r="QNY3" s="62"/>
      <c r="QNZ3" s="62"/>
      <c r="QOA3" s="62"/>
      <c r="QOB3" s="62"/>
      <c r="QOC3" s="62"/>
      <c r="QOD3" s="62"/>
      <c r="QOE3" s="62"/>
      <c r="QOF3" s="62"/>
      <c r="QOG3" s="62"/>
      <c r="QOH3" s="62"/>
      <c r="QOI3" s="62"/>
      <c r="QOJ3" s="62"/>
      <c r="QOK3" s="62"/>
      <c r="QOL3" s="62"/>
      <c r="QOM3" s="62"/>
      <c r="QON3" s="62"/>
      <c r="QOO3" s="62"/>
      <c r="QOP3" s="62"/>
      <c r="QOQ3" s="62"/>
      <c r="QOR3" s="62"/>
      <c r="QOS3" s="62"/>
      <c r="QOT3" s="62"/>
      <c r="QOU3" s="62"/>
      <c r="QOV3" s="62"/>
      <c r="QOW3" s="62"/>
      <c r="QOX3" s="62"/>
      <c r="QOY3" s="62"/>
      <c r="QOZ3" s="62"/>
      <c r="QPA3" s="62"/>
      <c r="QPB3" s="62"/>
      <c r="QPC3" s="62"/>
      <c r="QPD3" s="62"/>
      <c r="QPE3" s="62"/>
      <c r="QPF3" s="62"/>
      <c r="QPG3" s="62"/>
      <c r="QPH3" s="62"/>
      <c r="QPI3" s="62"/>
      <c r="QPJ3" s="62"/>
      <c r="QPK3" s="62"/>
      <c r="QPL3" s="62"/>
      <c r="QPM3" s="62"/>
      <c r="QPN3" s="62"/>
      <c r="QPO3" s="62"/>
      <c r="QPP3" s="62"/>
      <c r="QPQ3" s="62"/>
      <c r="QPR3" s="62"/>
      <c r="QPS3" s="62"/>
      <c r="QPT3" s="62"/>
      <c r="QPU3" s="62"/>
      <c r="QPV3" s="62"/>
      <c r="QPW3" s="62"/>
      <c r="QPX3" s="62"/>
      <c r="QPY3" s="62"/>
      <c r="QPZ3" s="62"/>
      <c r="QQA3" s="62"/>
      <c r="QQB3" s="62"/>
      <c r="QQC3" s="62"/>
      <c r="QQD3" s="62"/>
      <c r="QQE3" s="62"/>
      <c r="QQF3" s="62"/>
      <c r="QQG3" s="62"/>
      <c r="QQH3" s="62"/>
      <c r="QQI3" s="62"/>
      <c r="QQJ3" s="62"/>
      <c r="QQK3" s="62"/>
      <c r="QQL3" s="62"/>
      <c r="QQM3" s="62"/>
      <c r="QQN3" s="62"/>
      <c r="QQO3" s="62"/>
      <c r="QQP3" s="62"/>
      <c r="QQQ3" s="62"/>
      <c r="QQR3" s="62"/>
      <c r="QQS3" s="62"/>
      <c r="QQT3" s="62"/>
      <c r="QQU3" s="62"/>
      <c r="QQV3" s="62"/>
      <c r="QQW3" s="62"/>
      <c r="QQX3" s="62"/>
      <c r="QQY3" s="62"/>
      <c r="QQZ3" s="62"/>
      <c r="QRA3" s="62"/>
      <c r="QRB3" s="62"/>
      <c r="QRC3" s="62"/>
      <c r="QRD3" s="62"/>
      <c r="QRE3" s="62"/>
      <c r="QRF3" s="62"/>
      <c r="QRG3" s="62"/>
      <c r="QRH3" s="62"/>
      <c r="QRI3" s="62"/>
      <c r="QRJ3" s="62"/>
      <c r="QRK3" s="62"/>
      <c r="QRL3" s="62"/>
      <c r="QRM3" s="62"/>
      <c r="QRN3" s="62"/>
      <c r="QRO3" s="62"/>
      <c r="QRP3" s="62"/>
      <c r="QRQ3" s="62"/>
      <c r="QRR3" s="62"/>
      <c r="QRS3" s="62"/>
      <c r="QRT3" s="62"/>
      <c r="QRU3" s="62"/>
      <c r="QRV3" s="62"/>
      <c r="QRW3" s="62"/>
      <c r="QRX3" s="62"/>
      <c r="QRY3" s="62"/>
      <c r="QRZ3" s="62"/>
      <c r="QSA3" s="62"/>
      <c r="QSB3" s="62"/>
      <c r="QSC3" s="62"/>
      <c r="QSD3" s="62"/>
      <c r="QSE3" s="62"/>
      <c r="QSF3" s="62"/>
      <c r="QSG3" s="62"/>
      <c r="QSH3" s="62"/>
      <c r="QSI3" s="62"/>
      <c r="QSJ3" s="62"/>
      <c r="QSK3" s="62"/>
      <c r="QSL3" s="62"/>
      <c r="QSM3" s="62"/>
      <c r="QSN3" s="62"/>
      <c r="QSO3" s="62"/>
      <c r="QSP3" s="62"/>
      <c r="QSQ3" s="62"/>
      <c r="QSR3" s="62"/>
      <c r="QSS3" s="62"/>
      <c r="QST3" s="62"/>
      <c r="QSU3" s="62"/>
      <c r="QSV3" s="62"/>
      <c r="QSW3" s="62"/>
      <c r="QSX3" s="62"/>
      <c r="QSY3" s="62"/>
      <c r="QSZ3" s="62"/>
      <c r="QTA3" s="62"/>
      <c r="QTB3" s="62"/>
      <c r="QTC3" s="62"/>
      <c r="QTD3" s="62"/>
      <c r="QTE3" s="62"/>
      <c r="QTF3" s="62"/>
      <c r="QTG3" s="62"/>
      <c r="QTH3" s="62"/>
      <c r="QTI3" s="62"/>
      <c r="QTJ3" s="62"/>
      <c r="QTK3" s="62"/>
      <c r="QTL3" s="62"/>
      <c r="QTM3" s="62"/>
      <c r="QTN3" s="62"/>
      <c r="QTO3" s="62"/>
      <c r="QTP3" s="62"/>
      <c r="QTQ3" s="62"/>
      <c r="QTR3" s="62"/>
      <c r="QTS3" s="62"/>
      <c r="QTT3" s="62"/>
      <c r="QTU3" s="62"/>
      <c r="QTV3" s="62"/>
      <c r="QTW3" s="62"/>
      <c r="QTX3" s="62"/>
      <c r="QTY3" s="62"/>
      <c r="QTZ3" s="62"/>
      <c r="QUA3" s="62"/>
      <c r="QUB3" s="62"/>
      <c r="QUC3" s="62"/>
      <c r="QUD3" s="62"/>
      <c r="QUE3" s="62"/>
      <c r="QUF3" s="62"/>
      <c r="QUG3" s="62"/>
      <c r="QUH3" s="62"/>
      <c r="QUI3" s="62"/>
      <c r="QUJ3" s="62"/>
      <c r="QUK3" s="62"/>
      <c r="QUL3" s="62"/>
      <c r="QUM3" s="62"/>
      <c r="QUN3" s="62"/>
      <c r="QUO3" s="62"/>
      <c r="QUP3" s="62"/>
      <c r="QUQ3" s="62"/>
      <c r="QUR3" s="62"/>
      <c r="QUS3" s="62"/>
      <c r="QUT3" s="62"/>
      <c r="QUU3" s="62"/>
      <c r="QUV3" s="62"/>
      <c r="QUW3" s="62"/>
      <c r="QUX3" s="62"/>
      <c r="QUY3" s="62"/>
      <c r="QUZ3" s="62"/>
      <c r="QVA3" s="62"/>
      <c r="QVB3" s="62"/>
      <c r="QVC3" s="62"/>
      <c r="QVD3" s="62"/>
      <c r="QVE3" s="62"/>
      <c r="QVF3" s="62"/>
      <c r="QVG3" s="62"/>
      <c r="QVH3" s="62"/>
      <c r="QVI3" s="62"/>
      <c r="QVJ3" s="62"/>
      <c r="QVK3" s="62"/>
      <c r="QVL3" s="62"/>
      <c r="QVM3" s="62"/>
      <c r="QVN3" s="62"/>
      <c r="QVO3" s="62"/>
      <c r="QVP3" s="62"/>
      <c r="QVQ3" s="62"/>
      <c r="QVR3" s="62"/>
      <c r="QVS3" s="62"/>
      <c r="QVT3" s="62"/>
      <c r="QVU3" s="62"/>
      <c r="QVV3" s="62"/>
      <c r="QVW3" s="62"/>
      <c r="QVX3" s="62"/>
      <c r="QVY3" s="62"/>
      <c r="QVZ3" s="62"/>
      <c r="QWA3" s="62"/>
      <c r="QWB3" s="62"/>
      <c r="QWC3" s="62"/>
      <c r="QWD3" s="62"/>
      <c r="QWE3" s="62"/>
      <c r="QWF3" s="62"/>
      <c r="QWG3" s="62"/>
      <c r="QWH3" s="62"/>
      <c r="QWI3" s="62"/>
      <c r="QWJ3" s="62"/>
      <c r="QWK3" s="62"/>
      <c r="QWL3" s="62"/>
      <c r="QWM3" s="62"/>
      <c r="QWN3" s="62"/>
      <c r="QWO3" s="62"/>
      <c r="QWP3" s="62"/>
      <c r="QWQ3" s="62"/>
      <c r="QWR3" s="62"/>
      <c r="QWS3" s="62"/>
      <c r="QWT3" s="62"/>
      <c r="QWU3" s="62"/>
      <c r="QWV3" s="62"/>
      <c r="QWW3" s="62"/>
      <c r="QWX3" s="62"/>
      <c r="QWY3" s="62"/>
      <c r="QWZ3" s="62"/>
      <c r="QXA3" s="62"/>
      <c r="QXB3" s="62"/>
      <c r="QXC3" s="62"/>
      <c r="QXD3" s="62"/>
      <c r="QXE3" s="62"/>
      <c r="QXF3" s="62"/>
      <c r="QXG3" s="62"/>
      <c r="QXH3" s="62"/>
      <c r="QXI3" s="62"/>
      <c r="QXJ3" s="62"/>
      <c r="QXK3" s="62"/>
      <c r="QXL3" s="62"/>
      <c r="QXM3" s="62"/>
      <c r="QXN3" s="62"/>
      <c r="QXO3" s="62"/>
      <c r="QXP3" s="62"/>
      <c r="QXQ3" s="62"/>
      <c r="QXR3" s="62"/>
      <c r="QXS3" s="62"/>
      <c r="QXT3" s="62"/>
      <c r="QXU3" s="62"/>
      <c r="QXV3" s="62"/>
      <c r="QXW3" s="62"/>
      <c r="QXX3" s="62"/>
      <c r="QXY3" s="62"/>
      <c r="QXZ3" s="62"/>
      <c r="QYA3" s="62"/>
      <c r="QYB3" s="62"/>
      <c r="QYC3" s="62"/>
      <c r="QYD3" s="62"/>
      <c r="QYE3" s="62"/>
      <c r="QYF3" s="62"/>
      <c r="QYG3" s="62"/>
      <c r="QYH3" s="62"/>
      <c r="QYI3" s="62"/>
      <c r="QYJ3" s="62"/>
      <c r="QYK3" s="62"/>
      <c r="QYL3" s="62"/>
      <c r="QYM3" s="62"/>
      <c r="QYN3" s="62"/>
      <c r="QYO3" s="62"/>
      <c r="QYP3" s="62"/>
      <c r="QYQ3" s="62"/>
      <c r="QYR3" s="62"/>
      <c r="QYS3" s="62"/>
      <c r="QYT3" s="62"/>
      <c r="QYU3" s="62"/>
      <c r="QYV3" s="62"/>
      <c r="QYW3" s="62"/>
      <c r="QYX3" s="62"/>
      <c r="QYY3" s="62"/>
      <c r="QYZ3" s="62"/>
      <c r="QZA3" s="62"/>
      <c r="QZB3" s="62"/>
      <c r="QZC3" s="62"/>
      <c r="QZD3" s="62"/>
      <c r="QZE3" s="62"/>
      <c r="QZF3" s="62"/>
      <c r="QZG3" s="62"/>
      <c r="QZH3" s="62"/>
      <c r="QZI3" s="62"/>
      <c r="QZJ3" s="62"/>
      <c r="QZK3" s="62"/>
      <c r="QZL3" s="62"/>
      <c r="QZM3" s="62"/>
      <c r="QZN3" s="62"/>
      <c r="QZO3" s="62"/>
      <c r="QZP3" s="62"/>
      <c r="QZQ3" s="62"/>
      <c r="QZR3" s="62"/>
      <c r="QZS3" s="62"/>
      <c r="QZT3" s="62"/>
      <c r="QZU3" s="62"/>
      <c r="QZV3" s="62"/>
      <c r="QZW3" s="62"/>
      <c r="QZX3" s="62"/>
      <c r="QZY3" s="62"/>
      <c r="QZZ3" s="62"/>
      <c r="RAA3" s="62"/>
      <c r="RAB3" s="62"/>
      <c r="RAC3" s="62"/>
      <c r="RAD3" s="62"/>
      <c r="RAE3" s="62"/>
      <c r="RAF3" s="62"/>
      <c r="RAG3" s="62"/>
      <c r="RAH3" s="62"/>
      <c r="RAI3" s="62"/>
      <c r="RAJ3" s="62"/>
      <c r="RAK3" s="62"/>
      <c r="RAL3" s="62"/>
      <c r="RAM3" s="62"/>
      <c r="RAN3" s="62"/>
      <c r="RAO3" s="62"/>
      <c r="RAP3" s="62"/>
      <c r="RAQ3" s="62"/>
      <c r="RAR3" s="62"/>
      <c r="RAS3" s="62"/>
      <c r="RAT3" s="62"/>
      <c r="RAU3" s="62"/>
      <c r="RAV3" s="62"/>
      <c r="RAW3" s="62"/>
      <c r="RAX3" s="62"/>
      <c r="RAY3" s="62"/>
      <c r="RAZ3" s="62"/>
      <c r="RBA3" s="62"/>
      <c r="RBB3" s="62"/>
      <c r="RBC3" s="62"/>
      <c r="RBD3" s="62"/>
      <c r="RBE3" s="62"/>
      <c r="RBF3" s="62"/>
      <c r="RBG3" s="62"/>
      <c r="RBH3" s="62"/>
      <c r="RBI3" s="62"/>
      <c r="RBJ3" s="62"/>
      <c r="RBK3" s="62"/>
      <c r="RBL3" s="62"/>
      <c r="RBM3" s="62"/>
      <c r="RBN3" s="62"/>
      <c r="RBO3" s="62"/>
      <c r="RBP3" s="62"/>
      <c r="RBQ3" s="62"/>
      <c r="RBR3" s="62"/>
      <c r="RBS3" s="62"/>
      <c r="RBT3" s="62"/>
      <c r="RBU3" s="62"/>
      <c r="RBV3" s="62"/>
      <c r="RBW3" s="62"/>
      <c r="RBX3" s="62"/>
      <c r="RBY3" s="62"/>
      <c r="RBZ3" s="62"/>
      <c r="RCA3" s="62"/>
      <c r="RCB3" s="62"/>
      <c r="RCC3" s="62"/>
      <c r="RCD3" s="62"/>
      <c r="RCE3" s="62"/>
      <c r="RCF3" s="62"/>
      <c r="RCG3" s="62"/>
      <c r="RCH3" s="62"/>
      <c r="RCI3" s="62"/>
      <c r="RCJ3" s="62"/>
      <c r="RCK3" s="62"/>
      <c r="RCL3" s="62"/>
      <c r="RCM3" s="62"/>
      <c r="RCN3" s="62"/>
      <c r="RCO3" s="62"/>
      <c r="RCP3" s="62"/>
      <c r="RCQ3" s="62"/>
      <c r="RCR3" s="62"/>
      <c r="RCS3" s="62"/>
      <c r="RCT3" s="62"/>
      <c r="RCU3" s="62"/>
      <c r="RCV3" s="62"/>
      <c r="RCW3" s="62"/>
      <c r="RCX3" s="62"/>
      <c r="RCY3" s="62"/>
      <c r="RCZ3" s="62"/>
      <c r="RDA3" s="62"/>
      <c r="RDB3" s="62"/>
      <c r="RDC3" s="62"/>
      <c r="RDD3" s="62"/>
      <c r="RDE3" s="62"/>
      <c r="RDF3" s="62"/>
      <c r="RDG3" s="62"/>
      <c r="RDH3" s="62"/>
      <c r="RDI3" s="62"/>
      <c r="RDJ3" s="62"/>
      <c r="RDK3" s="62"/>
      <c r="RDL3" s="62"/>
      <c r="RDM3" s="62"/>
      <c r="RDN3" s="62"/>
      <c r="RDO3" s="62"/>
      <c r="RDP3" s="62"/>
      <c r="RDQ3" s="62"/>
      <c r="RDR3" s="62"/>
      <c r="RDS3" s="62"/>
      <c r="RDT3" s="62"/>
      <c r="RDU3" s="62"/>
      <c r="RDV3" s="62"/>
      <c r="RDW3" s="62"/>
      <c r="RDX3" s="62"/>
      <c r="RDY3" s="62"/>
      <c r="RDZ3" s="62"/>
      <c r="REA3" s="62"/>
      <c r="REB3" s="62"/>
      <c r="REC3" s="62"/>
      <c r="RED3" s="62"/>
      <c r="REE3" s="62"/>
      <c r="REF3" s="62"/>
      <c r="REG3" s="62"/>
      <c r="REH3" s="62"/>
      <c r="REI3" s="62"/>
      <c r="REJ3" s="62"/>
      <c r="REK3" s="62"/>
      <c r="REL3" s="62"/>
      <c r="REM3" s="62"/>
      <c r="REN3" s="62"/>
      <c r="REO3" s="62"/>
      <c r="REP3" s="62"/>
      <c r="REQ3" s="62"/>
      <c r="RER3" s="62"/>
      <c r="RES3" s="62"/>
      <c r="RET3" s="62"/>
      <c r="REU3" s="62"/>
      <c r="REV3" s="62"/>
      <c r="REW3" s="62"/>
      <c r="REX3" s="62"/>
      <c r="REY3" s="62"/>
      <c r="REZ3" s="62"/>
      <c r="RFA3" s="62"/>
      <c r="RFB3" s="62"/>
      <c r="RFC3" s="62"/>
      <c r="RFD3" s="62"/>
      <c r="RFE3" s="62"/>
      <c r="RFF3" s="62"/>
      <c r="RFG3" s="62"/>
      <c r="RFH3" s="62"/>
      <c r="RFI3" s="62"/>
      <c r="RFJ3" s="62"/>
      <c r="RFK3" s="62"/>
      <c r="RFL3" s="62"/>
      <c r="RFM3" s="62"/>
      <c r="RFN3" s="62"/>
      <c r="RFO3" s="62"/>
      <c r="RFP3" s="62"/>
      <c r="RFQ3" s="62"/>
      <c r="RFR3" s="62"/>
      <c r="RFS3" s="62"/>
      <c r="RFT3" s="62"/>
      <c r="RFU3" s="62"/>
      <c r="RFV3" s="62"/>
      <c r="RFW3" s="62"/>
      <c r="RFX3" s="62"/>
      <c r="RFY3" s="62"/>
      <c r="RFZ3" s="62"/>
      <c r="RGA3" s="62"/>
      <c r="RGB3" s="62"/>
      <c r="RGC3" s="62"/>
      <c r="RGD3" s="62"/>
      <c r="RGE3" s="62"/>
      <c r="RGF3" s="62"/>
      <c r="RGG3" s="62"/>
      <c r="RGH3" s="62"/>
      <c r="RGI3" s="62"/>
      <c r="RGJ3" s="62"/>
      <c r="RGK3" s="62"/>
      <c r="RGL3" s="62"/>
      <c r="RGM3" s="62"/>
      <c r="RGN3" s="62"/>
      <c r="RGO3" s="62"/>
      <c r="RGP3" s="62"/>
      <c r="RGQ3" s="62"/>
      <c r="RGR3" s="62"/>
      <c r="RGS3" s="62"/>
      <c r="RGT3" s="62"/>
      <c r="RGU3" s="62"/>
      <c r="RGV3" s="62"/>
      <c r="RGW3" s="62"/>
      <c r="RGX3" s="62"/>
      <c r="RGY3" s="62"/>
      <c r="RGZ3" s="62"/>
      <c r="RHA3" s="62"/>
      <c r="RHB3" s="62"/>
      <c r="RHC3" s="62"/>
      <c r="RHD3" s="62"/>
      <c r="RHE3" s="62"/>
      <c r="RHF3" s="62"/>
      <c r="RHG3" s="62"/>
      <c r="RHH3" s="62"/>
      <c r="RHI3" s="62"/>
      <c r="RHJ3" s="62"/>
      <c r="RHK3" s="62"/>
      <c r="RHL3" s="62"/>
      <c r="RHM3" s="62"/>
      <c r="RHN3" s="62"/>
      <c r="RHO3" s="62"/>
      <c r="RHP3" s="62"/>
      <c r="RHQ3" s="62"/>
      <c r="RHR3" s="62"/>
      <c r="RHS3" s="62"/>
      <c r="RHT3" s="62"/>
      <c r="RHU3" s="62"/>
      <c r="RHV3" s="62"/>
      <c r="RHW3" s="62"/>
      <c r="RHX3" s="62"/>
      <c r="RHY3" s="62"/>
      <c r="RHZ3" s="62"/>
      <c r="RIA3" s="62"/>
      <c r="RIB3" s="62"/>
      <c r="RIC3" s="62"/>
      <c r="RID3" s="62"/>
      <c r="RIE3" s="62"/>
      <c r="RIF3" s="62"/>
      <c r="RIG3" s="62"/>
      <c r="RIH3" s="62"/>
      <c r="RII3" s="62"/>
      <c r="RIJ3" s="62"/>
      <c r="RIK3" s="62"/>
      <c r="RIL3" s="62"/>
      <c r="RIM3" s="62"/>
      <c r="RIN3" s="62"/>
      <c r="RIO3" s="62"/>
      <c r="RIP3" s="62"/>
      <c r="RIQ3" s="62"/>
      <c r="RIR3" s="62"/>
      <c r="RIS3" s="62"/>
      <c r="RIT3" s="62"/>
      <c r="RIU3" s="62"/>
      <c r="RIV3" s="62"/>
      <c r="RIW3" s="62"/>
      <c r="RIX3" s="62"/>
      <c r="RIY3" s="62"/>
      <c r="RIZ3" s="62"/>
      <c r="RJA3" s="62"/>
      <c r="RJB3" s="62"/>
      <c r="RJC3" s="62"/>
      <c r="RJD3" s="62"/>
      <c r="RJE3" s="62"/>
      <c r="RJF3" s="62"/>
      <c r="RJG3" s="62"/>
      <c r="RJH3" s="62"/>
      <c r="RJI3" s="62"/>
      <c r="RJJ3" s="62"/>
      <c r="RJK3" s="62"/>
      <c r="RJL3" s="62"/>
      <c r="RJM3" s="62"/>
      <c r="RJN3" s="62"/>
      <c r="RJO3" s="62"/>
      <c r="RJP3" s="62"/>
      <c r="RJQ3" s="62"/>
      <c r="RJR3" s="62"/>
      <c r="RJS3" s="62"/>
      <c r="RJT3" s="62"/>
      <c r="RJU3" s="62"/>
      <c r="RJV3" s="62"/>
      <c r="RJW3" s="62"/>
      <c r="RJX3" s="62"/>
      <c r="RJY3" s="62"/>
      <c r="RJZ3" s="62"/>
      <c r="RKA3" s="62"/>
      <c r="RKB3" s="62"/>
      <c r="RKC3" s="62"/>
      <c r="RKD3" s="62"/>
      <c r="RKE3" s="62"/>
      <c r="RKF3" s="62"/>
      <c r="RKG3" s="62"/>
      <c r="RKH3" s="62"/>
      <c r="RKI3" s="62"/>
      <c r="RKJ3" s="62"/>
      <c r="RKK3" s="62"/>
      <c r="RKL3" s="62"/>
      <c r="RKM3" s="62"/>
      <c r="RKN3" s="62"/>
      <c r="RKO3" s="62"/>
      <c r="RKP3" s="62"/>
      <c r="RKQ3" s="62"/>
      <c r="RKR3" s="62"/>
      <c r="RKS3" s="62"/>
      <c r="RKT3" s="62"/>
      <c r="RKU3" s="62"/>
      <c r="RKV3" s="62"/>
      <c r="RKW3" s="62"/>
      <c r="RKX3" s="62"/>
      <c r="RKY3" s="62"/>
      <c r="RKZ3" s="62"/>
      <c r="RLA3" s="62"/>
      <c r="RLB3" s="62"/>
      <c r="RLC3" s="62"/>
      <c r="RLD3" s="62"/>
      <c r="RLE3" s="62"/>
      <c r="RLF3" s="62"/>
      <c r="RLG3" s="62"/>
      <c r="RLH3" s="62"/>
      <c r="RLI3" s="62"/>
      <c r="RLJ3" s="62"/>
      <c r="RLK3" s="62"/>
      <c r="RLL3" s="62"/>
      <c r="RLM3" s="62"/>
      <c r="RLN3" s="62"/>
      <c r="RLO3" s="62"/>
      <c r="RLP3" s="62"/>
      <c r="RLQ3" s="62"/>
      <c r="RLR3" s="62"/>
      <c r="RLS3" s="62"/>
      <c r="RLT3" s="62"/>
      <c r="RLU3" s="62"/>
      <c r="RLV3" s="62"/>
      <c r="RLW3" s="62"/>
      <c r="RLX3" s="62"/>
      <c r="RLY3" s="62"/>
      <c r="RLZ3" s="62"/>
      <c r="RMA3" s="62"/>
      <c r="RMB3" s="62"/>
      <c r="RMC3" s="62"/>
      <c r="RMD3" s="62"/>
      <c r="RME3" s="62"/>
      <c r="RMF3" s="62"/>
      <c r="RMG3" s="62"/>
      <c r="RMH3" s="62"/>
      <c r="RMI3" s="62"/>
      <c r="RMJ3" s="62"/>
      <c r="RMK3" s="62"/>
      <c r="RML3" s="62"/>
      <c r="RMM3" s="62"/>
      <c r="RMN3" s="62"/>
      <c r="RMO3" s="62"/>
      <c r="RMP3" s="62"/>
      <c r="RMQ3" s="62"/>
      <c r="RMR3" s="62"/>
      <c r="RMS3" s="62"/>
      <c r="RMT3" s="62"/>
      <c r="RMU3" s="62"/>
      <c r="RMV3" s="62"/>
      <c r="RMW3" s="62"/>
      <c r="RMX3" s="62"/>
      <c r="RMY3" s="62"/>
      <c r="RMZ3" s="62"/>
      <c r="RNA3" s="62"/>
      <c r="RNB3" s="62"/>
      <c r="RNC3" s="62"/>
      <c r="RND3" s="62"/>
      <c r="RNE3" s="62"/>
      <c r="RNF3" s="62"/>
      <c r="RNG3" s="62"/>
      <c r="RNH3" s="62"/>
      <c r="RNI3" s="62"/>
      <c r="RNJ3" s="62"/>
      <c r="RNK3" s="62"/>
      <c r="RNL3" s="62"/>
      <c r="RNM3" s="62"/>
      <c r="RNN3" s="62"/>
      <c r="RNO3" s="62"/>
      <c r="RNP3" s="62"/>
      <c r="RNQ3" s="62"/>
      <c r="RNR3" s="62"/>
      <c r="RNS3" s="62"/>
      <c r="RNT3" s="62"/>
      <c r="RNU3" s="62"/>
      <c r="RNV3" s="62"/>
      <c r="RNW3" s="62"/>
      <c r="RNX3" s="62"/>
      <c r="RNY3" s="62"/>
      <c r="RNZ3" s="62"/>
      <c r="ROA3" s="62"/>
      <c r="ROB3" s="62"/>
      <c r="ROC3" s="62"/>
      <c r="ROD3" s="62"/>
      <c r="ROE3" s="62"/>
      <c r="ROF3" s="62"/>
      <c r="ROG3" s="62"/>
      <c r="ROH3" s="62"/>
      <c r="ROI3" s="62"/>
      <c r="ROJ3" s="62"/>
      <c r="ROK3" s="62"/>
      <c r="ROL3" s="62"/>
      <c r="ROM3" s="62"/>
      <c r="RON3" s="62"/>
      <c r="ROO3" s="62"/>
      <c r="ROP3" s="62"/>
      <c r="ROQ3" s="62"/>
      <c r="ROR3" s="62"/>
      <c r="ROS3" s="62"/>
      <c r="ROT3" s="62"/>
      <c r="ROU3" s="62"/>
      <c r="ROV3" s="62"/>
      <c r="ROW3" s="62"/>
      <c r="ROX3" s="62"/>
      <c r="ROY3" s="62"/>
      <c r="ROZ3" s="62"/>
      <c r="RPA3" s="62"/>
      <c r="RPB3" s="62"/>
      <c r="RPC3" s="62"/>
      <c r="RPD3" s="62"/>
      <c r="RPE3" s="62"/>
      <c r="RPF3" s="62"/>
      <c r="RPG3" s="62"/>
      <c r="RPH3" s="62"/>
      <c r="RPI3" s="62"/>
      <c r="RPJ3" s="62"/>
      <c r="RPK3" s="62"/>
      <c r="RPL3" s="62"/>
      <c r="RPM3" s="62"/>
      <c r="RPN3" s="62"/>
      <c r="RPO3" s="62"/>
      <c r="RPP3" s="62"/>
      <c r="RPQ3" s="62"/>
      <c r="RPR3" s="62"/>
      <c r="RPS3" s="62"/>
      <c r="RPT3" s="62"/>
      <c r="RPU3" s="62"/>
      <c r="RPV3" s="62"/>
      <c r="RPW3" s="62"/>
      <c r="RPX3" s="62"/>
      <c r="RPY3" s="62"/>
      <c r="RPZ3" s="62"/>
      <c r="RQA3" s="62"/>
      <c r="RQB3" s="62"/>
      <c r="RQC3" s="62"/>
      <c r="RQD3" s="62"/>
      <c r="RQE3" s="62"/>
      <c r="RQF3" s="62"/>
      <c r="RQG3" s="62"/>
      <c r="RQH3" s="62"/>
      <c r="RQI3" s="62"/>
      <c r="RQJ3" s="62"/>
      <c r="RQK3" s="62"/>
      <c r="RQL3" s="62"/>
      <c r="RQM3" s="62"/>
      <c r="RQN3" s="62"/>
      <c r="RQO3" s="62"/>
      <c r="RQP3" s="62"/>
      <c r="RQQ3" s="62"/>
      <c r="RQR3" s="62"/>
      <c r="RQS3" s="62"/>
      <c r="RQT3" s="62"/>
      <c r="RQU3" s="62"/>
      <c r="RQV3" s="62"/>
      <c r="RQW3" s="62"/>
      <c r="RQX3" s="62"/>
      <c r="RQY3" s="62"/>
      <c r="RQZ3" s="62"/>
      <c r="RRA3" s="62"/>
      <c r="RRB3" s="62"/>
      <c r="RRC3" s="62"/>
      <c r="RRD3" s="62"/>
      <c r="RRE3" s="62"/>
      <c r="RRF3" s="62"/>
      <c r="RRG3" s="62"/>
      <c r="RRH3" s="62"/>
      <c r="RRI3" s="62"/>
      <c r="RRJ3" s="62"/>
      <c r="RRK3" s="62"/>
      <c r="RRL3" s="62"/>
      <c r="RRM3" s="62"/>
      <c r="RRN3" s="62"/>
      <c r="RRO3" s="62"/>
      <c r="RRP3" s="62"/>
      <c r="RRQ3" s="62"/>
      <c r="RRR3" s="62"/>
      <c r="RRS3" s="62"/>
      <c r="RRT3" s="62"/>
      <c r="RRU3" s="62"/>
      <c r="RRV3" s="62"/>
      <c r="RRW3" s="62"/>
      <c r="RRX3" s="62"/>
      <c r="RRY3" s="62"/>
      <c r="RRZ3" s="62"/>
      <c r="RSA3" s="62"/>
      <c r="RSB3" s="62"/>
      <c r="RSC3" s="62"/>
      <c r="RSD3" s="62"/>
      <c r="RSE3" s="62"/>
      <c r="RSF3" s="62"/>
      <c r="RSG3" s="62"/>
      <c r="RSH3" s="62"/>
      <c r="RSI3" s="62"/>
      <c r="RSJ3" s="62"/>
      <c r="RSK3" s="62"/>
      <c r="RSL3" s="62"/>
      <c r="RSM3" s="62"/>
      <c r="RSN3" s="62"/>
      <c r="RSO3" s="62"/>
      <c r="RSP3" s="62"/>
      <c r="RSQ3" s="62"/>
      <c r="RSR3" s="62"/>
      <c r="RSS3" s="62"/>
      <c r="RST3" s="62"/>
      <c r="RSU3" s="62"/>
      <c r="RSV3" s="62"/>
      <c r="RSW3" s="62"/>
      <c r="RSX3" s="62"/>
      <c r="RSY3" s="62"/>
      <c r="RSZ3" s="62"/>
      <c r="RTA3" s="62"/>
      <c r="RTB3" s="62"/>
      <c r="RTC3" s="62"/>
      <c r="RTD3" s="62"/>
      <c r="RTE3" s="62"/>
      <c r="RTF3" s="62"/>
      <c r="RTG3" s="62"/>
      <c r="RTH3" s="62"/>
      <c r="RTI3" s="62"/>
      <c r="RTJ3" s="62"/>
      <c r="RTK3" s="62"/>
      <c r="RTL3" s="62"/>
      <c r="RTM3" s="62"/>
      <c r="RTN3" s="62"/>
      <c r="RTO3" s="62"/>
      <c r="RTP3" s="62"/>
      <c r="RTQ3" s="62"/>
      <c r="RTR3" s="62"/>
      <c r="RTS3" s="62"/>
      <c r="RTT3" s="62"/>
      <c r="RTU3" s="62"/>
      <c r="RTV3" s="62"/>
      <c r="RTW3" s="62"/>
      <c r="RTX3" s="62"/>
      <c r="RTY3" s="62"/>
      <c r="RTZ3" s="62"/>
      <c r="RUA3" s="62"/>
      <c r="RUB3" s="62"/>
      <c r="RUC3" s="62"/>
      <c r="RUD3" s="62"/>
      <c r="RUE3" s="62"/>
      <c r="RUF3" s="62"/>
      <c r="RUG3" s="62"/>
      <c r="RUH3" s="62"/>
      <c r="RUI3" s="62"/>
      <c r="RUJ3" s="62"/>
      <c r="RUK3" s="62"/>
      <c r="RUL3" s="62"/>
      <c r="RUM3" s="62"/>
      <c r="RUN3" s="62"/>
      <c r="RUO3" s="62"/>
      <c r="RUP3" s="62"/>
      <c r="RUQ3" s="62"/>
      <c r="RUR3" s="62"/>
      <c r="RUS3" s="62"/>
      <c r="RUT3" s="62"/>
      <c r="RUU3" s="62"/>
      <c r="RUV3" s="62"/>
      <c r="RUW3" s="62"/>
      <c r="RUX3" s="62"/>
      <c r="RUY3" s="62"/>
      <c r="RUZ3" s="62"/>
      <c r="RVA3" s="62"/>
      <c r="RVB3" s="62"/>
      <c r="RVC3" s="62"/>
      <c r="RVD3" s="62"/>
      <c r="RVE3" s="62"/>
      <c r="RVF3" s="62"/>
      <c r="RVG3" s="62"/>
      <c r="RVH3" s="62"/>
      <c r="RVI3" s="62"/>
      <c r="RVJ3" s="62"/>
      <c r="RVK3" s="62"/>
      <c r="RVL3" s="62"/>
      <c r="RVM3" s="62"/>
      <c r="RVN3" s="62"/>
      <c r="RVO3" s="62"/>
      <c r="RVP3" s="62"/>
      <c r="RVQ3" s="62"/>
      <c r="RVR3" s="62"/>
      <c r="RVS3" s="62"/>
      <c r="RVT3" s="62"/>
      <c r="RVU3" s="62"/>
      <c r="RVV3" s="62"/>
      <c r="RVW3" s="62"/>
      <c r="RVX3" s="62"/>
      <c r="RVY3" s="62"/>
      <c r="RVZ3" s="62"/>
      <c r="RWA3" s="62"/>
      <c r="RWB3" s="62"/>
      <c r="RWC3" s="62"/>
      <c r="RWD3" s="62"/>
      <c r="RWE3" s="62"/>
      <c r="RWF3" s="62"/>
      <c r="RWG3" s="62"/>
      <c r="RWH3" s="62"/>
      <c r="RWI3" s="62"/>
      <c r="RWJ3" s="62"/>
      <c r="RWK3" s="62"/>
      <c r="RWL3" s="62"/>
      <c r="RWM3" s="62"/>
      <c r="RWN3" s="62"/>
      <c r="RWO3" s="62"/>
      <c r="RWP3" s="62"/>
      <c r="RWQ3" s="62"/>
      <c r="RWR3" s="62"/>
      <c r="RWS3" s="62"/>
      <c r="RWT3" s="62"/>
      <c r="RWU3" s="62"/>
      <c r="RWV3" s="62"/>
      <c r="RWW3" s="62"/>
      <c r="RWX3" s="62"/>
      <c r="RWY3" s="62"/>
      <c r="RWZ3" s="62"/>
      <c r="RXA3" s="62"/>
      <c r="RXB3" s="62"/>
      <c r="RXC3" s="62"/>
      <c r="RXD3" s="62"/>
      <c r="RXE3" s="62"/>
      <c r="RXF3" s="62"/>
      <c r="RXG3" s="62"/>
      <c r="RXH3" s="62"/>
      <c r="RXI3" s="62"/>
      <c r="RXJ3" s="62"/>
      <c r="RXK3" s="62"/>
      <c r="RXL3" s="62"/>
      <c r="RXM3" s="62"/>
      <c r="RXN3" s="62"/>
      <c r="RXO3" s="62"/>
      <c r="RXP3" s="62"/>
      <c r="RXQ3" s="62"/>
      <c r="RXR3" s="62"/>
      <c r="RXS3" s="62"/>
      <c r="RXT3" s="62"/>
      <c r="RXU3" s="62"/>
      <c r="RXV3" s="62"/>
      <c r="RXW3" s="62"/>
      <c r="RXX3" s="62"/>
      <c r="RXY3" s="62"/>
      <c r="RXZ3" s="62"/>
      <c r="RYA3" s="62"/>
      <c r="RYB3" s="62"/>
      <c r="RYC3" s="62"/>
      <c r="RYD3" s="62"/>
      <c r="RYE3" s="62"/>
      <c r="RYF3" s="62"/>
      <c r="RYG3" s="62"/>
      <c r="RYH3" s="62"/>
      <c r="RYI3" s="62"/>
      <c r="RYJ3" s="62"/>
      <c r="RYK3" s="62"/>
      <c r="RYL3" s="62"/>
      <c r="RYM3" s="62"/>
      <c r="RYN3" s="62"/>
      <c r="RYO3" s="62"/>
      <c r="RYP3" s="62"/>
      <c r="RYQ3" s="62"/>
      <c r="RYR3" s="62"/>
      <c r="RYS3" s="62"/>
      <c r="RYT3" s="62"/>
      <c r="RYU3" s="62"/>
      <c r="RYV3" s="62"/>
      <c r="RYW3" s="62"/>
      <c r="RYX3" s="62"/>
      <c r="RYY3" s="62"/>
      <c r="RYZ3" s="62"/>
      <c r="RZA3" s="62"/>
      <c r="RZB3" s="62"/>
      <c r="RZC3" s="62"/>
      <c r="RZD3" s="62"/>
      <c r="RZE3" s="62"/>
      <c r="RZF3" s="62"/>
      <c r="RZG3" s="62"/>
      <c r="RZH3" s="62"/>
      <c r="RZI3" s="62"/>
      <c r="RZJ3" s="62"/>
      <c r="RZK3" s="62"/>
      <c r="RZL3" s="62"/>
      <c r="RZM3" s="62"/>
      <c r="RZN3" s="62"/>
      <c r="RZO3" s="62"/>
      <c r="RZP3" s="62"/>
      <c r="RZQ3" s="62"/>
      <c r="RZR3" s="62"/>
      <c r="RZS3" s="62"/>
      <c r="RZT3" s="62"/>
      <c r="RZU3" s="62"/>
      <c r="RZV3" s="62"/>
      <c r="RZW3" s="62"/>
      <c r="RZX3" s="62"/>
      <c r="RZY3" s="62"/>
      <c r="RZZ3" s="62"/>
      <c r="SAA3" s="62"/>
      <c r="SAB3" s="62"/>
      <c r="SAC3" s="62"/>
      <c r="SAD3" s="62"/>
      <c r="SAE3" s="62"/>
      <c r="SAF3" s="62"/>
      <c r="SAG3" s="62"/>
      <c r="SAH3" s="62"/>
      <c r="SAI3" s="62"/>
      <c r="SAJ3" s="62"/>
      <c r="SAK3" s="62"/>
      <c r="SAL3" s="62"/>
      <c r="SAM3" s="62"/>
      <c r="SAN3" s="62"/>
      <c r="SAO3" s="62"/>
      <c r="SAP3" s="62"/>
      <c r="SAQ3" s="62"/>
      <c r="SAR3" s="62"/>
      <c r="SAS3" s="62"/>
      <c r="SAT3" s="62"/>
      <c r="SAU3" s="62"/>
      <c r="SAV3" s="62"/>
      <c r="SAW3" s="62"/>
      <c r="SAX3" s="62"/>
      <c r="SAY3" s="62"/>
      <c r="SAZ3" s="62"/>
      <c r="SBA3" s="62"/>
      <c r="SBB3" s="62"/>
      <c r="SBC3" s="62"/>
      <c r="SBD3" s="62"/>
      <c r="SBE3" s="62"/>
      <c r="SBF3" s="62"/>
      <c r="SBG3" s="62"/>
      <c r="SBH3" s="62"/>
      <c r="SBI3" s="62"/>
      <c r="SBJ3" s="62"/>
      <c r="SBK3" s="62"/>
      <c r="SBL3" s="62"/>
      <c r="SBM3" s="62"/>
      <c r="SBN3" s="62"/>
      <c r="SBO3" s="62"/>
      <c r="SBP3" s="62"/>
      <c r="SBQ3" s="62"/>
      <c r="SBR3" s="62"/>
      <c r="SBS3" s="62"/>
      <c r="SBT3" s="62"/>
      <c r="SBU3" s="62"/>
      <c r="SBV3" s="62"/>
      <c r="SBW3" s="62"/>
      <c r="SBX3" s="62"/>
      <c r="SBY3" s="62"/>
      <c r="SBZ3" s="62"/>
      <c r="SCA3" s="62"/>
      <c r="SCB3" s="62"/>
      <c r="SCC3" s="62"/>
      <c r="SCD3" s="62"/>
      <c r="SCE3" s="62"/>
      <c r="SCF3" s="62"/>
      <c r="SCG3" s="62"/>
      <c r="SCH3" s="62"/>
      <c r="SCI3" s="62"/>
      <c r="SCJ3" s="62"/>
      <c r="SCK3" s="62"/>
      <c r="SCL3" s="62"/>
      <c r="SCM3" s="62"/>
      <c r="SCN3" s="62"/>
      <c r="SCO3" s="62"/>
      <c r="SCP3" s="62"/>
      <c r="SCQ3" s="62"/>
      <c r="SCR3" s="62"/>
      <c r="SCS3" s="62"/>
      <c r="SCT3" s="62"/>
      <c r="SCU3" s="62"/>
      <c r="SCV3" s="62"/>
      <c r="SCW3" s="62"/>
      <c r="SCX3" s="62"/>
      <c r="SCY3" s="62"/>
      <c r="SCZ3" s="62"/>
      <c r="SDA3" s="62"/>
      <c r="SDB3" s="62"/>
      <c r="SDC3" s="62"/>
      <c r="SDD3" s="62"/>
      <c r="SDE3" s="62"/>
      <c r="SDF3" s="62"/>
      <c r="SDG3" s="62"/>
      <c r="SDH3" s="62"/>
      <c r="SDI3" s="62"/>
      <c r="SDJ3" s="62"/>
      <c r="SDK3" s="62"/>
      <c r="SDL3" s="62"/>
      <c r="SDM3" s="62"/>
      <c r="SDN3" s="62"/>
      <c r="SDO3" s="62"/>
      <c r="SDP3" s="62"/>
      <c r="SDQ3" s="62"/>
      <c r="SDR3" s="62"/>
      <c r="SDS3" s="62"/>
      <c r="SDT3" s="62"/>
      <c r="SDU3" s="62"/>
      <c r="SDV3" s="62"/>
      <c r="SDW3" s="62"/>
      <c r="SDX3" s="62"/>
      <c r="SDY3" s="62"/>
      <c r="SDZ3" s="62"/>
      <c r="SEA3" s="62"/>
      <c r="SEB3" s="62"/>
      <c r="SEC3" s="62"/>
      <c r="SED3" s="62"/>
      <c r="SEE3" s="62"/>
      <c r="SEF3" s="62"/>
      <c r="SEG3" s="62"/>
      <c r="SEH3" s="62"/>
      <c r="SEI3" s="62"/>
      <c r="SEJ3" s="62"/>
      <c r="SEK3" s="62"/>
      <c r="SEL3" s="62"/>
      <c r="SEM3" s="62"/>
      <c r="SEN3" s="62"/>
      <c r="SEO3" s="62"/>
      <c r="SEP3" s="62"/>
      <c r="SEQ3" s="62"/>
      <c r="SER3" s="62"/>
      <c r="SES3" s="62"/>
      <c r="SET3" s="62"/>
      <c r="SEU3" s="62"/>
      <c r="SEV3" s="62"/>
      <c r="SEW3" s="62"/>
      <c r="SEX3" s="62"/>
      <c r="SEY3" s="62"/>
      <c r="SEZ3" s="62"/>
      <c r="SFA3" s="62"/>
      <c r="SFB3" s="62"/>
      <c r="SFC3" s="62"/>
      <c r="SFD3" s="62"/>
      <c r="SFE3" s="62"/>
      <c r="SFF3" s="62"/>
      <c r="SFG3" s="62"/>
      <c r="SFH3" s="62"/>
      <c r="SFI3" s="62"/>
      <c r="SFJ3" s="62"/>
      <c r="SFK3" s="62"/>
      <c r="SFL3" s="62"/>
      <c r="SFM3" s="62"/>
      <c r="SFN3" s="62"/>
      <c r="SFO3" s="62"/>
      <c r="SFP3" s="62"/>
      <c r="SFQ3" s="62"/>
      <c r="SFR3" s="62"/>
      <c r="SFS3" s="62"/>
      <c r="SFT3" s="62"/>
      <c r="SFU3" s="62"/>
      <c r="SFV3" s="62"/>
      <c r="SFW3" s="62"/>
      <c r="SFX3" s="62"/>
      <c r="SFY3" s="62"/>
      <c r="SFZ3" s="62"/>
      <c r="SGA3" s="62"/>
      <c r="SGB3" s="62"/>
      <c r="SGC3" s="62"/>
      <c r="SGD3" s="62"/>
      <c r="SGE3" s="62"/>
      <c r="SGF3" s="62"/>
      <c r="SGG3" s="62"/>
      <c r="SGH3" s="62"/>
      <c r="SGI3" s="62"/>
      <c r="SGJ3" s="62"/>
      <c r="SGK3" s="62"/>
      <c r="SGL3" s="62"/>
      <c r="SGM3" s="62"/>
      <c r="SGN3" s="62"/>
      <c r="SGO3" s="62"/>
      <c r="SGP3" s="62"/>
      <c r="SGQ3" s="62"/>
      <c r="SGR3" s="62"/>
      <c r="SGS3" s="62"/>
      <c r="SGT3" s="62"/>
      <c r="SGU3" s="62"/>
      <c r="SGV3" s="62"/>
      <c r="SGW3" s="62"/>
      <c r="SGX3" s="62"/>
      <c r="SGY3" s="62"/>
      <c r="SGZ3" s="62"/>
      <c r="SHA3" s="62"/>
      <c r="SHB3" s="62"/>
      <c r="SHC3" s="62"/>
      <c r="SHD3" s="62"/>
      <c r="SHE3" s="62"/>
      <c r="SHF3" s="62"/>
      <c r="SHG3" s="62"/>
      <c r="SHH3" s="62"/>
      <c r="SHI3" s="62"/>
      <c r="SHJ3" s="62"/>
      <c r="SHK3" s="62"/>
      <c r="SHL3" s="62"/>
      <c r="SHM3" s="62"/>
      <c r="SHN3" s="62"/>
      <c r="SHO3" s="62"/>
      <c r="SHP3" s="62"/>
      <c r="SHQ3" s="62"/>
      <c r="SHR3" s="62"/>
      <c r="SHS3" s="62"/>
      <c r="SHT3" s="62"/>
      <c r="SHU3" s="62"/>
      <c r="SHV3" s="62"/>
      <c r="SHW3" s="62"/>
      <c r="SHX3" s="62"/>
      <c r="SHY3" s="62"/>
      <c r="SHZ3" s="62"/>
      <c r="SIA3" s="62"/>
      <c r="SIB3" s="62"/>
      <c r="SIC3" s="62"/>
      <c r="SID3" s="62"/>
      <c r="SIE3" s="62"/>
      <c r="SIF3" s="62"/>
      <c r="SIG3" s="62"/>
      <c r="SIH3" s="62"/>
      <c r="SII3" s="62"/>
      <c r="SIJ3" s="62"/>
      <c r="SIK3" s="62"/>
      <c r="SIL3" s="62"/>
      <c r="SIM3" s="62"/>
      <c r="SIN3" s="62"/>
      <c r="SIO3" s="62"/>
      <c r="SIP3" s="62"/>
      <c r="SIQ3" s="62"/>
      <c r="SIR3" s="62"/>
      <c r="SIS3" s="62"/>
      <c r="SIT3" s="62"/>
      <c r="SIU3" s="62"/>
      <c r="SIV3" s="62"/>
      <c r="SIW3" s="62"/>
      <c r="SIX3" s="62"/>
      <c r="SIY3" s="62"/>
      <c r="SIZ3" s="62"/>
      <c r="SJA3" s="62"/>
      <c r="SJB3" s="62"/>
      <c r="SJC3" s="62"/>
      <c r="SJD3" s="62"/>
      <c r="SJE3" s="62"/>
      <c r="SJF3" s="62"/>
      <c r="SJG3" s="62"/>
      <c r="SJH3" s="62"/>
      <c r="SJI3" s="62"/>
      <c r="SJJ3" s="62"/>
      <c r="SJK3" s="62"/>
      <c r="SJL3" s="62"/>
      <c r="SJM3" s="62"/>
      <c r="SJN3" s="62"/>
      <c r="SJO3" s="62"/>
      <c r="SJP3" s="62"/>
      <c r="SJQ3" s="62"/>
      <c r="SJR3" s="62"/>
      <c r="SJS3" s="62"/>
      <c r="SJT3" s="62"/>
      <c r="SJU3" s="62"/>
      <c r="SJV3" s="62"/>
      <c r="SJW3" s="62"/>
      <c r="SJX3" s="62"/>
      <c r="SJY3" s="62"/>
      <c r="SJZ3" s="62"/>
      <c r="SKA3" s="62"/>
      <c r="SKB3" s="62"/>
      <c r="SKC3" s="62"/>
      <c r="SKD3" s="62"/>
      <c r="SKE3" s="62"/>
      <c r="SKF3" s="62"/>
      <c r="SKG3" s="62"/>
      <c r="SKH3" s="62"/>
      <c r="SKI3" s="62"/>
      <c r="SKJ3" s="62"/>
      <c r="SKK3" s="62"/>
      <c r="SKL3" s="62"/>
      <c r="SKM3" s="62"/>
      <c r="SKN3" s="62"/>
      <c r="SKO3" s="62"/>
      <c r="SKP3" s="62"/>
      <c r="SKQ3" s="62"/>
      <c r="SKR3" s="62"/>
      <c r="SKS3" s="62"/>
      <c r="SKT3" s="62"/>
      <c r="SKU3" s="62"/>
      <c r="SKV3" s="62"/>
      <c r="SKW3" s="62"/>
      <c r="SKX3" s="62"/>
      <c r="SKY3" s="62"/>
      <c r="SKZ3" s="62"/>
      <c r="SLA3" s="62"/>
      <c r="SLB3" s="62"/>
      <c r="SLC3" s="62"/>
      <c r="SLD3" s="62"/>
      <c r="SLE3" s="62"/>
      <c r="SLF3" s="62"/>
      <c r="SLG3" s="62"/>
      <c r="SLH3" s="62"/>
      <c r="SLI3" s="62"/>
      <c r="SLJ3" s="62"/>
      <c r="SLK3" s="62"/>
      <c r="SLL3" s="62"/>
      <c r="SLM3" s="62"/>
      <c r="SLN3" s="62"/>
      <c r="SLO3" s="62"/>
      <c r="SLP3" s="62"/>
      <c r="SLQ3" s="62"/>
      <c r="SLR3" s="62"/>
      <c r="SLS3" s="62"/>
      <c r="SLT3" s="62"/>
      <c r="SLU3" s="62"/>
      <c r="SLV3" s="62"/>
      <c r="SLW3" s="62"/>
      <c r="SLX3" s="62"/>
      <c r="SLY3" s="62"/>
      <c r="SLZ3" s="62"/>
      <c r="SMA3" s="62"/>
      <c r="SMB3" s="62"/>
      <c r="SMC3" s="62"/>
      <c r="SMD3" s="62"/>
      <c r="SME3" s="62"/>
      <c r="SMF3" s="62"/>
      <c r="SMG3" s="62"/>
      <c r="SMH3" s="62"/>
      <c r="SMI3" s="62"/>
      <c r="SMJ3" s="62"/>
      <c r="SMK3" s="62"/>
      <c r="SML3" s="62"/>
      <c r="SMM3" s="62"/>
      <c r="SMN3" s="62"/>
      <c r="SMO3" s="62"/>
      <c r="SMP3" s="62"/>
      <c r="SMQ3" s="62"/>
      <c r="SMR3" s="62"/>
      <c r="SMS3" s="62"/>
      <c r="SMT3" s="62"/>
      <c r="SMU3" s="62"/>
      <c r="SMV3" s="62"/>
      <c r="SMW3" s="62"/>
      <c r="SMX3" s="62"/>
      <c r="SMY3" s="62"/>
      <c r="SMZ3" s="62"/>
      <c r="SNA3" s="62"/>
      <c r="SNB3" s="62"/>
      <c r="SNC3" s="62"/>
      <c r="SND3" s="62"/>
      <c r="SNE3" s="62"/>
      <c r="SNF3" s="62"/>
      <c r="SNG3" s="62"/>
      <c r="SNH3" s="62"/>
      <c r="SNI3" s="62"/>
      <c r="SNJ3" s="62"/>
      <c r="SNK3" s="62"/>
      <c r="SNL3" s="62"/>
      <c r="SNM3" s="62"/>
      <c r="SNN3" s="62"/>
      <c r="SNO3" s="62"/>
      <c r="SNP3" s="62"/>
      <c r="SNQ3" s="62"/>
      <c r="SNR3" s="62"/>
      <c r="SNS3" s="62"/>
      <c r="SNT3" s="62"/>
      <c r="SNU3" s="62"/>
      <c r="SNV3" s="62"/>
      <c r="SNW3" s="62"/>
      <c r="SNX3" s="62"/>
      <c r="SNY3" s="62"/>
      <c r="SNZ3" s="62"/>
      <c r="SOA3" s="62"/>
      <c r="SOB3" s="62"/>
      <c r="SOC3" s="62"/>
      <c r="SOD3" s="62"/>
      <c r="SOE3" s="62"/>
      <c r="SOF3" s="62"/>
      <c r="SOG3" s="62"/>
      <c r="SOH3" s="62"/>
      <c r="SOI3" s="62"/>
      <c r="SOJ3" s="62"/>
      <c r="SOK3" s="62"/>
      <c r="SOL3" s="62"/>
      <c r="SOM3" s="62"/>
      <c r="SON3" s="62"/>
      <c r="SOO3" s="62"/>
      <c r="SOP3" s="62"/>
      <c r="SOQ3" s="62"/>
      <c r="SOR3" s="62"/>
      <c r="SOS3" s="62"/>
      <c r="SOT3" s="62"/>
      <c r="SOU3" s="62"/>
      <c r="SOV3" s="62"/>
      <c r="SOW3" s="62"/>
      <c r="SOX3" s="62"/>
      <c r="SOY3" s="62"/>
      <c r="SOZ3" s="62"/>
      <c r="SPA3" s="62"/>
      <c r="SPB3" s="62"/>
      <c r="SPC3" s="62"/>
      <c r="SPD3" s="62"/>
      <c r="SPE3" s="62"/>
      <c r="SPF3" s="62"/>
      <c r="SPG3" s="62"/>
      <c r="SPH3" s="62"/>
      <c r="SPI3" s="62"/>
      <c r="SPJ3" s="62"/>
      <c r="SPK3" s="62"/>
      <c r="SPL3" s="62"/>
      <c r="SPM3" s="62"/>
      <c r="SPN3" s="62"/>
      <c r="SPO3" s="62"/>
      <c r="SPP3" s="62"/>
      <c r="SPQ3" s="62"/>
      <c r="SPR3" s="62"/>
      <c r="SPS3" s="62"/>
      <c r="SPT3" s="62"/>
      <c r="SPU3" s="62"/>
      <c r="SPV3" s="62"/>
      <c r="SPW3" s="62"/>
      <c r="SPX3" s="62"/>
      <c r="SPY3" s="62"/>
      <c r="SPZ3" s="62"/>
      <c r="SQA3" s="62"/>
      <c r="SQB3" s="62"/>
      <c r="SQC3" s="62"/>
      <c r="SQD3" s="62"/>
      <c r="SQE3" s="62"/>
      <c r="SQF3" s="62"/>
      <c r="SQG3" s="62"/>
      <c r="SQH3" s="62"/>
      <c r="SQI3" s="62"/>
      <c r="SQJ3" s="62"/>
      <c r="SQK3" s="62"/>
      <c r="SQL3" s="62"/>
      <c r="SQM3" s="62"/>
      <c r="SQN3" s="62"/>
      <c r="SQO3" s="62"/>
      <c r="SQP3" s="62"/>
      <c r="SQQ3" s="62"/>
      <c r="SQR3" s="62"/>
      <c r="SQS3" s="62"/>
      <c r="SQT3" s="62"/>
      <c r="SQU3" s="62"/>
      <c r="SQV3" s="62"/>
      <c r="SQW3" s="62"/>
      <c r="SQX3" s="62"/>
      <c r="SQY3" s="62"/>
      <c r="SQZ3" s="62"/>
      <c r="SRA3" s="62"/>
      <c r="SRB3" s="62"/>
      <c r="SRC3" s="62"/>
      <c r="SRD3" s="62"/>
      <c r="SRE3" s="62"/>
      <c r="SRF3" s="62"/>
      <c r="SRG3" s="62"/>
      <c r="SRH3" s="62"/>
      <c r="SRI3" s="62"/>
      <c r="SRJ3" s="62"/>
      <c r="SRK3" s="62"/>
      <c r="SRL3" s="62"/>
      <c r="SRM3" s="62"/>
      <c r="SRN3" s="62"/>
      <c r="SRO3" s="62"/>
      <c r="SRP3" s="62"/>
      <c r="SRQ3" s="62"/>
      <c r="SRR3" s="62"/>
      <c r="SRS3" s="62"/>
      <c r="SRT3" s="62"/>
      <c r="SRU3" s="62"/>
      <c r="SRV3" s="62"/>
      <c r="SRW3" s="62"/>
      <c r="SRX3" s="62"/>
      <c r="SRY3" s="62"/>
      <c r="SRZ3" s="62"/>
      <c r="SSA3" s="62"/>
      <c r="SSB3" s="62"/>
      <c r="SSC3" s="62"/>
      <c r="SSD3" s="62"/>
      <c r="SSE3" s="62"/>
      <c r="SSF3" s="62"/>
      <c r="SSG3" s="62"/>
      <c r="SSH3" s="62"/>
      <c r="SSI3" s="62"/>
      <c r="SSJ3" s="62"/>
      <c r="SSK3" s="62"/>
      <c r="SSL3" s="62"/>
      <c r="SSM3" s="62"/>
      <c r="SSN3" s="62"/>
      <c r="SSO3" s="62"/>
      <c r="SSP3" s="62"/>
      <c r="SSQ3" s="62"/>
      <c r="SSR3" s="62"/>
      <c r="SSS3" s="62"/>
      <c r="SST3" s="62"/>
      <c r="SSU3" s="62"/>
      <c r="SSV3" s="62"/>
      <c r="SSW3" s="62"/>
      <c r="SSX3" s="62"/>
      <c r="SSY3" s="62"/>
      <c r="SSZ3" s="62"/>
      <c r="STA3" s="62"/>
      <c r="STB3" s="62"/>
      <c r="STC3" s="62"/>
      <c r="STD3" s="62"/>
      <c r="STE3" s="62"/>
      <c r="STF3" s="62"/>
      <c r="STG3" s="62"/>
      <c r="STH3" s="62"/>
      <c r="STI3" s="62"/>
      <c r="STJ3" s="62"/>
      <c r="STK3" s="62"/>
      <c r="STL3" s="62"/>
      <c r="STM3" s="62"/>
      <c r="STN3" s="62"/>
      <c r="STO3" s="62"/>
      <c r="STP3" s="62"/>
      <c r="STQ3" s="62"/>
      <c r="STR3" s="62"/>
      <c r="STS3" s="62"/>
      <c r="STT3" s="62"/>
      <c r="STU3" s="62"/>
      <c r="STV3" s="62"/>
      <c r="STW3" s="62"/>
      <c r="STX3" s="62"/>
      <c r="STY3" s="62"/>
      <c r="STZ3" s="62"/>
      <c r="SUA3" s="62"/>
      <c r="SUB3" s="62"/>
      <c r="SUC3" s="62"/>
      <c r="SUD3" s="62"/>
      <c r="SUE3" s="62"/>
      <c r="SUF3" s="62"/>
      <c r="SUG3" s="62"/>
      <c r="SUH3" s="62"/>
      <c r="SUI3" s="62"/>
      <c r="SUJ3" s="62"/>
      <c r="SUK3" s="62"/>
      <c r="SUL3" s="62"/>
      <c r="SUM3" s="62"/>
      <c r="SUN3" s="62"/>
      <c r="SUO3" s="62"/>
      <c r="SUP3" s="62"/>
      <c r="SUQ3" s="62"/>
      <c r="SUR3" s="62"/>
      <c r="SUS3" s="62"/>
      <c r="SUT3" s="62"/>
      <c r="SUU3" s="62"/>
      <c r="SUV3" s="62"/>
      <c r="SUW3" s="62"/>
      <c r="SUX3" s="62"/>
      <c r="SUY3" s="62"/>
      <c r="SUZ3" s="62"/>
      <c r="SVA3" s="62"/>
      <c r="SVB3" s="62"/>
      <c r="SVC3" s="62"/>
      <c r="SVD3" s="62"/>
      <c r="SVE3" s="62"/>
      <c r="SVF3" s="62"/>
      <c r="SVG3" s="62"/>
      <c r="SVH3" s="62"/>
      <c r="SVI3" s="62"/>
      <c r="SVJ3" s="62"/>
      <c r="SVK3" s="62"/>
      <c r="SVL3" s="62"/>
      <c r="SVM3" s="62"/>
      <c r="SVN3" s="62"/>
      <c r="SVO3" s="62"/>
      <c r="SVP3" s="62"/>
      <c r="SVQ3" s="62"/>
      <c r="SVR3" s="62"/>
      <c r="SVS3" s="62"/>
      <c r="SVT3" s="62"/>
      <c r="SVU3" s="62"/>
      <c r="SVV3" s="62"/>
      <c r="SVW3" s="62"/>
      <c r="SVX3" s="62"/>
      <c r="SVY3" s="62"/>
      <c r="SVZ3" s="62"/>
      <c r="SWA3" s="62"/>
      <c r="SWB3" s="62"/>
      <c r="SWC3" s="62"/>
      <c r="SWD3" s="62"/>
      <c r="SWE3" s="62"/>
      <c r="SWF3" s="62"/>
      <c r="SWG3" s="62"/>
      <c r="SWH3" s="62"/>
      <c r="SWI3" s="62"/>
      <c r="SWJ3" s="62"/>
      <c r="SWK3" s="62"/>
      <c r="SWL3" s="62"/>
      <c r="SWM3" s="62"/>
      <c r="SWN3" s="62"/>
      <c r="SWO3" s="62"/>
      <c r="SWP3" s="62"/>
      <c r="SWQ3" s="62"/>
      <c r="SWR3" s="62"/>
      <c r="SWS3" s="62"/>
      <c r="SWT3" s="62"/>
      <c r="SWU3" s="62"/>
      <c r="SWV3" s="62"/>
      <c r="SWW3" s="62"/>
      <c r="SWX3" s="62"/>
      <c r="SWY3" s="62"/>
      <c r="SWZ3" s="62"/>
      <c r="SXA3" s="62"/>
      <c r="SXB3" s="62"/>
      <c r="SXC3" s="62"/>
      <c r="SXD3" s="62"/>
      <c r="SXE3" s="62"/>
      <c r="SXF3" s="62"/>
      <c r="SXG3" s="62"/>
      <c r="SXH3" s="62"/>
      <c r="SXI3" s="62"/>
      <c r="SXJ3" s="62"/>
      <c r="SXK3" s="62"/>
      <c r="SXL3" s="62"/>
      <c r="SXM3" s="62"/>
      <c r="SXN3" s="62"/>
      <c r="SXO3" s="62"/>
      <c r="SXP3" s="62"/>
      <c r="SXQ3" s="62"/>
      <c r="SXR3" s="62"/>
      <c r="SXS3" s="62"/>
      <c r="SXT3" s="62"/>
      <c r="SXU3" s="62"/>
      <c r="SXV3" s="62"/>
      <c r="SXW3" s="62"/>
      <c r="SXX3" s="62"/>
      <c r="SXY3" s="62"/>
      <c r="SXZ3" s="62"/>
      <c r="SYA3" s="62"/>
      <c r="SYB3" s="62"/>
      <c r="SYC3" s="62"/>
      <c r="SYD3" s="62"/>
      <c r="SYE3" s="62"/>
      <c r="SYF3" s="62"/>
      <c r="SYG3" s="62"/>
      <c r="SYH3" s="62"/>
      <c r="SYI3" s="62"/>
      <c r="SYJ3" s="62"/>
      <c r="SYK3" s="62"/>
      <c r="SYL3" s="62"/>
      <c r="SYM3" s="62"/>
      <c r="SYN3" s="62"/>
      <c r="SYO3" s="62"/>
      <c r="SYP3" s="62"/>
      <c r="SYQ3" s="62"/>
      <c r="SYR3" s="62"/>
      <c r="SYS3" s="62"/>
      <c r="SYT3" s="62"/>
      <c r="SYU3" s="62"/>
      <c r="SYV3" s="62"/>
      <c r="SYW3" s="62"/>
      <c r="SYX3" s="62"/>
      <c r="SYY3" s="62"/>
      <c r="SYZ3" s="62"/>
      <c r="SZA3" s="62"/>
      <c r="SZB3" s="62"/>
      <c r="SZC3" s="62"/>
      <c r="SZD3" s="62"/>
      <c r="SZE3" s="62"/>
      <c r="SZF3" s="62"/>
      <c r="SZG3" s="62"/>
      <c r="SZH3" s="62"/>
      <c r="SZI3" s="62"/>
      <c r="SZJ3" s="62"/>
      <c r="SZK3" s="62"/>
      <c r="SZL3" s="62"/>
      <c r="SZM3" s="62"/>
      <c r="SZN3" s="62"/>
      <c r="SZO3" s="62"/>
      <c r="SZP3" s="62"/>
      <c r="SZQ3" s="62"/>
      <c r="SZR3" s="62"/>
      <c r="SZS3" s="62"/>
      <c r="SZT3" s="62"/>
      <c r="SZU3" s="62"/>
      <c r="SZV3" s="62"/>
      <c r="SZW3" s="62"/>
      <c r="SZX3" s="62"/>
      <c r="SZY3" s="62"/>
      <c r="SZZ3" s="62"/>
      <c r="TAA3" s="62"/>
      <c r="TAB3" s="62"/>
      <c r="TAC3" s="62"/>
      <c r="TAD3" s="62"/>
      <c r="TAE3" s="62"/>
      <c r="TAF3" s="62"/>
      <c r="TAG3" s="62"/>
      <c r="TAH3" s="62"/>
      <c r="TAI3" s="62"/>
      <c r="TAJ3" s="62"/>
      <c r="TAK3" s="62"/>
      <c r="TAL3" s="62"/>
      <c r="TAM3" s="62"/>
      <c r="TAN3" s="62"/>
      <c r="TAO3" s="62"/>
      <c r="TAP3" s="62"/>
      <c r="TAQ3" s="62"/>
      <c r="TAR3" s="62"/>
      <c r="TAS3" s="62"/>
      <c r="TAT3" s="62"/>
      <c r="TAU3" s="62"/>
      <c r="TAV3" s="62"/>
      <c r="TAW3" s="62"/>
      <c r="TAX3" s="62"/>
      <c r="TAY3" s="62"/>
      <c r="TAZ3" s="62"/>
      <c r="TBA3" s="62"/>
      <c r="TBB3" s="62"/>
      <c r="TBC3" s="62"/>
      <c r="TBD3" s="62"/>
      <c r="TBE3" s="62"/>
      <c r="TBF3" s="62"/>
      <c r="TBG3" s="62"/>
      <c r="TBH3" s="62"/>
      <c r="TBI3" s="62"/>
      <c r="TBJ3" s="62"/>
      <c r="TBK3" s="62"/>
      <c r="TBL3" s="62"/>
      <c r="TBM3" s="62"/>
      <c r="TBN3" s="62"/>
      <c r="TBO3" s="62"/>
      <c r="TBP3" s="62"/>
      <c r="TBQ3" s="62"/>
      <c r="TBR3" s="62"/>
      <c r="TBS3" s="62"/>
      <c r="TBT3" s="62"/>
      <c r="TBU3" s="62"/>
      <c r="TBV3" s="62"/>
      <c r="TBW3" s="62"/>
      <c r="TBX3" s="62"/>
      <c r="TBY3" s="62"/>
      <c r="TBZ3" s="62"/>
      <c r="TCA3" s="62"/>
      <c r="TCB3" s="62"/>
      <c r="TCC3" s="62"/>
      <c r="TCD3" s="62"/>
      <c r="TCE3" s="62"/>
      <c r="TCF3" s="62"/>
      <c r="TCG3" s="62"/>
      <c r="TCH3" s="62"/>
      <c r="TCI3" s="62"/>
      <c r="TCJ3" s="62"/>
      <c r="TCK3" s="62"/>
      <c r="TCL3" s="62"/>
      <c r="TCM3" s="62"/>
      <c r="TCN3" s="62"/>
      <c r="TCO3" s="62"/>
      <c r="TCP3" s="62"/>
      <c r="TCQ3" s="62"/>
      <c r="TCR3" s="62"/>
      <c r="TCS3" s="62"/>
      <c r="TCT3" s="62"/>
      <c r="TCU3" s="62"/>
      <c r="TCV3" s="62"/>
      <c r="TCW3" s="62"/>
      <c r="TCX3" s="62"/>
      <c r="TCY3" s="62"/>
      <c r="TCZ3" s="62"/>
      <c r="TDA3" s="62"/>
      <c r="TDB3" s="62"/>
      <c r="TDC3" s="62"/>
      <c r="TDD3" s="62"/>
      <c r="TDE3" s="62"/>
      <c r="TDF3" s="62"/>
      <c r="TDG3" s="62"/>
      <c r="TDH3" s="62"/>
      <c r="TDI3" s="62"/>
      <c r="TDJ3" s="62"/>
      <c r="TDK3" s="62"/>
      <c r="TDL3" s="62"/>
      <c r="TDM3" s="62"/>
      <c r="TDN3" s="62"/>
      <c r="TDO3" s="62"/>
      <c r="TDP3" s="62"/>
      <c r="TDQ3" s="62"/>
      <c r="TDR3" s="62"/>
      <c r="TDS3" s="62"/>
      <c r="TDT3" s="62"/>
      <c r="TDU3" s="62"/>
      <c r="TDV3" s="62"/>
      <c r="TDW3" s="62"/>
      <c r="TDX3" s="62"/>
      <c r="TDY3" s="62"/>
      <c r="TDZ3" s="62"/>
      <c r="TEA3" s="62"/>
      <c r="TEB3" s="62"/>
      <c r="TEC3" s="62"/>
      <c r="TED3" s="62"/>
      <c r="TEE3" s="62"/>
      <c r="TEF3" s="62"/>
      <c r="TEG3" s="62"/>
      <c r="TEH3" s="62"/>
      <c r="TEI3" s="62"/>
      <c r="TEJ3" s="62"/>
      <c r="TEK3" s="62"/>
      <c r="TEL3" s="62"/>
      <c r="TEM3" s="62"/>
      <c r="TEN3" s="62"/>
      <c r="TEO3" s="62"/>
      <c r="TEP3" s="62"/>
      <c r="TEQ3" s="62"/>
      <c r="TER3" s="62"/>
      <c r="TES3" s="62"/>
      <c r="TET3" s="62"/>
      <c r="TEU3" s="62"/>
      <c r="TEV3" s="62"/>
      <c r="TEW3" s="62"/>
      <c r="TEX3" s="62"/>
      <c r="TEY3" s="62"/>
      <c r="TEZ3" s="62"/>
      <c r="TFA3" s="62"/>
      <c r="TFB3" s="62"/>
      <c r="TFC3" s="62"/>
      <c r="TFD3" s="62"/>
      <c r="TFE3" s="62"/>
      <c r="TFF3" s="62"/>
      <c r="TFG3" s="62"/>
      <c r="TFH3" s="62"/>
      <c r="TFI3" s="62"/>
      <c r="TFJ3" s="62"/>
      <c r="TFK3" s="62"/>
      <c r="TFL3" s="62"/>
      <c r="TFM3" s="62"/>
      <c r="TFN3" s="62"/>
      <c r="TFO3" s="62"/>
      <c r="TFP3" s="62"/>
      <c r="TFQ3" s="62"/>
      <c r="TFR3" s="62"/>
      <c r="TFS3" s="62"/>
      <c r="TFT3" s="62"/>
      <c r="TFU3" s="62"/>
      <c r="TFV3" s="62"/>
      <c r="TFW3" s="62"/>
      <c r="TFX3" s="62"/>
      <c r="TFY3" s="62"/>
      <c r="TFZ3" s="62"/>
      <c r="TGA3" s="62"/>
      <c r="TGB3" s="62"/>
      <c r="TGC3" s="62"/>
      <c r="TGD3" s="62"/>
      <c r="TGE3" s="62"/>
      <c r="TGF3" s="62"/>
      <c r="TGG3" s="62"/>
      <c r="TGH3" s="62"/>
      <c r="TGI3" s="62"/>
      <c r="TGJ3" s="62"/>
      <c r="TGK3" s="62"/>
      <c r="TGL3" s="62"/>
      <c r="TGM3" s="62"/>
      <c r="TGN3" s="62"/>
      <c r="TGO3" s="62"/>
      <c r="TGP3" s="62"/>
      <c r="TGQ3" s="62"/>
      <c r="TGR3" s="62"/>
      <c r="TGS3" s="62"/>
      <c r="TGT3" s="62"/>
      <c r="TGU3" s="62"/>
      <c r="TGV3" s="62"/>
      <c r="TGW3" s="62"/>
      <c r="TGX3" s="62"/>
      <c r="TGY3" s="62"/>
      <c r="TGZ3" s="62"/>
      <c r="THA3" s="62"/>
      <c r="THB3" s="62"/>
      <c r="THC3" s="62"/>
      <c r="THD3" s="62"/>
      <c r="THE3" s="62"/>
      <c r="THF3" s="62"/>
      <c r="THG3" s="62"/>
      <c r="THH3" s="62"/>
      <c r="THI3" s="62"/>
      <c r="THJ3" s="62"/>
      <c r="THK3" s="62"/>
      <c r="THL3" s="62"/>
      <c r="THM3" s="62"/>
      <c r="THN3" s="62"/>
      <c r="THO3" s="62"/>
      <c r="THP3" s="62"/>
      <c r="THQ3" s="62"/>
      <c r="THR3" s="62"/>
      <c r="THS3" s="62"/>
      <c r="THT3" s="62"/>
      <c r="THU3" s="62"/>
      <c r="THV3" s="62"/>
      <c r="THW3" s="62"/>
      <c r="THX3" s="62"/>
      <c r="THY3" s="62"/>
      <c r="THZ3" s="62"/>
      <c r="TIA3" s="62"/>
      <c r="TIB3" s="62"/>
      <c r="TIC3" s="62"/>
      <c r="TID3" s="62"/>
      <c r="TIE3" s="62"/>
      <c r="TIF3" s="62"/>
      <c r="TIG3" s="62"/>
      <c r="TIH3" s="62"/>
      <c r="TII3" s="62"/>
      <c r="TIJ3" s="62"/>
      <c r="TIK3" s="62"/>
      <c r="TIL3" s="62"/>
      <c r="TIM3" s="62"/>
      <c r="TIN3" s="62"/>
      <c r="TIO3" s="62"/>
      <c r="TIP3" s="62"/>
      <c r="TIQ3" s="62"/>
      <c r="TIR3" s="62"/>
      <c r="TIS3" s="62"/>
      <c r="TIT3" s="62"/>
      <c r="TIU3" s="62"/>
      <c r="TIV3" s="62"/>
      <c r="TIW3" s="62"/>
      <c r="TIX3" s="62"/>
      <c r="TIY3" s="62"/>
      <c r="TIZ3" s="62"/>
      <c r="TJA3" s="62"/>
      <c r="TJB3" s="62"/>
      <c r="TJC3" s="62"/>
      <c r="TJD3" s="62"/>
      <c r="TJE3" s="62"/>
      <c r="TJF3" s="62"/>
      <c r="TJG3" s="62"/>
      <c r="TJH3" s="62"/>
      <c r="TJI3" s="62"/>
      <c r="TJJ3" s="62"/>
      <c r="TJK3" s="62"/>
      <c r="TJL3" s="62"/>
      <c r="TJM3" s="62"/>
      <c r="TJN3" s="62"/>
      <c r="TJO3" s="62"/>
      <c r="TJP3" s="62"/>
      <c r="TJQ3" s="62"/>
      <c r="TJR3" s="62"/>
      <c r="TJS3" s="62"/>
      <c r="TJT3" s="62"/>
      <c r="TJU3" s="62"/>
      <c r="TJV3" s="62"/>
      <c r="TJW3" s="62"/>
      <c r="TJX3" s="62"/>
      <c r="TJY3" s="62"/>
      <c r="TJZ3" s="62"/>
      <c r="TKA3" s="62"/>
      <c r="TKB3" s="62"/>
      <c r="TKC3" s="62"/>
      <c r="TKD3" s="62"/>
      <c r="TKE3" s="62"/>
      <c r="TKF3" s="62"/>
      <c r="TKG3" s="62"/>
      <c r="TKH3" s="62"/>
      <c r="TKI3" s="62"/>
      <c r="TKJ3" s="62"/>
      <c r="TKK3" s="62"/>
      <c r="TKL3" s="62"/>
      <c r="TKM3" s="62"/>
      <c r="TKN3" s="62"/>
      <c r="TKO3" s="62"/>
      <c r="TKP3" s="62"/>
      <c r="TKQ3" s="62"/>
      <c r="TKR3" s="62"/>
      <c r="TKS3" s="62"/>
      <c r="TKT3" s="62"/>
      <c r="TKU3" s="62"/>
      <c r="TKV3" s="62"/>
      <c r="TKW3" s="62"/>
      <c r="TKX3" s="62"/>
      <c r="TKY3" s="62"/>
      <c r="TKZ3" s="62"/>
      <c r="TLA3" s="62"/>
      <c r="TLB3" s="62"/>
      <c r="TLC3" s="62"/>
      <c r="TLD3" s="62"/>
      <c r="TLE3" s="62"/>
      <c r="TLF3" s="62"/>
      <c r="TLG3" s="62"/>
      <c r="TLH3" s="62"/>
      <c r="TLI3" s="62"/>
      <c r="TLJ3" s="62"/>
      <c r="TLK3" s="62"/>
      <c r="TLL3" s="62"/>
      <c r="TLM3" s="62"/>
      <c r="TLN3" s="62"/>
      <c r="TLO3" s="62"/>
      <c r="TLP3" s="62"/>
      <c r="TLQ3" s="62"/>
      <c r="TLR3" s="62"/>
      <c r="TLS3" s="62"/>
      <c r="TLT3" s="62"/>
      <c r="TLU3" s="62"/>
      <c r="TLV3" s="62"/>
      <c r="TLW3" s="62"/>
      <c r="TLX3" s="62"/>
      <c r="TLY3" s="62"/>
      <c r="TLZ3" s="62"/>
      <c r="TMA3" s="62"/>
      <c r="TMB3" s="62"/>
      <c r="TMC3" s="62"/>
      <c r="TMD3" s="62"/>
      <c r="TME3" s="62"/>
      <c r="TMF3" s="62"/>
      <c r="TMG3" s="62"/>
      <c r="TMH3" s="62"/>
      <c r="TMI3" s="62"/>
      <c r="TMJ3" s="62"/>
      <c r="TMK3" s="62"/>
      <c r="TML3" s="62"/>
      <c r="TMM3" s="62"/>
      <c r="TMN3" s="62"/>
      <c r="TMO3" s="62"/>
      <c r="TMP3" s="62"/>
      <c r="TMQ3" s="62"/>
      <c r="TMR3" s="62"/>
      <c r="TMS3" s="62"/>
      <c r="TMT3" s="62"/>
      <c r="TMU3" s="62"/>
      <c r="TMV3" s="62"/>
      <c r="TMW3" s="62"/>
      <c r="TMX3" s="62"/>
      <c r="TMY3" s="62"/>
      <c r="TMZ3" s="62"/>
      <c r="TNA3" s="62"/>
      <c r="TNB3" s="62"/>
      <c r="TNC3" s="62"/>
      <c r="TND3" s="62"/>
      <c r="TNE3" s="62"/>
      <c r="TNF3" s="62"/>
      <c r="TNG3" s="62"/>
      <c r="TNH3" s="62"/>
      <c r="TNI3" s="62"/>
      <c r="TNJ3" s="62"/>
      <c r="TNK3" s="62"/>
      <c r="TNL3" s="62"/>
      <c r="TNM3" s="62"/>
      <c r="TNN3" s="62"/>
      <c r="TNO3" s="62"/>
      <c r="TNP3" s="62"/>
      <c r="TNQ3" s="62"/>
      <c r="TNR3" s="62"/>
      <c r="TNS3" s="62"/>
      <c r="TNT3" s="62"/>
      <c r="TNU3" s="62"/>
      <c r="TNV3" s="62"/>
      <c r="TNW3" s="62"/>
      <c r="TNX3" s="62"/>
      <c r="TNY3" s="62"/>
      <c r="TNZ3" s="62"/>
      <c r="TOA3" s="62"/>
      <c r="TOB3" s="62"/>
      <c r="TOC3" s="62"/>
      <c r="TOD3" s="62"/>
      <c r="TOE3" s="62"/>
      <c r="TOF3" s="62"/>
      <c r="TOG3" s="62"/>
      <c r="TOH3" s="62"/>
      <c r="TOI3" s="62"/>
      <c r="TOJ3" s="62"/>
      <c r="TOK3" s="62"/>
      <c r="TOL3" s="62"/>
      <c r="TOM3" s="62"/>
      <c r="TON3" s="62"/>
      <c r="TOO3" s="62"/>
      <c r="TOP3" s="62"/>
      <c r="TOQ3" s="62"/>
      <c r="TOR3" s="62"/>
      <c r="TOS3" s="62"/>
      <c r="TOT3" s="62"/>
      <c r="TOU3" s="62"/>
      <c r="TOV3" s="62"/>
      <c r="TOW3" s="62"/>
      <c r="TOX3" s="62"/>
      <c r="TOY3" s="62"/>
      <c r="TOZ3" s="62"/>
      <c r="TPA3" s="62"/>
      <c r="TPB3" s="62"/>
      <c r="TPC3" s="62"/>
      <c r="TPD3" s="62"/>
      <c r="TPE3" s="62"/>
      <c r="TPF3" s="62"/>
      <c r="TPG3" s="62"/>
      <c r="TPH3" s="62"/>
      <c r="TPI3" s="62"/>
      <c r="TPJ3" s="62"/>
      <c r="TPK3" s="62"/>
      <c r="TPL3" s="62"/>
      <c r="TPM3" s="62"/>
      <c r="TPN3" s="62"/>
      <c r="TPO3" s="62"/>
      <c r="TPP3" s="62"/>
      <c r="TPQ3" s="62"/>
      <c r="TPR3" s="62"/>
      <c r="TPS3" s="62"/>
      <c r="TPT3" s="62"/>
      <c r="TPU3" s="62"/>
      <c r="TPV3" s="62"/>
      <c r="TPW3" s="62"/>
      <c r="TPX3" s="62"/>
      <c r="TPY3" s="62"/>
      <c r="TPZ3" s="62"/>
      <c r="TQA3" s="62"/>
      <c r="TQB3" s="62"/>
      <c r="TQC3" s="62"/>
      <c r="TQD3" s="62"/>
      <c r="TQE3" s="62"/>
      <c r="TQF3" s="62"/>
      <c r="TQG3" s="62"/>
      <c r="TQH3" s="62"/>
      <c r="TQI3" s="62"/>
      <c r="TQJ3" s="62"/>
      <c r="TQK3" s="62"/>
      <c r="TQL3" s="62"/>
      <c r="TQM3" s="62"/>
      <c r="TQN3" s="62"/>
      <c r="TQO3" s="62"/>
      <c r="TQP3" s="62"/>
      <c r="TQQ3" s="62"/>
      <c r="TQR3" s="62"/>
      <c r="TQS3" s="62"/>
      <c r="TQT3" s="62"/>
      <c r="TQU3" s="62"/>
      <c r="TQV3" s="62"/>
      <c r="TQW3" s="62"/>
      <c r="TQX3" s="62"/>
      <c r="TQY3" s="62"/>
      <c r="TQZ3" s="62"/>
      <c r="TRA3" s="62"/>
      <c r="TRB3" s="62"/>
      <c r="TRC3" s="62"/>
      <c r="TRD3" s="62"/>
      <c r="TRE3" s="62"/>
      <c r="TRF3" s="62"/>
      <c r="TRG3" s="62"/>
      <c r="TRH3" s="62"/>
      <c r="TRI3" s="62"/>
      <c r="TRJ3" s="62"/>
      <c r="TRK3" s="62"/>
      <c r="TRL3" s="62"/>
      <c r="TRM3" s="62"/>
      <c r="TRN3" s="62"/>
      <c r="TRO3" s="62"/>
      <c r="TRP3" s="62"/>
      <c r="TRQ3" s="62"/>
      <c r="TRR3" s="62"/>
      <c r="TRS3" s="62"/>
      <c r="TRT3" s="62"/>
      <c r="TRU3" s="62"/>
      <c r="TRV3" s="62"/>
      <c r="TRW3" s="62"/>
      <c r="TRX3" s="62"/>
      <c r="TRY3" s="62"/>
      <c r="TRZ3" s="62"/>
      <c r="TSA3" s="62"/>
      <c r="TSB3" s="62"/>
      <c r="TSC3" s="62"/>
      <c r="TSD3" s="62"/>
      <c r="TSE3" s="62"/>
      <c r="TSF3" s="62"/>
      <c r="TSG3" s="62"/>
      <c r="TSH3" s="62"/>
      <c r="TSI3" s="62"/>
      <c r="TSJ3" s="62"/>
      <c r="TSK3" s="62"/>
      <c r="TSL3" s="62"/>
      <c r="TSM3" s="62"/>
      <c r="TSN3" s="62"/>
      <c r="TSO3" s="62"/>
      <c r="TSP3" s="62"/>
      <c r="TSQ3" s="62"/>
      <c r="TSR3" s="62"/>
      <c r="TSS3" s="62"/>
      <c r="TST3" s="62"/>
      <c r="TSU3" s="62"/>
      <c r="TSV3" s="62"/>
      <c r="TSW3" s="62"/>
      <c r="TSX3" s="62"/>
      <c r="TSY3" s="62"/>
      <c r="TSZ3" s="62"/>
      <c r="TTA3" s="62"/>
      <c r="TTB3" s="62"/>
      <c r="TTC3" s="62"/>
      <c r="TTD3" s="62"/>
      <c r="TTE3" s="62"/>
      <c r="TTF3" s="62"/>
      <c r="TTG3" s="62"/>
      <c r="TTH3" s="62"/>
      <c r="TTI3" s="62"/>
      <c r="TTJ3" s="62"/>
      <c r="TTK3" s="62"/>
      <c r="TTL3" s="62"/>
      <c r="TTM3" s="62"/>
      <c r="TTN3" s="62"/>
      <c r="TTO3" s="62"/>
      <c r="TTP3" s="62"/>
      <c r="TTQ3" s="62"/>
      <c r="TTR3" s="62"/>
      <c r="TTS3" s="62"/>
      <c r="TTT3" s="62"/>
      <c r="TTU3" s="62"/>
      <c r="TTV3" s="62"/>
      <c r="TTW3" s="62"/>
      <c r="TTX3" s="62"/>
      <c r="TTY3" s="62"/>
      <c r="TTZ3" s="62"/>
      <c r="TUA3" s="62"/>
      <c r="TUB3" s="62"/>
      <c r="TUC3" s="62"/>
      <c r="TUD3" s="62"/>
      <c r="TUE3" s="62"/>
      <c r="TUF3" s="62"/>
      <c r="TUG3" s="62"/>
      <c r="TUH3" s="62"/>
      <c r="TUI3" s="62"/>
      <c r="TUJ3" s="62"/>
      <c r="TUK3" s="62"/>
      <c r="TUL3" s="62"/>
      <c r="TUM3" s="62"/>
      <c r="TUN3" s="62"/>
      <c r="TUO3" s="62"/>
      <c r="TUP3" s="62"/>
      <c r="TUQ3" s="62"/>
      <c r="TUR3" s="62"/>
      <c r="TUS3" s="62"/>
      <c r="TUT3" s="62"/>
      <c r="TUU3" s="62"/>
      <c r="TUV3" s="62"/>
      <c r="TUW3" s="62"/>
      <c r="TUX3" s="62"/>
      <c r="TUY3" s="62"/>
      <c r="TUZ3" s="62"/>
      <c r="TVA3" s="62"/>
      <c r="TVB3" s="62"/>
      <c r="TVC3" s="62"/>
      <c r="TVD3" s="62"/>
      <c r="TVE3" s="62"/>
      <c r="TVF3" s="62"/>
      <c r="TVG3" s="62"/>
      <c r="TVH3" s="62"/>
      <c r="TVI3" s="62"/>
      <c r="TVJ3" s="62"/>
      <c r="TVK3" s="62"/>
      <c r="TVL3" s="62"/>
      <c r="TVM3" s="62"/>
      <c r="TVN3" s="62"/>
      <c r="TVO3" s="62"/>
      <c r="TVP3" s="62"/>
      <c r="TVQ3" s="62"/>
      <c r="TVR3" s="62"/>
      <c r="TVS3" s="62"/>
      <c r="TVT3" s="62"/>
      <c r="TVU3" s="62"/>
      <c r="TVV3" s="62"/>
      <c r="TVW3" s="62"/>
      <c r="TVX3" s="62"/>
      <c r="TVY3" s="62"/>
      <c r="TVZ3" s="62"/>
      <c r="TWA3" s="62"/>
      <c r="TWB3" s="62"/>
      <c r="TWC3" s="62"/>
      <c r="TWD3" s="62"/>
      <c r="TWE3" s="62"/>
      <c r="TWF3" s="62"/>
      <c r="TWG3" s="62"/>
      <c r="TWH3" s="62"/>
      <c r="TWI3" s="62"/>
      <c r="TWJ3" s="62"/>
      <c r="TWK3" s="62"/>
      <c r="TWL3" s="62"/>
      <c r="TWM3" s="62"/>
      <c r="TWN3" s="62"/>
      <c r="TWO3" s="62"/>
      <c r="TWP3" s="62"/>
      <c r="TWQ3" s="62"/>
      <c r="TWR3" s="62"/>
      <c r="TWS3" s="62"/>
      <c r="TWT3" s="62"/>
      <c r="TWU3" s="62"/>
      <c r="TWV3" s="62"/>
      <c r="TWW3" s="62"/>
      <c r="TWX3" s="62"/>
      <c r="TWY3" s="62"/>
      <c r="TWZ3" s="62"/>
      <c r="TXA3" s="62"/>
      <c r="TXB3" s="62"/>
      <c r="TXC3" s="62"/>
      <c r="TXD3" s="62"/>
      <c r="TXE3" s="62"/>
      <c r="TXF3" s="62"/>
      <c r="TXG3" s="62"/>
      <c r="TXH3" s="62"/>
      <c r="TXI3" s="62"/>
      <c r="TXJ3" s="62"/>
      <c r="TXK3" s="62"/>
      <c r="TXL3" s="62"/>
      <c r="TXM3" s="62"/>
      <c r="TXN3" s="62"/>
      <c r="TXO3" s="62"/>
      <c r="TXP3" s="62"/>
      <c r="TXQ3" s="62"/>
      <c r="TXR3" s="62"/>
      <c r="TXS3" s="62"/>
      <c r="TXT3" s="62"/>
      <c r="TXU3" s="62"/>
      <c r="TXV3" s="62"/>
      <c r="TXW3" s="62"/>
      <c r="TXX3" s="62"/>
      <c r="TXY3" s="62"/>
      <c r="TXZ3" s="62"/>
      <c r="TYA3" s="62"/>
      <c r="TYB3" s="62"/>
      <c r="TYC3" s="62"/>
      <c r="TYD3" s="62"/>
      <c r="TYE3" s="62"/>
      <c r="TYF3" s="62"/>
      <c r="TYG3" s="62"/>
      <c r="TYH3" s="62"/>
      <c r="TYI3" s="62"/>
      <c r="TYJ3" s="62"/>
      <c r="TYK3" s="62"/>
      <c r="TYL3" s="62"/>
      <c r="TYM3" s="62"/>
      <c r="TYN3" s="62"/>
      <c r="TYO3" s="62"/>
      <c r="TYP3" s="62"/>
      <c r="TYQ3" s="62"/>
      <c r="TYR3" s="62"/>
      <c r="TYS3" s="62"/>
      <c r="TYT3" s="62"/>
      <c r="TYU3" s="62"/>
      <c r="TYV3" s="62"/>
      <c r="TYW3" s="62"/>
      <c r="TYX3" s="62"/>
      <c r="TYY3" s="62"/>
      <c r="TYZ3" s="62"/>
      <c r="TZA3" s="62"/>
      <c r="TZB3" s="62"/>
      <c r="TZC3" s="62"/>
      <c r="TZD3" s="62"/>
      <c r="TZE3" s="62"/>
      <c r="TZF3" s="62"/>
      <c r="TZG3" s="62"/>
      <c r="TZH3" s="62"/>
      <c r="TZI3" s="62"/>
      <c r="TZJ3" s="62"/>
      <c r="TZK3" s="62"/>
      <c r="TZL3" s="62"/>
      <c r="TZM3" s="62"/>
      <c r="TZN3" s="62"/>
      <c r="TZO3" s="62"/>
      <c r="TZP3" s="62"/>
      <c r="TZQ3" s="62"/>
      <c r="TZR3" s="62"/>
      <c r="TZS3" s="62"/>
      <c r="TZT3" s="62"/>
      <c r="TZU3" s="62"/>
      <c r="TZV3" s="62"/>
      <c r="TZW3" s="62"/>
      <c r="TZX3" s="62"/>
      <c r="TZY3" s="62"/>
      <c r="TZZ3" s="62"/>
      <c r="UAA3" s="62"/>
      <c r="UAB3" s="62"/>
      <c r="UAC3" s="62"/>
      <c r="UAD3" s="62"/>
      <c r="UAE3" s="62"/>
      <c r="UAF3" s="62"/>
      <c r="UAG3" s="62"/>
      <c r="UAH3" s="62"/>
      <c r="UAI3" s="62"/>
      <c r="UAJ3" s="62"/>
      <c r="UAK3" s="62"/>
      <c r="UAL3" s="62"/>
      <c r="UAM3" s="62"/>
      <c r="UAN3" s="62"/>
      <c r="UAO3" s="62"/>
      <c r="UAP3" s="62"/>
      <c r="UAQ3" s="62"/>
      <c r="UAR3" s="62"/>
      <c r="UAS3" s="62"/>
      <c r="UAT3" s="62"/>
      <c r="UAU3" s="62"/>
      <c r="UAV3" s="62"/>
      <c r="UAW3" s="62"/>
      <c r="UAX3" s="62"/>
      <c r="UAY3" s="62"/>
      <c r="UAZ3" s="62"/>
      <c r="UBA3" s="62"/>
      <c r="UBB3" s="62"/>
      <c r="UBC3" s="62"/>
      <c r="UBD3" s="62"/>
      <c r="UBE3" s="62"/>
      <c r="UBF3" s="62"/>
      <c r="UBG3" s="62"/>
      <c r="UBH3" s="62"/>
      <c r="UBI3" s="62"/>
      <c r="UBJ3" s="62"/>
      <c r="UBK3" s="62"/>
      <c r="UBL3" s="62"/>
      <c r="UBM3" s="62"/>
      <c r="UBN3" s="62"/>
      <c r="UBO3" s="62"/>
      <c r="UBP3" s="62"/>
      <c r="UBQ3" s="62"/>
      <c r="UBR3" s="62"/>
      <c r="UBS3" s="62"/>
      <c r="UBT3" s="62"/>
      <c r="UBU3" s="62"/>
      <c r="UBV3" s="62"/>
      <c r="UBW3" s="62"/>
      <c r="UBX3" s="62"/>
      <c r="UBY3" s="62"/>
      <c r="UBZ3" s="62"/>
      <c r="UCA3" s="62"/>
      <c r="UCB3" s="62"/>
      <c r="UCC3" s="62"/>
      <c r="UCD3" s="62"/>
      <c r="UCE3" s="62"/>
      <c r="UCF3" s="62"/>
      <c r="UCG3" s="62"/>
      <c r="UCH3" s="62"/>
      <c r="UCI3" s="62"/>
      <c r="UCJ3" s="62"/>
      <c r="UCK3" s="62"/>
      <c r="UCL3" s="62"/>
      <c r="UCM3" s="62"/>
      <c r="UCN3" s="62"/>
      <c r="UCO3" s="62"/>
      <c r="UCP3" s="62"/>
      <c r="UCQ3" s="62"/>
      <c r="UCR3" s="62"/>
      <c r="UCS3" s="62"/>
      <c r="UCT3" s="62"/>
      <c r="UCU3" s="62"/>
      <c r="UCV3" s="62"/>
      <c r="UCW3" s="62"/>
      <c r="UCX3" s="62"/>
      <c r="UCY3" s="62"/>
      <c r="UCZ3" s="62"/>
      <c r="UDA3" s="62"/>
      <c r="UDB3" s="62"/>
      <c r="UDC3" s="62"/>
      <c r="UDD3" s="62"/>
      <c r="UDE3" s="62"/>
      <c r="UDF3" s="62"/>
      <c r="UDG3" s="62"/>
      <c r="UDH3" s="62"/>
      <c r="UDI3" s="62"/>
      <c r="UDJ3" s="62"/>
      <c r="UDK3" s="62"/>
      <c r="UDL3" s="62"/>
      <c r="UDM3" s="62"/>
      <c r="UDN3" s="62"/>
      <c r="UDO3" s="62"/>
      <c r="UDP3" s="62"/>
      <c r="UDQ3" s="62"/>
      <c r="UDR3" s="62"/>
      <c r="UDS3" s="62"/>
      <c r="UDT3" s="62"/>
      <c r="UDU3" s="62"/>
      <c r="UDV3" s="62"/>
      <c r="UDW3" s="62"/>
      <c r="UDX3" s="62"/>
      <c r="UDY3" s="62"/>
      <c r="UDZ3" s="62"/>
      <c r="UEA3" s="62"/>
      <c r="UEB3" s="62"/>
      <c r="UEC3" s="62"/>
      <c r="UED3" s="62"/>
      <c r="UEE3" s="62"/>
      <c r="UEF3" s="62"/>
      <c r="UEG3" s="62"/>
      <c r="UEH3" s="62"/>
      <c r="UEI3" s="62"/>
      <c r="UEJ3" s="62"/>
      <c r="UEK3" s="62"/>
      <c r="UEL3" s="62"/>
      <c r="UEM3" s="62"/>
      <c r="UEN3" s="62"/>
      <c r="UEO3" s="62"/>
      <c r="UEP3" s="62"/>
      <c r="UEQ3" s="62"/>
      <c r="UER3" s="62"/>
      <c r="UES3" s="62"/>
      <c r="UET3" s="62"/>
      <c r="UEU3" s="62"/>
      <c r="UEV3" s="62"/>
      <c r="UEW3" s="62"/>
      <c r="UEX3" s="62"/>
      <c r="UEY3" s="62"/>
      <c r="UEZ3" s="62"/>
      <c r="UFA3" s="62"/>
      <c r="UFB3" s="62"/>
      <c r="UFC3" s="62"/>
      <c r="UFD3" s="62"/>
      <c r="UFE3" s="62"/>
      <c r="UFF3" s="62"/>
      <c r="UFG3" s="62"/>
      <c r="UFH3" s="62"/>
      <c r="UFI3" s="62"/>
      <c r="UFJ3" s="62"/>
      <c r="UFK3" s="62"/>
      <c r="UFL3" s="62"/>
      <c r="UFM3" s="62"/>
      <c r="UFN3" s="62"/>
      <c r="UFO3" s="62"/>
      <c r="UFP3" s="62"/>
      <c r="UFQ3" s="62"/>
      <c r="UFR3" s="62"/>
      <c r="UFS3" s="62"/>
      <c r="UFT3" s="62"/>
      <c r="UFU3" s="62"/>
      <c r="UFV3" s="62"/>
      <c r="UFW3" s="62"/>
      <c r="UFX3" s="62"/>
      <c r="UFY3" s="62"/>
      <c r="UFZ3" s="62"/>
      <c r="UGA3" s="62"/>
      <c r="UGB3" s="62"/>
      <c r="UGC3" s="62"/>
      <c r="UGD3" s="62"/>
      <c r="UGE3" s="62"/>
      <c r="UGF3" s="62"/>
      <c r="UGG3" s="62"/>
      <c r="UGH3" s="62"/>
      <c r="UGI3" s="62"/>
      <c r="UGJ3" s="62"/>
      <c r="UGK3" s="62"/>
      <c r="UGL3" s="62"/>
      <c r="UGM3" s="62"/>
      <c r="UGN3" s="62"/>
      <c r="UGO3" s="62"/>
      <c r="UGP3" s="62"/>
      <c r="UGQ3" s="62"/>
      <c r="UGR3" s="62"/>
      <c r="UGS3" s="62"/>
      <c r="UGT3" s="62"/>
      <c r="UGU3" s="62"/>
      <c r="UGV3" s="62"/>
      <c r="UGW3" s="62"/>
      <c r="UGX3" s="62"/>
      <c r="UGY3" s="62"/>
      <c r="UGZ3" s="62"/>
      <c r="UHA3" s="62"/>
      <c r="UHB3" s="62"/>
      <c r="UHC3" s="62"/>
      <c r="UHD3" s="62"/>
      <c r="UHE3" s="62"/>
      <c r="UHF3" s="62"/>
      <c r="UHG3" s="62"/>
      <c r="UHH3" s="62"/>
      <c r="UHI3" s="62"/>
      <c r="UHJ3" s="62"/>
      <c r="UHK3" s="62"/>
      <c r="UHL3" s="62"/>
      <c r="UHM3" s="62"/>
      <c r="UHN3" s="62"/>
      <c r="UHO3" s="62"/>
      <c r="UHP3" s="62"/>
      <c r="UHQ3" s="62"/>
      <c r="UHR3" s="62"/>
      <c r="UHS3" s="62"/>
      <c r="UHT3" s="62"/>
      <c r="UHU3" s="62"/>
      <c r="UHV3" s="62"/>
      <c r="UHW3" s="62"/>
      <c r="UHX3" s="62"/>
      <c r="UHY3" s="62"/>
      <c r="UHZ3" s="62"/>
      <c r="UIA3" s="62"/>
      <c r="UIB3" s="62"/>
      <c r="UIC3" s="62"/>
      <c r="UID3" s="62"/>
      <c r="UIE3" s="62"/>
      <c r="UIF3" s="62"/>
      <c r="UIG3" s="62"/>
      <c r="UIH3" s="62"/>
      <c r="UII3" s="62"/>
      <c r="UIJ3" s="62"/>
      <c r="UIK3" s="62"/>
      <c r="UIL3" s="62"/>
      <c r="UIM3" s="62"/>
      <c r="UIN3" s="62"/>
      <c r="UIO3" s="62"/>
      <c r="UIP3" s="62"/>
      <c r="UIQ3" s="62"/>
      <c r="UIR3" s="62"/>
      <c r="UIS3" s="62"/>
      <c r="UIT3" s="62"/>
      <c r="UIU3" s="62"/>
      <c r="UIV3" s="62"/>
      <c r="UIW3" s="62"/>
      <c r="UIX3" s="62"/>
      <c r="UIY3" s="62"/>
      <c r="UIZ3" s="62"/>
      <c r="UJA3" s="62"/>
      <c r="UJB3" s="62"/>
      <c r="UJC3" s="62"/>
      <c r="UJD3" s="62"/>
      <c r="UJE3" s="62"/>
      <c r="UJF3" s="62"/>
      <c r="UJG3" s="62"/>
      <c r="UJH3" s="62"/>
      <c r="UJI3" s="62"/>
      <c r="UJJ3" s="62"/>
      <c r="UJK3" s="62"/>
      <c r="UJL3" s="62"/>
      <c r="UJM3" s="62"/>
      <c r="UJN3" s="62"/>
      <c r="UJO3" s="62"/>
      <c r="UJP3" s="62"/>
      <c r="UJQ3" s="62"/>
      <c r="UJR3" s="62"/>
      <c r="UJS3" s="62"/>
      <c r="UJT3" s="62"/>
      <c r="UJU3" s="62"/>
      <c r="UJV3" s="62"/>
      <c r="UJW3" s="62"/>
      <c r="UJX3" s="62"/>
      <c r="UJY3" s="62"/>
      <c r="UJZ3" s="62"/>
      <c r="UKA3" s="62"/>
      <c r="UKB3" s="62"/>
      <c r="UKC3" s="62"/>
      <c r="UKD3" s="62"/>
      <c r="UKE3" s="62"/>
      <c r="UKF3" s="62"/>
      <c r="UKG3" s="62"/>
      <c r="UKH3" s="62"/>
      <c r="UKI3" s="62"/>
      <c r="UKJ3" s="62"/>
      <c r="UKK3" s="62"/>
      <c r="UKL3" s="62"/>
      <c r="UKM3" s="62"/>
      <c r="UKN3" s="62"/>
      <c r="UKO3" s="62"/>
      <c r="UKP3" s="62"/>
      <c r="UKQ3" s="62"/>
      <c r="UKR3" s="62"/>
      <c r="UKS3" s="62"/>
      <c r="UKT3" s="62"/>
      <c r="UKU3" s="62"/>
      <c r="UKV3" s="62"/>
      <c r="UKW3" s="62"/>
      <c r="UKX3" s="62"/>
      <c r="UKY3" s="62"/>
      <c r="UKZ3" s="62"/>
      <c r="ULA3" s="62"/>
      <c r="ULB3" s="62"/>
      <c r="ULC3" s="62"/>
      <c r="ULD3" s="62"/>
      <c r="ULE3" s="62"/>
      <c r="ULF3" s="62"/>
      <c r="ULG3" s="62"/>
      <c r="ULH3" s="62"/>
      <c r="ULI3" s="62"/>
      <c r="ULJ3" s="62"/>
      <c r="ULK3" s="62"/>
      <c r="ULL3" s="62"/>
      <c r="ULM3" s="62"/>
      <c r="ULN3" s="62"/>
      <c r="ULO3" s="62"/>
      <c r="ULP3" s="62"/>
      <c r="ULQ3" s="62"/>
      <c r="ULR3" s="62"/>
      <c r="ULS3" s="62"/>
      <c r="ULT3" s="62"/>
      <c r="ULU3" s="62"/>
      <c r="ULV3" s="62"/>
      <c r="ULW3" s="62"/>
      <c r="ULX3" s="62"/>
      <c r="ULY3" s="62"/>
      <c r="ULZ3" s="62"/>
      <c r="UMA3" s="62"/>
      <c r="UMB3" s="62"/>
      <c r="UMC3" s="62"/>
      <c r="UMD3" s="62"/>
      <c r="UME3" s="62"/>
      <c r="UMF3" s="62"/>
      <c r="UMG3" s="62"/>
      <c r="UMH3" s="62"/>
      <c r="UMI3" s="62"/>
      <c r="UMJ3" s="62"/>
      <c r="UMK3" s="62"/>
      <c r="UML3" s="62"/>
      <c r="UMM3" s="62"/>
      <c r="UMN3" s="62"/>
      <c r="UMO3" s="62"/>
      <c r="UMP3" s="62"/>
      <c r="UMQ3" s="62"/>
      <c r="UMR3" s="62"/>
      <c r="UMS3" s="62"/>
      <c r="UMT3" s="62"/>
      <c r="UMU3" s="62"/>
      <c r="UMV3" s="62"/>
      <c r="UMW3" s="62"/>
      <c r="UMX3" s="62"/>
      <c r="UMY3" s="62"/>
      <c r="UMZ3" s="62"/>
      <c r="UNA3" s="62"/>
      <c r="UNB3" s="62"/>
      <c r="UNC3" s="62"/>
      <c r="UND3" s="62"/>
      <c r="UNE3" s="62"/>
      <c r="UNF3" s="62"/>
      <c r="UNG3" s="62"/>
      <c r="UNH3" s="62"/>
      <c r="UNI3" s="62"/>
      <c r="UNJ3" s="62"/>
      <c r="UNK3" s="62"/>
      <c r="UNL3" s="62"/>
      <c r="UNM3" s="62"/>
      <c r="UNN3" s="62"/>
      <c r="UNO3" s="62"/>
      <c r="UNP3" s="62"/>
      <c r="UNQ3" s="62"/>
      <c r="UNR3" s="62"/>
      <c r="UNS3" s="62"/>
      <c r="UNT3" s="62"/>
      <c r="UNU3" s="62"/>
      <c r="UNV3" s="62"/>
      <c r="UNW3" s="62"/>
      <c r="UNX3" s="62"/>
      <c r="UNY3" s="62"/>
      <c r="UNZ3" s="62"/>
      <c r="UOA3" s="62"/>
      <c r="UOB3" s="62"/>
      <c r="UOC3" s="62"/>
      <c r="UOD3" s="62"/>
      <c r="UOE3" s="62"/>
      <c r="UOF3" s="62"/>
      <c r="UOG3" s="62"/>
      <c r="UOH3" s="62"/>
      <c r="UOI3" s="62"/>
      <c r="UOJ3" s="62"/>
      <c r="UOK3" s="62"/>
      <c r="UOL3" s="62"/>
      <c r="UOM3" s="62"/>
      <c r="UON3" s="62"/>
      <c r="UOO3" s="62"/>
      <c r="UOP3" s="62"/>
      <c r="UOQ3" s="62"/>
      <c r="UOR3" s="62"/>
      <c r="UOS3" s="62"/>
      <c r="UOT3" s="62"/>
      <c r="UOU3" s="62"/>
      <c r="UOV3" s="62"/>
      <c r="UOW3" s="62"/>
      <c r="UOX3" s="62"/>
      <c r="UOY3" s="62"/>
      <c r="UOZ3" s="62"/>
      <c r="UPA3" s="62"/>
      <c r="UPB3" s="62"/>
      <c r="UPC3" s="62"/>
      <c r="UPD3" s="62"/>
      <c r="UPE3" s="62"/>
      <c r="UPF3" s="62"/>
      <c r="UPG3" s="62"/>
      <c r="UPH3" s="62"/>
      <c r="UPI3" s="62"/>
      <c r="UPJ3" s="62"/>
      <c r="UPK3" s="62"/>
      <c r="UPL3" s="62"/>
      <c r="UPM3" s="62"/>
      <c r="UPN3" s="62"/>
      <c r="UPO3" s="62"/>
      <c r="UPP3" s="62"/>
      <c r="UPQ3" s="62"/>
      <c r="UPR3" s="62"/>
      <c r="UPS3" s="62"/>
      <c r="UPT3" s="62"/>
      <c r="UPU3" s="62"/>
      <c r="UPV3" s="62"/>
      <c r="UPW3" s="62"/>
      <c r="UPX3" s="62"/>
      <c r="UPY3" s="62"/>
      <c r="UPZ3" s="62"/>
      <c r="UQA3" s="62"/>
      <c r="UQB3" s="62"/>
      <c r="UQC3" s="62"/>
      <c r="UQD3" s="62"/>
      <c r="UQE3" s="62"/>
      <c r="UQF3" s="62"/>
      <c r="UQG3" s="62"/>
      <c r="UQH3" s="62"/>
      <c r="UQI3" s="62"/>
      <c r="UQJ3" s="62"/>
      <c r="UQK3" s="62"/>
      <c r="UQL3" s="62"/>
      <c r="UQM3" s="62"/>
      <c r="UQN3" s="62"/>
      <c r="UQO3" s="62"/>
      <c r="UQP3" s="62"/>
      <c r="UQQ3" s="62"/>
      <c r="UQR3" s="62"/>
      <c r="UQS3" s="62"/>
      <c r="UQT3" s="62"/>
      <c r="UQU3" s="62"/>
      <c r="UQV3" s="62"/>
      <c r="UQW3" s="62"/>
      <c r="UQX3" s="62"/>
      <c r="UQY3" s="62"/>
      <c r="UQZ3" s="62"/>
      <c r="URA3" s="62"/>
      <c r="URB3" s="62"/>
      <c r="URC3" s="62"/>
      <c r="URD3" s="62"/>
      <c r="URE3" s="62"/>
      <c r="URF3" s="62"/>
      <c r="URG3" s="62"/>
      <c r="URH3" s="62"/>
      <c r="URI3" s="62"/>
      <c r="URJ3" s="62"/>
      <c r="URK3" s="62"/>
      <c r="URL3" s="62"/>
      <c r="URM3" s="62"/>
      <c r="URN3" s="62"/>
      <c r="URO3" s="62"/>
      <c r="URP3" s="62"/>
      <c r="URQ3" s="62"/>
      <c r="URR3" s="62"/>
      <c r="URS3" s="62"/>
      <c r="URT3" s="62"/>
      <c r="URU3" s="62"/>
      <c r="URV3" s="62"/>
      <c r="URW3" s="62"/>
      <c r="URX3" s="62"/>
      <c r="URY3" s="62"/>
      <c r="URZ3" s="62"/>
      <c r="USA3" s="62"/>
      <c r="USB3" s="62"/>
      <c r="USC3" s="62"/>
      <c r="USD3" s="62"/>
      <c r="USE3" s="62"/>
      <c r="USF3" s="62"/>
      <c r="USG3" s="62"/>
      <c r="USH3" s="62"/>
      <c r="USI3" s="62"/>
      <c r="USJ3" s="62"/>
      <c r="USK3" s="62"/>
      <c r="USL3" s="62"/>
      <c r="USM3" s="62"/>
      <c r="USN3" s="62"/>
      <c r="USO3" s="62"/>
      <c r="USP3" s="62"/>
      <c r="USQ3" s="62"/>
      <c r="USR3" s="62"/>
      <c r="USS3" s="62"/>
      <c r="UST3" s="62"/>
      <c r="USU3" s="62"/>
      <c r="USV3" s="62"/>
      <c r="USW3" s="62"/>
      <c r="USX3" s="62"/>
      <c r="USY3" s="62"/>
      <c r="USZ3" s="62"/>
      <c r="UTA3" s="62"/>
      <c r="UTB3" s="62"/>
      <c r="UTC3" s="62"/>
      <c r="UTD3" s="62"/>
      <c r="UTE3" s="62"/>
      <c r="UTF3" s="62"/>
      <c r="UTG3" s="62"/>
      <c r="UTH3" s="62"/>
      <c r="UTI3" s="62"/>
      <c r="UTJ3" s="62"/>
      <c r="UTK3" s="62"/>
      <c r="UTL3" s="62"/>
      <c r="UTM3" s="62"/>
      <c r="UTN3" s="62"/>
      <c r="UTO3" s="62"/>
      <c r="UTP3" s="62"/>
      <c r="UTQ3" s="62"/>
      <c r="UTR3" s="62"/>
      <c r="UTS3" s="62"/>
      <c r="UTT3" s="62"/>
      <c r="UTU3" s="62"/>
      <c r="UTV3" s="62"/>
      <c r="UTW3" s="62"/>
      <c r="UTX3" s="62"/>
      <c r="UTY3" s="62"/>
      <c r="UTZ3" s="62"/>
      <c r="UUA3" s="62"/>
      <c r="UUB3" s="62"/>
      <c r="UUC3" s="62"/>
      <c r="UUD3" s="62"/>
      <c r="UUE3" s="62"/>
      <c r="UUF3" s="62"/>
      <c r="UUG3" s="62"/>
      <c r="UUH3" s="62"/>
      <c r="UUI3" s="62"/>
      <c r="UUJ3" s="62"/>
      <c r="UUK3" s="62"/>
      <c r="UUL3" s="62"/>
      <c r="UUM3" s="62"/>
      <c r="UUN3" s="62"/>
      <c r="UUO3" s="62"/>
      <c r="UUP3" s="62"/>
      <c r="UUQ3" s="62"/>
      <c r="UUR3" s="62"/>
      <c r="UUS3" s="62"/>
      <c r="UUT3" s="62"/>
      <c r="UUU3" s="62"/>
      <c r="UUV3" s="62"/>
      <c r="UUW3" s="62"/>
      <c r="UUX3" s="62"/>
      <c r="UUY3" s="62"/>
      <c r="UUZ3" s="62"/>
      <c r="UVA3" s="62"/>
      <c r="UVB3" s="62"/>
      <c r="UVC3" s="62"/>
      <c r="UVD3" s="62"/>
      <c r="UVE3" s="62"/>
      <c r="UVF3" s="62"/>
      <c r="UVG3" s="62"/>
      <c r="UVH3" s="62"/>
      <c r="UVI3" s="62"/>
      <c r="UVJ3" s="62"/>
      <c r="UVK3" s="62"/>
      <c r="UVL3" s="62"/>
      <c r="UVM3" s="62"/>
      <c r="UVN3" s="62"/>
      <c r="UVO3" s="62"/>
      <c r="UVP3" s="62"/>
      <c r="UVQ3" s="62"/>
      <c r="UVR3" s="62"/>
      <c r="UVS3" s="62"/>
      <c r="UVT3" s="62"/>
      <c r="UVU3" s="62"/>
      <c r="UVV3" s="62"/>
      <c r="UVW3" s="62"/>
      <c r="UVX3" s="62"/>
      <c r="UVY3" s="62"/>
      <c r="UVZ3" s="62"/>
      <c r="UWA3" s="62"/>
      <c r="UWB3" s="62"/>
      <c r="UWC3" s="62"/>
      <c r="UWD3" s="62"/>
      <c r="UWE3" s="62"/>
      <c r="UWF3" s="62"/>
      <c r="UWG3" s="62"/>
      <c r="UWH3" s="62"/>
      <c r="UWI3" s="62"/>
      <c r="UWJ3" s="62"/>
      <c r="UWK3" s="62"/>
      <c r="UWL3" s="62"/>
      <c r="UWM3" s="62"/>
      <c r="UWN3" s="62"/>
      <c r="UWO3" s="62"/>
      <c r="UWP3" s="62"/>
      <c r="UWQ3" s="62"/>
      <c r="UWR3" s="62"/>
      <c r="UWS3" s="62"/>
      <c r="UWT3" s="62"/>
      <c r="UWU3" s="62"/>
      <c r="UWV3" s="62"/>
      <c r="UWW3" s="62"/>
      <c r="UWX3" s="62"/>
      <c r="UWY3" s="62"/>
      <c r="UWZ3" s="62"/>
      <c r="UXA3" s="62"/>
      <c r="UXB3" s="62"/>
      <c r="UXC3" s="62"/>
      <c r="UXD3" s="62"/>
      <c r="UXE3" s="62"/>
      <c r="UXF3" s="62"/>
      <c r="UXG3" s="62"/>
      <c r="UXH3" s="62"/>
      <c r="UXI3" s="62"/>
      <c r="UXJ3" s="62"/>
      <c r="UXK3" s="62"/>
      <c r="UXL3" s="62"/>
      <c r="UXM3" s="62"/>
      <c r="UXN3" s="62"/>
      <c r="UXO3" s="62"/>
      <c r="UXP3" s="62"/>
      <c r="UXQ3" s="62"/>
      <c r="UXR3" s="62"/>
      <c r="UXS3" s="62"/>
      <c r="UXT3" s="62"/>
      <c r="UXU3" s="62"/>
      <c r="UXV3" s="62"/>
      <c r="UXW3" s="62"/>
      <c r="UXX3" s="62"/>
      <c r="UXY3" s="62"/>
      <c r="UXZ3" s="62"/>
      <c r="UYA3" s="62"/>
      <c r="UYB3" s="62"/>
      <c r="UYC3" s="62"/>
      <c r="UYD3" s="62"/>
      <c r="UYE3" s="62"/>
      <c r="UYF3" s="62"/>
      <c r="UYG3" s="62"/>
      <c r="UYH3" s="62"/>
      <c r="UYI3" s="62"/>
      <c r="UYJ3" s="62"/>
      <c r="UYK3" s="62"/>
      <c r="UYL3" s="62"/>
      <c r="UYM3" s="62"/>
      <c r="UYN3" s="62"/>
      <c r="UYO3" s="62"/>
      <c r="UYP3" s="62"/>
      <c r="UYQ3" s="62"/>
      <c r="UYR3" s="62"/>
      <c r="UYS3" s="62"/>
      <c r="UYT3" s="62"/>
      <c r="UYU3" s="62"/>
      <c r="UYV3" s="62"/>
      <c r="UYW3" s="62"/>
      <c r="UYX3" s="62"/>
      <c r="UYY3" s="62"/>
      <c r="UYZ3" s="62"/>
      <c r="UZA3" s="62"/>
      <c r="UZB3" s="62"/>
      <c r="UZC3" s="62"/>
      <c r="UZD3" s="62"/>
      <c r="UZE3" s="62"/>
      <c r="UZF3" s="62"/>
      <c r="UZG3" s="62"/>
      <c r="UZH3" s="62"/>
      <c r="UZI3" s="62"/>
      <c r="UZJ3" s="62"/>
      <c r="UZK3" s="62"/>
      <c r="UZL3" s="62"/>
      <c r="UZM3" s="62"/>
      <c r="UZN3" s="62"/>
      <c r="UZO3" s="62"/>
      <c r="UZP3" s="62"/>
      <c r="UZQ3" s="62"/>
      <c r="UZR3" s="62"/>
      <c r="UZS3" s="62"/>
      <c r="UZT3" s="62"/>
      <c r="UZU3" s="62"/>
      <c r="UZV3" s="62"/>
      <c r="UZW3" s="62"/>
      <c r="UZX3" s="62"/>
      <c r="UZY3" s="62"/>
      <c r="UZZ3" s="62"/>
      <c r="VAA3" s="62"/>
      <c r="VAB3" s="62"/>
      <c r="VAC3" s="62"/>
      <c r="VAD3" s="62"/>
      <c r="VAE3" s="62"/>
      <c r="VAF3" s="62"/>
      <c r="VAG3" s="62"/>
      <c r="VAH3" s="62"/>
      <c r="VAI3" s="62"/>
      <c r="VAJ3" s="62"/>
      <c r="VAK3" s="62"/>
      <c r="VAL3" s="62"/>
      <c r="VAM3" s="62"/>
      <c r="VAN3" s="62"/>
      <c r="VAO3" s="62"/>
      <c r="VAP3" s="62"/>
      <c r="VAQ3" s="62"/>
      <c r="VAR3" s="62"/>
      <c r="VAS3" s="62"/>
      <c r="VAT3" s="62"/>
      <c r="VAU3" s="62"/>
      <c r="VAV3" s="62"/>
      <c r="VAW3" s="62"/>
      <c r="VAX3" s="62"/>
      <c r="VAY3" s="62"/>
      <c r="VAZ3" s="62"/>
      <c r="VBA3" s="62"/>
      <c r="VBB3" s="62"/>
      <c r="VBC3" s="62"/>
      <c r="VBD3" s="62"/>
      <c r="VBE3" s="62"/>
      <c r="VBF3" s="62"/>
      <c r="VBG3" s="62"/>
      <c r="VBH3" s="62"/>
      <c r="VBI3" s="62"/>
      <c r="VBJ3" s="62"/>
      <c r="VBK3" s="62"/>
      <c r="VBL3" s="62"/>
      <c r="VBM3" s="62"/>
      <c r="VBN3" s="62"/>
      <c r="VBO3" s="62"/>
      <c r="VBP3" s="62"/>
      <c r="VBQ3" s="62"/>
      <c r="VBR3" s="62"/>
      <c r="VBS3" s="62"/>
      <c r="VBT3" s="62"/>
      <c r="VBU3" s="62"/>
      <c r="VBV3" s="62"/>
      <c r="VBW3" s="62"/>
      <c r="VBX3" s="62"/>
      <c r="VBY3" s="62"/>
      <c r="VBZ3" s="62"/>
      <c r="VCA3" s="62"/>
      <c r="VCB3" s="62"/>
      <c r="VCC3" s="62"/>
      <c r="VCD3" s="62"/>
      <c r="VCE3" s="62"/>
      <c r="VCF3" s="62"/>
      <c r="VCG3" s="62"/>
      <c r="VCH3" s="62"/>
      <c r="VCI3" s="62"/>
      <c r="VCJ3" s="62"/>
      <c r="VCK3" s="62"/>
      <c r="VCL3" s="62"/>
      <c r="VCM3" s="62"/>
      <c r="VCN3" s="62"/>
      <c r="VCO3" s="62"/>
      <c r="VCP3" s="62"/>
      <c r="VCQ3" s="62"/>
      <c r="VCR3" s="62"/>
      <c r="VCS3" s="62"/>
      <c r="VCT3" s="62"/>
      <c r="VCU3" s="62"/>
      <c r="VCV3" s="62"/>
      <c r="VCW3" s="62"/>
      <c r="VCX3" s="62"/>
      <c r="VCY3" s="62"/>
      <c r="VCZ3" s="62"/>
      <c r="VDA3" s="62"/>
      <c r="VDB3" s="62"/>
      <c r="VDC3" s="62"/>
      <c r="VDD3" s="62"/>
      <c r="VDE3" s="62"/>
      <c r="VDF3" s="62"/>
      <c r="VDG3" s="62"/>
      <c r="VDH3" s="62"/>
      <c r="VDI3" s="62"/>
      <c r="VDJ3" s="62"/>
      <c r="VDK3" s="62"/>
      <c r="VDL3" s="62"/>
      <c r="VDM3" s="62"/>
      <c r="VDN3" s="62"/>
      <c r="VDO3" s="62"/>
      <c r="VDP3" s="62"/>
      <c r="VDQ3" s="62"/>
      <c r="VDR3" s="62"/>
      <c r="VDS3" s="62"/>
      <c r="VDT3" s="62"/>
      <c r="VDU3" s="62"/>
      <c r="VDV3" s="62"/>
      <c r="VDW3" s="62"/>
      <c r="VDX3" s="62"/>
      <c r="VDY3" s="62"/>
      <c r="VDZ3" s="62"/>
      <c r="VEA3" s="62"/>
      <c r="VEB3" s="62"/>
      <c r="VEC3" s="62"/>
      <c r="VED3" s="62"/>
      <c r="VEE3" s="62"/>
      <c r="VEF3" s="62"/>
      <c r="VEG3" s="62"/>
      <c r="VEH3" s="62"/>
      <c r="VEI3" s="62"/>
      <c r="VEJ3" s="62"/>
      <c r="VEK3" s="62"/>
      <c r="VEL3" s="62"/>
      <c r="VEM3" s="62"/>
      <c r="VEN3" s="62"/>
      <c r="VEO3" s="62"/>
      <c r="VEP3" s="62"/>
      <c r="VEQ3" s="62"/>
      <c r="VER3" s="62"/>
      <c r="VES3" s="62"/>
      <c r="VET3" s="62"/>
      <c r="VEU3" s="62"/>
      <c r="VEV3" s="62"/>
      <c r="VEW3" s="62"/>
      <c r="VEX3" s="62"/>
      <c r="VEY3" s="62"/>
      <c r="VEZ3" s="62"/>
      <c r="VFA3" s="62"/>
      <c r="VFB3" s="62"/>
      <c r="VFC3" s="62"/>
      <c r="VFD3" s="62"/>
      <c r="VFE3" s="62"/>
      <c r="VFF3" s="62"/>
      <c r="VFG3" s="62"/>
      <c r="VFH3" s="62"/>
      <c r="VFI3" s="62"/>
      <c r="VFJ3" s="62"/>
      <c r="VFK3" s="62"/>
      <c r="VFL3" s="62"/>
      <c r="VFM3" s="62"/>
      <c r="VFN3" s="62"/>
      <c r="VFO3" s="62"/>
      <c r="VFP3" s="62"/>
      <c r="VFQ3" s="62"/>
      <c r="VFR3" s="62"/>
      <c r="VFS3" s="62"/>
      <c r="VFT3" s="62"/>
      <c r="VFU3" s="62"/>
      <c r="VFV3" s="62"/>
      <c r="VFW3" s="62"/>
      <c r="VFX3" s="62"/>
      <c r="VFY3" s="62"/>
      <c r="VFZ3" s="62"/>
      <c r="VGA3" s="62"/>
      <c r="VGB3" s="62"/>
      <c r="VGC3" s="62"/>
      <c r="VGD3" s="62"/>
      <c r="VGE3" s="62"/>
      <c r="VGF3" s="62"/>
      <c r="VGG3" s="62"/>
      <c r="VGH3" s="62"/>
      <c r="VGI3" s="62"/>
      <c r="VGJ3" s="62"/>
      <c r="VGK3" s="62"/>
      <c r="VGL3" s="62"/>
      <c r="VGM3" s="62"/>
      <c r="VGN3" s="62"/>
      <c r="VGO3" s="62"/>
      <c r="VGP3" s="62"/>
      <c r="VGQ3" s="62"/>
      <c r="VGR3" s="62"/>
      <c r="VGS3" s="62"/>
      <c r="VGT3" s="62"/>
      <c r="VGU3" s="62"/>
      <c r="VGV3" s="62"/>
      <c r="VGW3" s="62"/>
      <c r="VGX3" s="62"/>
      <c r="VGY3" s="62"/>
      <c r="VGZ3" s="62"/>
      <c r="VHA3" s="62"/>
      <c r="VHB3" s="62"/>
      <c r="VHC3" s="62"/>
      <c r="VHD3" s="62"/>
      <c r="VHE3" s="62"/>
      <c r="VHF3" s="62"/>
      <c r="VHG3" s="62"/>
      <c r="VHH3" s="62"/>
      <c r="VHI3" s="62"/>
      <c r="VHJ3" s="62"/>
      <c r="VHK3" s="62"/>
      <c r="VHL3" s="62"/>
      <c r="VHM3" s="62"/>
      <c r="VHN3" s="62"/>
      <c r="VHO3" s="62"/>
      <c r="VHP3" s="62"/>
      <c r="VHQ3" s="62"/>
      <c r="VHR3" s="62"/>
      <c r="VHS3" s="62"/>
      <c r="VHT3" s="62"/>
      <c r="VHU3" s="62"/>
      <c r="VHV3" s="62"/>
      <c r="VHW3" s="62"/>
      <c r="VHX3" s="62"/>
      <c r="VHY3" s="62"/>
      <c r="VHZ3" s="62"/>
      <c r="VIA3" s="62"/>
      <c r="VIB3" s="62"/>
      <c r="VIC3" s="62"/>
      <c r="VID3" s="62"/>
      <c r="VIE3" s="62"/>
      <c r="VIF3" s="62"/>
      <c r="VIG3" s="62"/>
      <c r="VIH3" s="62"/>
      <c r="VII3" s="62"/>
      <c r="VIJ3" s="62"/>
      <c r="VIK3" s="62"/>
      <c r="VIL3" s="62"/>
      <c r="VIM3" s="62"/>
      <c r="VIN3" s="62"/>
      <c r="VIO3" s="62"/>
      <c r="VIP3" s="62"/>
      <c r="VIQ3" s="62"/>
      <c r="VIR3" s="62"/>
      <c r="VIS3" s="62"/>
      <c r="VIT3" s="62"/>
      <c r="VIU3" s="62"/>
      <c r="VIV3" s="62"/>
      <c r="VIW3" s="62"/>
      <c r="VIX3" s="62"/>
      <c r="VIY3" s="62"/>
      <c r="VIZ3" s="62"/>
      <c r="VJA3" s="62"/>
      <c r="VJB3" s="62"/>
      <c r="VJC3" s="62"/>
      <c r="VJD3" s="62"/>
      <c r="VJE3" s="62"/>
      <c r="VJF3" s="62"/>
      <c r="VJG3" s="62"/>
      <c r="VJH3" s="62"/>
      <c r="VJI3" s="62"/>
      <c r="VJJ3" s="62"/>
      <c r="VJK3" s="62"/>
      <c r="VJL3" s="62"/>
      <c r="VJM3" s="62"/>
      <c r="VJN3" s="62"/>
      <c r="VJO3" s="62"/>
      <c r="VJP3" s="62"/>
      <c r="VJQ3" s="62"/>
      <c r="VJR3" s="62"/>
      <c r="VJS3" s="62"/>
      <c r="VJT3" s="62"/>
      <c r="VJU3" s="62"/>
      <c r="VJV3" s="62"/>
      <c r="VJW3" s="62"/>
      <c r="VJX3" s="62"/>
      <c r="VJY3" s="62"/>
      <c r="VJZ3" s="62"/>
      <c r="VKA3" s="62"/>
      <c r="VKB3" s="62"/>
      <c r="VKC3" s="62"/>
      <c r="VKD3" s="62"/>
      <c r="VKE3" s="62"/>
      <c r="VKF3" s="62"/>
      <c r="VKG3" s="62"/>
      <c r="VKH3" s="62"/>
      <c r="VKI3" s="62"/>
      <c r="VKJ3" s="62"/>
      <c r="VKK3" s="62"/>
      <c r="VKL3" s="62"/>
      <c r="VKM3" s="62"/>
      <c r="VKN3" s="62"/>
      <c r="VKO3" s="62"/>
      <c r="VKP3" s="62"/>
      <c r="VKQ3" s="62"/>
      <c r="VKR3" s="62"/>
      <c r="VKS3" s="62"/>
      <c r="VKT3" s="62"/>
      <c r="VKU3" s="62"/>
      <c r="VKV3" s="62"/>
      <c r="VKW3" s="62"/>
      <c r="VKX3" s="62"/>
      <c r="VKY3" s="62"/>
      <c r="VKZ3" s="62"/>
      <c r="VLA3" s="62"/>
      <c r="VLB3" s="62"/>
      <c r="VLC3" s="62"/>
      <c r="VLD3" s="62"/>
      <c r="VLE3" s="62"/>
      <c r="VLF3" s="62"/>
      <c r="VLG3" s="62"/>
      <c r="VLH3" s="62"/>
      <c r="VLI3" s="62"/>
      <c r="VLJ3" s="62"/>
      <c r="VLK3" s="62"/>
      <c r="VLL3" s="62"/>
      <c r="VLM3" s="62"/>
      <c r="VLN3" s="62"/>
      <c r="VLO3" s="62"/>
      <c r="VLP3" s="62"/>
      <c r="VLQ3" s="62"/>
      <c r="VLR3" s="62"/>
      <c r="VLS3" s="62"/>
      <c r="VLT3" s="62"/>
      <c r="VLU3" s="62"/>
      <c r="VLV3" s="62"/>
      <c r="VLW3" s="62"/>
      <c r="VLX3" s="62"/>
      <c r="VLY3" s="62"/>
      <c r="VLZ3" s="62"/>
      <c r="VMA3" s="62"/>
      <c r="VMB3" s="62"/>
      <c r="VMC3" s="62"/>
      <c r="VMD3" s="62"/>
      <c r="VME3" s="62"/>
      <c r="VMF3" s="62"/>
      <c r="VMG3" s="62"/>
      <c r="VMH3" s="62"/>
      <c r="VMI3" s="62"/>
      <c r="VMJ3" s="62"/>
      <c r="VMK3" s="62"/>
      <c r="VML3" s="62"/>
      <c r="VMM3" s="62"/>
      <c r="VMN3" s="62"/>
      <c r="VMO3" s="62"/>
      <c r="VMP3" s="62"/>
      <c r="VMQ3" s="62"/>
      <c r="VMR3" s="62"/>
      <c r="VMS3" s="62"/>
      <c r="VMT3" s="62"/>
      <c r="VMU3" s="62"/>
      <c r="VMV3" s="62"/>
      <c r="VMW3" s="62"/>
      <c r="VMX3" s="62"/>
      <c r="VMY3" s="62"/>
      <c r="VMZ3" s="62"/>
      <c r="VNA3" s="62"/>
      <c r="VNB3" s="62"/>
      <c r="VNC3" s="62"/>
      <c r="VND3" s="62"/>
      <c r="VNE3" s="62"/>
      <c r="VNF3" s="62"/>
      <c r="VNG3" s="62"/>
      <c r="VNH3" s="62"/>
      <c r="VNI3" s="62"/>
      <c r="VNJ3" s="62"/>
      <c r="VNK3" s="62"/>
      <c r="VNL3" s="62"/>
      <c r="VNM3" s="62"/>
      <c r="VNN3" s="62"/>
      <c r="VNO3" s="62"/>
      <c r="VNP3" s="62"/>
      <c r="VNQ3" s="62"/>
      <c r="VNR3" s="62"/>
      <c r="VNS3" s="62"/>
      <c r="VNT3" s="62"/>
      <c r="VNU3" s="62"/>
      <c r="VNV3" s="62"/>
      <c r="VNW3" s="62"/>
      <c r="VNX3" s="62"/>
      <c r="VNY3" s="62"/>
      <c r="VNZ3" s="62"/>
      <c r="VOA3" s="62"/>
      <c r="VOB3" s="62"/>
      <c r="VOC3" s="62"/>
      <c r="VOD3" s="62"/>
      <c r="VOE3" s="62"/>
      <c r="VOF3" s="62"/>
      <c r="VOG3" s="62"/>
      <c r="VOH3" s="62"/>
      <c r="VOI3" s="62"/>
      <c r="VOJ3" s="62"/>
      <c r="VOK3" s="62"/>
      <c r="VOL3" s="62"/>
      <c r="VOM3" s="62"/>
      <c r="VON3" s="62"/>
      <c r="VOO3" s="62"/>
      <c r="VOP3" s="62"/>
      <c r="VOQ3" s="62"/>
      <c r="VOR3" s="62"/>
      <c r="VOS3" s="62"/>
      <c r="VOT3" s="62"/>
      <c r="VOU3" s="62"/>
      <c r="VOV3" s="62"/>
      <c r="VOW3" s="62"/>
      <c r="VOX3" s="62"/>
      <c r="VOY3" s="62"/>
      <c r="VOZ3" s="62"/>
      <c r="VPA3" s="62"/>
      <c r="VPB3" s="62"/>
      <c r="VPC3" s="62"/>
      <c r="VPD3" s="62"/>
      <c r="VPE3" s="62"/>
      <c r="VPF3" s="62"/>
      <c r="VPG3" s="62"/>
      <c r="VPH3" s="62"/>
      <c r="VPI3" s="62"/>
      <c r="VPJ3" s="62"/>
      <c r="VPK3" s="62"/>
      <c r="VPL3" s="62"/>
      <c r="VPM3" s="62"/>
      <c r="VPN3" s="62"/>
      <c r="VPO3" s="62"/>
      <c r="VPP3" s="62"/>
      <c r="VPQ3" s="62"/>
      <c r="VPR3" s="62"/>
      <c r="VPS3" s="62"/>
      <c r="VPT3" s="62"/>
      <c r="VPU3" s="62"/>
      <c r="VPV3" s="62"/>
      <c r="VPW3" s="62"/>
      <c r="VPX3" s="62"/>
      <c r="VPY3" s="62"/>
      <c r="VPZ3" s="62"/>
      <c r="VQA3" s="62"/>
      <c r="VQB3" s="62"/>
      <c r="VQC3" s="62"/>
      <c r="VQD3" s="62"/>
      <c r="VQE3" s="62"/>
      <c r="VQF3" s="62"/>
      <c r="VQG3" s="62"/>
      <c r="VQH3" s="62"/>
      <c r="VQI3" s="62"/>
      <c r="VQJ3" s="62"/>
      <c r="VQK3" s="62"/>
      <c r="VQL3" s="62"/>
      <c r="VQM3" s="62"/>
      <c r="VQN3" s="62"/>
      <c r="VQO3" s="62"/>
      <c r="VQP3" s="62"/>
      <c r="VQQ3" s="62"/>
      <c r="VQR3" s="62"/>
      <c r="VQS3" s="62"/>
      <c r="VQT3" s="62"/>
      <c r="VQU3" s="62"/>
      <c r="VQV3" s="62"/>
      <c r="VQW3" s="62"/>
      <c r="VQX3" s="62"/>
      <c r="VQY3" s="62"/>
      <c r="VQZ3" s="62"/>
      <c r="VRA3" s="62"/>
      <c r="VRB3" s="62"/>
      <c r="VRC3" s="62"/>
      <c r="VRD3" s="62"/>
      <c r="VRE3" s="62"/>
      <c r="VRF3" s="62"/>
      <c r="VRG3" s="62"/>
      <c r="VRH3" s="62"/>
      <c r="VRI3" s="62"/>
      <c r="VRJ3" s="62"/>
      <c r="VRK3" s="62"/>
      <c r="VRL3" s="62"/>
      <c r="VRM3" s="62"/>
      <c r="VRN3" s="62"/>
      <c r="VRO3" s="62"/>
      <c r="VRP3" s="62"/>
      <c r="VRQ3" s="62"/>
      <c r="VRR3" s="62"/>
      <c r="VRS3" s="62"/>
      <c r="VRT3" s="62"/>
      <c r="VRU3" s="62"/>
      <c r="VRV3" s="62"/>
      <c r="VRW3" s="62"/>
      <c r="VRX3" s="62"/>
      <c r="VRY3" s="62"/>
      <c r="VRZ3" s="62"/>
      <c r="VSA3" s="62"/>
      <c r="VSB3" s="62"/>
      <c r="VSC3" s="62"/>
      <c r="VSD3" s="62"/>
      <c r="VSE3" s="62"/>
      <c r="VSF3" s="62"/>
      <c r="VSG3" s="62"/>
      <c r="VSH3" s="62"/>
      <c r="VSI3" s="62"/>
      <c r="VSJ3" s="62"/>
      <c r="VSK3" s="62"/>
      <c r="VSL3" s="62"/>
      <c r="VSM3" s="62"/>
      <c r="VSN3" s="62"/>
      <c r="VSO3" s="62"/>
      <c r="VSP3" s="62"/>
      <c r="VSQ3" s="62"/>
      <c r="VSR3" s="62"/>
      <c r="VSS3" s="62"/>
      <c r="VST3" s="62"/>
      <c r="VSU3" s="62"/>
      <c r="VSV3" s="62"/>
      <c r="VSW3" s="62"/>
      <c r="VSX3" s="62"/>
      <c r="VSY3" s="62"/>
      <c r="VSZ3" s="62"/>
      <c r="VTA3" s="62"/>
      <c r="VTB3" s="62"/>
      <c r="VTC3" s="62"/>
      <c r="VTD3" s="62"/>
      <c r="VTE3" s="62"/>
      <c r="VTF3" s="62"/>
      <c r="VTG3" s="62"/>
      <c r="VTH3" s="62"/>
      <c r="VTI3" s="62"/>
      <c r="VTJ3" s="62"/>
      <c r="VTK3" s="62"/>
      <c r="VTL3" s="62"/>
      <c r="VTM3" s="62"/>
      <c r="VTN3" s="62"/>
      <c r="VTO3" s="62"/>
      <c r="VTP3" s="62"/>
      <c r="VTQ3" s="62"/>
      <c r="VTR3" s="62"/>
      <c r="VTS3" s="62"/>
      <c r="VTT3" s="62"/>
      <c r="VTU3" s="62"/>
      <c r="VTV3" s="62"/>
      <c r="VTW3" s="62"/>
      <c r="VTX3" s="62"/>
      <c r="VTY3" s="62"/>
      <c r="VTZ3" s="62"/>
      <c r="VUA3" s="62"/>
      <c r="VUB3" s="62"/>
      <c r="VUC3" s="62"/>
      <c r="VUD3" s="62"/>
      <c r="VUE3" s="62"/>
      <c r="VUF3" s="62"/>
      <c r="VUG3" s="62"/>
      <c r="VUH3" s="62"/>
      <c r="VUI3" s="62"/>
      <c r="VUJ3" s="62"/>
      <c r="VUK3" s="62"/>
      <c r="VUL3" s="62"/>
      <c r="VUM3" s="62"/>
      <c r="VUN3" s="62"/>
      <c r="VUO3" s="62"/>
      <c r="VUP3" s="62"/>
      <c r="VUQ3" s="62"/>
      <c r="VUR3" s="62"/>
      <c r="VUS3" s="62"/>
      <c r="VUT3" s="62"/>
      <c r="VUU3" s="62"/>
      <c r="VUV3" s="62"/>
      <c r="VUW3" s="62"/>
      <c r="VUX3" s="62"/>
      <c r="VUY3" s="62"/>
      <c r="VUZ3" s="62"/>
      <c r="VVA3" s="62"/>
      <c r="VVB3" s="62"/>
      <c r="VVC3" s="62"/>
      <c r="VVD3" s="62"/>
      <c r="VVE3" s="62"/>
      <c r="VVF3" s="62"/>
      <c r="VVG3" s="62"/>
      <c r="VVH3" s="62"/>
      <c r="VVI3" s="62"/>
      <c r="VVJ3" s="62"/>
      <c r="VVK3" s="62"/>
      <c r="VVL3" s="62"/>
      <c r="VVM3" s="62"/>
      <c r="VVN3" s="62"/>
      <c r="VVO3" s="62"/>
      <c r="VVP3" s="62"/>
      <c r="VVQ3" s="62"/>
      <c r="VVR3" s="62"/>
      <c r="VVS3" s="62"/>
      <c r="VVT3" s="62"/>
      <c r="VVU3" s="62"/>
      <c r="VVV3" s="62"/>
      <c r="VVW3" s="62"/>
      <c r="VVX3" s="62"/>
      <c r="VVY3" s="62"/>
      <c r="VVZ3" s="62"/>
      <c r="VWA3" s="62"/>
      <c r="VWB3" s="62"/>
      <c r="VWC3" s="62"/>
      <c r="VWD3" s="62"/>
      <c r="VWE3" s="62"/>
      <c r="VWF3" s="62"/>
      <c r="VWG3" s="62"/>
      <c r="VWH3" s="62"/>
      <c r="VWI3" s="62"/>
      <c r="VWJ3" s="62"/>
      <c r="VWK3" s="62"/>
      <c r="VWL3" s="62"/>
      <c r="VWM3" s="62"/>
      <c r="VWN3" s="62"/>
      <c r="VWO3" s="62"/>
      <c r="VWP3" s="62"/>
      <c r="VWQ3" s="62"/>
      <c r="VWR3" s="62"/>
      <c r="VWS3" s="62"/>
      <c r="VWT3" s="62"/>
      <c r="VWU3" s="62"/>
      <c r="VWV3" s="62"/>
      <c r="VWW3" s="62"/>
      <c r="VWX3" s="62"/>
      <c r="VWY3" s="62"/>
      <c r="VWZ3" s="62"/>
      <c r="VXA3" s="62"/>
      <c r="VXB3" s="62"/>
      <c r="VXC3" s="62"/>
      <c r="VXD3" s="62"/>
      <c r="VXE3" s="62"/>
      <c r="VXF3" s="62"/>
      <c r="VXG3" s="62"/>
      <c r="VXH3" s="62"/>
      <c r="VXI3" s="62"/>
      <c r="VXJ3" s="62"/>
      <c r="VXK3" s="62"/>
      <c r="VXL3" s="62"/>
      <c r="VXM3" s="62"/>
      <c r="VXN3" s="62"/>
      <c r="VXO3" s="62"/>
      <c r="VXP3" s="62"/>
      <c r="VXQ3" s="62"/>
      <c r="VXR3" s="62"/>
      <c r="VXS3" s="62"/>
      <c r="VXT3" s="62"/>
      <c r="VXU3" s="62"/>
      <c r="VXV3" s="62"/>
      <c r="VXW3" s="62"/>
      <c r="VXX3" s="62"/>
      <c r="VXY3" s="62"/>
      <c r="VXZ3" s="62"/>
      <c r="VYA3" s="62"/>
      <c r="VYB3" s="62"/>
      <c r="VYC3" s="62"/>
      <c r="VYD3" s="62"/>
      <c r="VYE3" s="62"/>
      <c r="VYF3" s="62"/>
      <c r="VYG3" s="62"/>
      <c r="VYH3" s="62"/>
      <c r="VYI3" s="62"/>
      <c r="VYJ3" s="62"/>
      <c r="VYK3" s="62"/>
      <c r="VYL3" s="62"/>
      <c r="VYM3" s="62"/>
      <c r="VYN3" s="62"/>
      <c r="VYO3" s="62"/>
      <c r="VYP3" s="62"/>
      <c r="VYQ3" s="62"/>
      <c r="VYR3" s="62"/>
      <c r="VYS3" s="62"/>
      <c r="VYT3" s="62"/>
      <c r="VYU3" s="62"/>
      <c r="VYV3" s="62"/>
      <c r="VYW3" s="62"/>
      <c r="VYX3" s="62"/>
      <c r="VYY3" s="62"/>
      <c r="VYZ3" s="62"/>
      <c r="VZA3" s="62"/>
      <c r="VZB3" s="62"/>
      <c r="VZC3" s="62"/>
      <c r="VZD3" s="62"/>
      <c r="VZE3" s="62"/>
      <c r="VZF3" s="62"/>
      <c r="VZG3" s="62"/>
      <c r="VZH3" s="62"/>
      <c r="VZI3" s="62"/>
      <c r="VZJ3" s="62"/>
      <c r="VZK3" s="62"/>
      <c r="VZL3" s="62"/>
      <c r="VZM3" s="62"/>
      <c r="VZN3" s="62"/>
      <c r="VZO3" s="62"/>
      <c r="VZP3" s="62"/>
      <c r="VZQ3" s="62"/>
      <c r="VZR3" s="62"/>
      <c r="VZS3" s="62"/>
      <c r="VZT3" s="62"/>
      <c r="VZU3" s="62"/>
      <c r="VZV3" s="62"/>
      <c r="VZW3" s="62"/>
      <c r="VZX3" s="62"/>
      <c r="VZY3" s="62"/>
      <c r="VZZ3" s="62"/>
      <c r="WAA3" s="62"/>
      <c r="WAB3" s="62"/>
      <c r="WAC3" s="62"/>
      <c r="WAD3" s="62"/>
      <c r="WAE3" s="62"/>
      <c r="WAF3" s="62"/>
      <c r="WAG3" s="62"/>
      <c r="WAH3" s="62"/>
      <c r="WAI3" s="62"/>
      <c r="WAJ3" s="62"/>
      <c r="WAK3" s="62"/>
      <c r="WAL3" s="62"/>
      <c r="WAM3" s="62"/>
      <c r="WAN3" s="62"/>
      <c r="WAO3" s="62"/>
      <c r="WAP3" s="62"/>
      <c r="WAQ3" s="62"/>
      <c r="WAR3" s="62"/>
      <c r="WAS3" s="62"/>
      <c r="WAT3" s="62"/>
      <c r="WAU3" s="62"/>
      <c r="WAV3" s="62"/>
      <c r="WAW3" s="62"/>
      <c r="WAX3" s="62"/>
      <c r="WAY3" s="62"/>
      <c r="WAZ3" s="62"/>
      <c r="WBA3" s="62"/>
      <c r="WBB3" s="62"/>
      <c r="WBC3" s="62"/>
      <c r="WBD3" s="62"/>
      <c r="WBE3" s="62"/>
      <c r="WBF3" s="62"/>
      <c r="WBG3" s="62"/>
      <c r="WBH3" s="62"/>
      <c r="WBI3" s="62"/>
      <c r="WBJ3" s="62"/>
      <c r="WBK3" s="62"/>
      <c r="WBL3" s="62"/>
      <c r="WBM3" s="62"/>
      <c r="WBN3" s="62"/>
      <c r="WBO3" s="62"/>
      <c r="WBP3" s="62"/>
      <c r="WBQ3" s="62"/>
      <c r="WBR3" s="62"/>
      <c r="WBS3" s="62"/>
      <c r="WBT3" s="62"/>
      <c r="WBU3" s="62"/>
      <c r="WBV3" s="62"/>
      <c r="WBW3" s="62"/>
      <c r="WBX3" s="62"/>
      <c r="WBY3" s="62"/>
      <c r="WBZ3" s="62"/>
      <c r="WCA3" s="62"/>
      <c r="WCB3" s="62"/>
      <c r="WCC3" s="62"/>
      <c r="WCD3" s="62"/>
      <c r="WCE3" s="62"/>
      <c r="WCF3" s="62"/>
      <c r="WCG3" s="62"/>
      <c r="WCH3" s="62"/>
      <c r="WCI3" s="62"/>
      <c r="WCJ3" s="62"/>
      <c r="WCK3" s="62"/>
      <c r="WCL3" s="62"/>
      <c r="WCM3" s="62"/>
      <c r="WCN3" s="62"/>
      <c r="WCO3" s="62"/>
      <c r="WCP3" s="62"/>
      <c r="WCQ3" s="62"/>
      <c r="WCR3" s="62"/>
      <c r="WCS3" s="62"/>
      <c r="WCT3" s="62"/>
      <c r="WCU3" s="62"/>
      <c r="WCV3" s="62"/>
      <c r="WCW3" s="62"/>
      <c r="WCX3" s="62"/>
      <c r="WCY3" s="62"/>
      <c r="WCZ3" s="62"/>
      <c r="WDA3" s="62"/>
      <c r="WDB3" s="62"/>
      <c r="WDC3" s="62"/>
      <c r="WDD3" s="62"/>
      <c r="WDE3" s="62"/>
      <c r="WDF3" s="62"/>
      <c r="WDG3" s="62"/>
      <c r="WDH3" s="62"/>
      <c r="WDI3" s="62"/>
      <c r="WDJ3" s="62"/>
      <c r="WDK3" s="62"/>
      <c r="WDL3" s="62"/>
      <c r="WDM3" s="62"/>
      <c r="WDN3" s="62"/>
      <c r="WDO3" s="62"/>
      <c r="WDP3" s="62"/>
      <c r="WDQ3" s="62"/>
      <c r="WDR3" s="62"/>
      <c r="WDS3" s="62"/>
      <c r="WDT3" s="62"/>
      <c r="WDU3" s="62"/>
      <c r="WDV3" s="62"/>
      <c r="WDW3" s="62"/>
      <c r="WDX3" s="62"/>
      <c r="WDY3" s="62"/>
      <c r="WDZ3" s="62"/>
      <c r="WEA3" s="62"/>
      <c r="WEB3" s="62"/>
      <c r="WEC3" s="62"/>
      <c r="WED3" s="62"/>
      <c r="WEE3" s="62"/>
      <c r="WEF3" s="62"/>
      <c r="WEG3" s="62"/>
      <c r="WEH3" s="62"/>
      <c r="WEI3" s="62"/>
      <c r="WEJ3" s="62"/>
      <c r="WEK3" s="62"/>
      <c r="WEL3" s="62"/>
      <c r="WEM3" s="62"/>
      <c r="WEN3" s="62"/>
      <c r="WEO3" s="62"/>
      <c r="WEP3" s="62"/>
      <c r="WEQ3" s="62"/>
      <c r="WER3" s="62"/>
      <c r="WES3" s="62"/>
      <c r="WET3" s="62"/>
      <c r="WEU3" s="62"/>
      <c r="WEV3" s="62"/>
      <c r="WEW3" s="62"/>
      <c r="WEX3" s="62"/>
      <c r="WEY3" s="62"/>
      <c r="WEZ3" s="62"/>
      <c r="WFA3" s="62"/>
      <c r="WFB3" s="62"/>
      <c r="WFC3" s="62"/>
      <c r="WFD3" s="62"/>
      <c r="WFE3" s="62"/>
      <c r="WFF3" s="62"/>
      <c r="WFG3" s="62"/>
      <c r="WFH3" s="62"/>
      <c r="WFI3" s="62"/>
      <c r="WFJ3" s="62"/>
      <c r="WFK3" s="62"/>
      <c r="WFL3" s="62"/>
      <c r="WFM3" s="62"/>
      <c r="WFN3" s="62"/>
      <c r="WFO3" s="62"/>
      <c r="WFP3" s="62"/>
      <c r="WFQ3" s="62"/>
      <c r="WFR3" s="62"/>
      <c r="WFS3" s="62"/>
      <c r="WFT3" s="62"/>
      <c r="WFU3" s="62"/>
      <c r="WFV3" s="62"/>
      <c r="WFW3" s="62"/>
      <c r="WFX3" s="62"/>
      <c r="WFY3" s="62"/>
      <c r="WFZ3" s="62"/>
      <c r="WGA3" s="62"/>
      <c r="WGB3" s="62"/>
      <c r="WGC3" s="62"/>
      <c r="WGD3" s="62"/>
      <c r="WGE3" s="62"/>
      <c r="WGF3" s="62"/>
      <c r="WGG3" s="62"/>
      <c r="WGH3" s="62"/>
      <c r="WGI3" s="62"/>
      <c r="WGJ3" s="62"/>
      <c r="WGK3" s="62"/>
      <c r="WGL3" s="62"/>
      <c r="WGM3" s="62"/>
      <c r="WGN3" s="62"/>
      <c r="WGO3" s="62"/>
      <c r="WGP3" s="62"/>
      <c r="WGQ3" s="62"/>
      <c r="WGR3" s="62"/>
      <c r="WGS3" s="62"/>
      <c r="WGT3" s="62"/>
      <c r="WGU3" s="62"/>
      <c r="WGV3" s="62"/>
      <c r="WGW3" s="62"/>
      <c r="WGX3" s="62"/>
      <c r="WGY3" s="62"/>
      <c r="WGZ3" s="62"/>
      <c r="WHA3" s="62"/>
      <c r="WHB3" s="62"/>
      <c r="WHC3" s="62"/>
      <c r="WHD3" s="62"/>
      <c r="WHE3" s="62"/>
      <c r="WHF3" s="62"/>
      <c r="WHG3" s="62"/>
      <c r="WHH3" s="62"/>
      <c r="WHI3" s="62"/>
      <c r="WHJ3" s="62"/>
      <c r="WHK3" s="62"/>
      <c r="WHL3" s="62"/>
      <c r="WHM3" s="62"/>
      <c r="WHN3" s="62"/>
      <c r="WHO3" s="62"/>
      <c r="WHP3" s="62"/>
      <c r="WHQ3" s="62"/>
      <c r="WHR3" s="62"/>
      <c r="WHS3" s="62"/>
      <c r="WHT3" s="62"/>
      <c r="WHU3" s="62"/>
      <c r="WHV3" s="62"/>
      <c r="WHW3" s="62"/>
      <c r="WHX3" s="62"/>
      <c r="WHY3" s="62"/>
      <c r="WHZ3" s="62"/>
      <c r="WIA3" s="62"/>
      <c r="WIB3" s="62"/>
      <c r="WIC3" s="62"/>
      <c r="WID3" s="62"/>
      <c r="WIE3" s="62"/>
      <c r="WIF3" s="62"/>
      <c r="WIG3" s="62"/>
      <c r="WIH3" s="62"/>
      <c r="WII3" s="62"/>
      <c r="WIJ3" s="62"/>
      <c r="WIK3" s="62"/>
      <c r="WIL3" s="62"/>
      <c r="WIM3" s="62"/>
      <c r="WIN3" s="62"/>
      <c r="WIO3" s="62"/>
      <c r="WIP3" s="62"/>
      <c r="WIQ3" s="62"/>
      <c r="WIR3" s="62"/>
      <c r="WIS3" s="62"/>
      <c r="WIT3" s="62"/>
      <c r="WIU3" s="62"/>
      <c r="WIV3" s="62"/>
      <c r="WIW3" s="62"/>
      <c r="WIX3" s="62"/>
      <c r="WIY3" s="62"/>
      <c r="WIZ3" s="62"/>
      <c r="WJA3" s="62"/>
      <c r="WJB3" s="62"/>
      <c r="WJC3" s="62"/>
      <c r="WJD3" s="62"/>
      <c r="WJE3" s="62"/>
      <c r="WJF3" s="62"/>
      <c r="WJG3" s="62"/>
      <c r="WJH3" s="62"/>
      <c r="WJI3" s="62"/>
      <c r="WJJ3" s="62"/>
      <c r="WJK3" s="62"/>
      <c r="WJL3" s="62"/>
      <c r="WJM3" s="62"/>
      <c r="WJN3" s="62"/>
      <c r="WJO3" s="62"/>
      <c r="WJP3" s="62"/>
      <c r="WJQ3" s="62"/>
      <c r="WJR3" s="62"/>
      <c r="WJS3" s="62"/>
      <c r="WJT3" s="62"/>
      <c r="WJU3" s="62"/>
      <c r="WJV3" s="62"/>
      <c r="WJW3" s="62"/>
      <c r="WJX3" s="62"/>
      <c r="WJY3" s="62"/>
      <c r="WJZ3" s="62"/>
      <c r="WKA3" s="62"/>
      <c r="WKB3" s="62"/>
      <c r="WKC3" s="62"/>
      <c r="WKD3" s="62"/>
      <c r="WKE3" s="62"/>
      <c r="WKF3" s="62"/>
      <c r="WKG3" s="62"/>
      <c r="WKH3" s="62"/>
      <c r="WKI3" s="62"/>
      <c r="WKJ3" s="62"/>
      <c r="WKK3" s="62"/>
      <c r="WKL3" s="62"/>
      <c r="WKM3" s="62"/>
      <c r="WKN3" s="62"/>
      <c r="WKO3" s="62"/>
      <c r="WKP3" s="62"/>
      <c r="WKQ3" s="62"/>
      <c r="WKR3" s="62"/>
      <c r="WKS3" s="62"/>
      <c r="WKT3" s="62"/>
      <c r="WKU3" s="62"/>
      <c r="WKV3" s="62"/>
      <c r="WKW3" s="62"/>
      <c r="WKX3" s="62"/>
      <c r="WKY3" s="62"/>
      <c r="WKZ3" s="62"/>
      <c r="WLA3" s="62"/>
      <c r="WLB3" s="62"/>
      <c r="WLC3" s="62"/>
      <c r="WLD3" s="62"/>
      <c r="WLE3" s="62"/>
      <c r="WLF3" s="62"/>
      <c r="WLG3" s="62"/>
      <c r="WLH3" s="62"/>
      <c r="WLI3" s="62"/>
      <c r="WLJ3" s="62"/>
      <c r="WLK3" s="62"/>
      <c r="WLL3" s="62"/>
      <c r="WLM3" s="62"/>
      <c r="WLN3" s="62"/>
      <c r="WLO3" s="62"/>
      <c r="WLP3" s="62"/>
      <c r="WLQ3" s="62"/>
      <c r="WLR3" s="62"/>
      <c r="WLS3" s="62"/>
      <c r="WLT3" s="62"/>
      <c r="WLU3" s="62"/>
      <c r="WLV3" s="62"/>
      <c r="WLW3" s="62"/>
      <c r="WLX3" s="62"/>
      <c r="WLY3" s="62"/>
      <c r="WLZ3" s="62"/>
      <c r="WMA3" s="62"/>
      <c r="WMB3" s="62"/>
      <c r="WMC3" s="62"/>
      <c r="WMD3" s="62"/>
      <c r="WME3" s="62"/>
      <c r="WMF3" s="62"/>
      <c r="WMG3" s="62"/>
      <c r="WMH3" s="62"/>
      <c r="WMI3" s="62"/>
      <c r="WMJ3" s="62"/>
      <c r="WMK3" s="62"/>
      <c r="WML3" s="62"/>
      <c r="WMM3" s="62"/>
      <c r="WMN3" s="62"/>
      <c r="WMO3" s="62"/>
      <c r="WMP3" s="62"/>
      <c r="WMQ3" s="62"/>
      <c r="WMR3" s="62"/>
      <c r="WMS3" s="62"/>
      <c r="WMT3" s="62"/>
      <c r="WMU3" s="62"/>
      <c r="WMV3" s="62"/>
      <c r="WMW3" s="62"/>
      <c r="WMX3" s="62"/>
      <c r="WMY3" s="62"/>
      <c r="WMZ3" s="62"/>
      <c r="WNA3" s="62"/>
      <c r="WNB3" s="62"/>
      <c r="WNC3" s="62"/>
      <c r="WND3" s="62"/>
      <c r="WNE3" s="62"/>
      <c r="WNF3" s="62"/>
      <c r="WNG3" s="62"/>
      <c r="WNH3" s="62"/>
      <c r="WNI3" s="62"/>
      <c r="WNJ3" s="62"/>
      <c r="WNK3" s="62"/>
      <c r="WNL3" s="62"/>
      <c r="WNM3" s="62"/>
      <c r="WNN3" s="62"/>
      <c r="WNO3" s="62"/>
      <c r="WNP3" s="62"/>
      <c r="WNQ3" s="62"/>
      <c r="WNR3" s="62"/>
      <c r="WNS3" s="62"/>
      <c r="WNT3" s="62"/>
      <c r="WNU3" s="62"/>
      <c r="WNV3" s="62"/>
      <c r="WNW3" s="62"/>
      <c r="WNX3" s="62"/>
      <c r="WNY3" s="62"/>
      <c r="WNZ3" s="62"/>
      <c r="WOA3" s="62"/>
      <c r="WOB3" s="62"/>
      <c r="WOC3" s="62"/>
      <c r="WOD3" s="62"/>
      <c r="WOE3" s="62"/>
      <c r="WOF3" s="62"/>
      <c r="WOG3" s="62"/>
      <c r="WOH3" s="62"/>
      <c r="WOI3" s="62"/>
      <c r="WOJ3" s="62"/>
      <c r="WOK3" s="62"/>
      <c r="WOL3" s="62"/>
      <c r="WOM3" s="62"/>
      <c r="WON3" s="62"/>
      <c r="WOO3" s="62"/>
      <c r="WOP3" s="62"/>
      <c r="WOQ3" s="62"/>
      <c r="WOR3" s="62"/>
      <c r="WOS3" s="62"/>
      <c r="WOT3" s="62"/>
      <c r="WOU3" s="62"/>
      <c r="WOV3" s="62"/>
      <c r="WOW3" s="62"/>
      <c r="WOX3" s="62"/>
      <c r="WOY3" s="62"/>
      <c r="WOZ3" s="62"/>
      <c r="WPA3" s="62"/>
      <c r="WPB3" s="62"/>
      <c r="WPC3" s="62"/>
      <c r="WPD3" s="62"/>
      <c r="WPE3" s="62"/>
      <c r="WPF3" s="62"/>
      <c r="WPG3" s="62"/>
      <c r="WPH3" s="62"/>
      <c r="WPI3" s="62"/>
      <c r="WPJ3" s="62"/>
      <c r="WPK3" s="62"/>
      <c r="WPL3" s="62"/>
      <c r="WPM3" s="62"/>
      <c r="WPN3" s="62"/>
      <c r="WPO3" s="62"/>
      <c r="WPP3" s="62"/>
      <c r="WPQ3" s="62"/>
      <c r="WPR3" s="62"/>
      <c r="WPS3" s="62"/>
      <c r="WPT3" s="62"/>
      <c r="WPU3" s="62"/>
      <c r="WPV3" s="62"/>
      <c r="WPW3" s="62"/>
      <c r="WPX3" s="62"/>
      <c r="WPY3" s="62"/>
      <c r="WPZ3" s="62"/>
      <c r="WQA3" s="62"/>
      <c r="WQB3" s="62"/>
      <c r="WQC3" s="62"/>
      <c r="WQD3" s="62"/>
      <c r="WQE3" s="62"/>
      <c r="WQF3" s="62"/>
      <c r="WQG3" s="62"/>
      <c r="WQH3" s="62"/>
      <c r="WQI3" s="62"/>
      <c r="WQJ3" s="62"/>
      <c r="WQK3" s="62"/>
      <c r="WQL3" s="62"/>
      <c r="WQM3" s="62"/>
      <c r="WQN3" s="62"/>
      <c r="WQO3" s="62"/>
      <c r="WQP3" s="62"/>
      <c r="WQQ3" s="62"/>
      <c r="WQR3" s="62"/>
      <c r="WQS3" s="62"/>
      <c r="WQT3" s="62"/>
      <c r="WQU3" s="62"/>
      <c r="WQV3" s="62"/>
      <c r="WQW3" s="62"/>
      <c r="WQX3" s="62"/>
      <c r="WQY3" s="62"/>
      <c r="WQZ3" s="62"/>
      <c r="WRA3" s="62"/>
      <c r="WRB3" s="62"/>
      <c r="WRC3" s="62"/>
      <c r="WRD3" s="62"/>
      <c r="WRE3" s="62"/>
      <c r="WRF3" s="62"/>
      <c r="WRG3" s="62"/>
      <c r="WRH3" s="62"/>
      <c r="WRI3" s="62"/>
      <c r="WRJ3" s="62"/>
      <c r="WRK3" s="62"/>
      <c r="WRL3" s="62"/>
      <c r="WRM3" s="62"/>
      <c r="WRN3" s="62"/>
      <c r="WRO3" s="62"/>
      <c r="WRP3" s="62"/>
      <c r="WRQ3" s="62"/>
      <c r="WRR3" s="62"/>
      <c r="WRS3" s="62"/>
      <c r="WRT3" s="62"/>
      <c r="WRU3" s="62"/>
      <c r="WRV3" s="62"/>
      <c r="WRW3" s="62"/>
      <c r="WRX3" s="62"/>
      <c r="WRY3" s="62"/>
      <c r="WRZ3" s="62"/>
      <c r="WSA3" s="62"/>
      <c r="WSB3" s="62"/>
      <c r="WSC3" s="62"/>
      <c r="WSD3" s="62"/>
      <c r="WSE3" s="62"/>
      <c r="WSF3" s="62"/>
      <c r="WSG3" s="62"/>
      <c r="WSH3" s="62"/>
      <c r="WSI3" s="62"/>
      <c r="WSJ3" s="62"/>
      <c r="WSK3" s="62"/>
      <c r="WSL3" s="62"/>
      <c r="WSM3" s="62"/>
      <c r="WSN3" s="62"/>
      <c r="WSO3" s="62"/>
      <c r="WSP3" s="62"/>
      <c r="WSQ3" s="62"/>
      <c r="WSR3" s="62"/>
      <c r="WSS3" s="62"/>
      <c r="WST3" s="62"/>
      <c r="WSU3" s="62"/>
      <c r="WSV3" s="62"/>
      <c r="WSW3" s="62"/>
      <c r="WSX3" s="62"/>
      <c r="WSY3" s="62"/>
      <c r="WSZ3" s="62"/>
      <c r="WTA3" s="62"/>
      <c r="WTB3" s="62"/>
      <c r="WTC3" s="62"/>
      <c r="WTD3" s="62"/>
      <c r="WTE3" s="62"/>
      <c r="WTF3" s="62"/>
      <c r="WTG3" s="62"/>
      <c r="WTH3" s="62"/>
      <c r="WTI3" s="62"/>
      <c r="WTJ3" s="62"/>
      <c r="WTK3" s="62"/>
      <c r="WTL3" s="62"/>
      <c r="WTM3" s="62"/>
      <c r="WTN3" s="62"/>
      <c r="WTO3" s="62"/>
      <c r="WTP3" s="62"/>
      <c r="WTQ3" s="62"/>
      <c r="WTR3" s="62"/>
      <c r="WTS3" s="62"/>
      <c r="WTT3" s="62"/>
      <c r="WTU3" s="62"/>
      <c r="WTV3" s="62"/>
      <c r="WTW3" s="62"/>
      <c r="WTX3" s="62"/>
      <c r="WTY3" s="62"/>
      <c r="WTZ3" s="62"/>
      <c r="WUA3" s="62"/>
      <c r="WUB3" s="62"/>
      <c r="WUC3" s="62"/>
      <c r="WUD3" s="62"/>
      <c r="WUE3" s="62"/>
      <c r="WUF3" s="62"/>
      <c r="WUG3" s="62"/>
      <c r="WUH3" s="62"/>
      <c r="WUI3" s="62"/>
      <c r="WUJ3" s="62"/>
      <c r="WUK3" s="62"/>
      <c r="WUL3" s="62"/>
      <c r="WUM3" s="62"/>
      <c r="WUN3" s="62"/>
      <c r="WUO3" s="62"/>
      <c r="WUP3" s="62"/>
      <c r="WUQ3" s="62"/>
      <c r="WUR3" s="62"/>
      <c r="WUS3" s="62"/>
      <c r="WUT3" s="62"/>
      <c r="WUU3" s="62"/>
      <c r="WUV3" s="62"/>
      <c r="WUW3" s="62"/>
      <c r="WUX3" s="62"/>
      <c r="WUY3" s="62"/>
      <c r="WUZ3" s="62"/>
      <c r="WVA3" s="62"/>
      <c r="WVB3" s="62"/>
      <c r="WVC3" s="62"/>
      <c r="WVD3" s="62"/>
      <c r="WVE3" s="62"/>
      <c r="WVF3" s="62"/>
      <c r="WVG3" s="62"/>
      <c r="WVH3" s="62"/>
      <c r="WVI3" s="62"/>
      <c r="WVJ3" s="62"/>
      <c r="WVK3" s="62"/>
      <c r="WVL3" s="62"/>
      <c r="WVM3" s="62"/>
      <c r="WVN3" s="62"/>
      <c r="WVO3" s="62"/>
      <c r="WVP3" s="62"/>
      <c r="WVQ3" s="62"/>
      <c r="WVR3" s="62"/>
      <c r="WVS3" s="62"/>
      <c r="WVT3" s="62"/>
      <c r="WVU3" s="62"/>
      <c r="WVV3" s="62"/>
      <c r="WVW3" s="62"/>
      <c r="WVX3" s="62"/>
      <c r="WVY3" s="62"/>
      <c r="WVZ3" s="62"/>
      <c r="WWA3" s="62"/>
      <c r="WWB3" s="62"/>
      <c r="WWC3" s="62"/>
      <c r="WWD3" s="62"/>
      <c r="WWE3" s="62"/>
      <c r="WWF3" s="62"/>
      <c r="WWG3" s="62"/>
      <c r="WWH3" s="62"/>
      <c r="WWI3" s="62"/>
      <c r="WWJ3" s="62"/>
      <c r="WWK3" s="62"/>
      <c r="WWL3" s="62"/>
      <c r="WWM3" s="62"/>
      <c r="WWN3" s="62"/>
      <c r="WWO3" s="62"/>
      <c r="WWP3" s="62"/>
      <c r="WWQ3" s="62"/>
      <c r="WWR3" s="62"/>
      <c r="WWS3" s="62"/>
      <c r="WWT3" s="62"/>
      <c r="WWU3" s="62"/>
      <c r="WWV3" s="62"/>
      <c r="WWW3" s="62"/>
      <c r="WWX3" s="62"/>
      <c r="WWY3" s="62"/>
      <c r="WWZ3" s="62"/>
      <c r="WXA3" s="62"/>
      <c r="WXB3" s="62"/>
      <c r="WXC3" s="62"/>
      <c r="WXD3" s="62"/>
      <c r="WXE3" s="62"/>
      <c r="WXF3" s="62"/>
      <c r="WXG3" s="62"/>
      <c r="WXH3" s="62"/>
      <c r="WXI3" s="62"/>
      <c r="WXJ3" s="62"/>
      <c r="WXK3" s="62"/>
      <c r="WXL3" s="62"/>
      <c r="WXM3" s="62"/>
      <c r="WXN3" s="62"/>
      <c r="WXO3" s="62"/>
      <c r="WXP3" s="62"/>
      <c r="WXQ3" s="62"/>
      <c r="WXR3" s="62"/>
      <c r="WXS3" s="62"/>
      <c r="WXT3" s="62"/>
      <c r="WXU3" s="62"/>
      <c r="WXV3" s="62"/>
      <c r="WXW3" s="62"/>
      <c r="WXX3" s="62"/>
      <c r="WXY3" s="62"/>
      <c r="WXZ3" s="62"/>
      <c r="WYA3" s="62"/>
      <c r="WYB3" s="62"/>
      <c r="WYC3" s="62"/>
      <c r="WYD3" s="62"/>
      <c r="WYE3" s="62"/>
      <c r="WYF3" s="62"/>
      <c r="WYG3" s="62"/>
      <c r="WYH3" s="62"/>
      <c r="WYI3" s="62"/>
      <c r="WYJ3" s="62"/>
      <c r="WYK3" s="62"/>
      <c r="WYL3" s="62"/>
      <c r="WYM3" s="62"/>
      <c r="WYN3" s="62"/>
      <c r="WYO3" s="62"/>
      <c r="WYP3" s="62"/>
      <c r="WYQ3" s="62"/>
      <c r="WYR3" s="62"/>
      <c r="WYS3" s="62"/>
      <c r="WYT3" s="62"/>
      <c r="WYU3" s="62"/>
      <c r="WYV3" s="62"/>
      <c r="WYW3" s="62"/>
      <c r="WYX3" s="62"/>
      <c r="WYY3" s="62"/>
      <c r="WYZ3" s="62"/>
      <c r="WZA3" s="62"/>
      <c r="WZB3" s="62"/>
      <c r="WZC3" s="62"/>
      <c r="WZD3" s="62"/>
      <c r="WZE3" s="62"/>
      <c r="WZF3" s="62"/>
      <c r="WZG3" s="62"/>
      <c r="WZH3" s="62"/>
      <c r="WZI3" s="62"/>
      <c r="WZJ3" s="62"/>
      <c r="WZK3" s="62"/>
      <c r="WZL3" s="62"/>
      <c r="WZM3" s="62"/>
      <c r="WZN3" s="62"/>
      <c r="WZO3" s="62"/>
      <c r="WZP3" s="62"/>
      <c r="WZQ3" s="62"/>
      <c r="WZR3" s="62"/>
      <c r="WZS3" s="62"/>
      <c r="WZT3" s="62"/>
      <c r="WZU3" s="62"/>
      <c r="WZV3" s="62"/>
      <c r="WZW3" s="62"/>
      <c r="WZX3" s="62"/>
      <c r="WZY3" s="62"/>
      <c r="WZZ3" s="62"/>
      <c r="XAA3" s="62"/>
      <c r="XAB3" s="62"/>
      <c r="XAC3" s="62"/>
      <c r="XAD3" s="62"/>
      <c r="XAE3" s="62"/>
      <c r="XAF3" s="62"/>
      <c r="XAG3" s="62"/>
      <c r="XAH3" s="62"/>
      <c r="XAI3" s="62"/>
      <c r="XAJ3" s="62"/>
      <c r="XAK3" s="62"/>
      <c r="XAL3" s="62"/>
      <c r="XAM3" s="62"/>
      <c r="XAN3" s="62"/>
      <c r="XAO3" s="62"/>
      <c r="XAP3" s="62"/>
      <c r="XAQ3" s="62"/>
      <c r="XAR3" s="62"/>
      <c r="XAS3" s="62"/>
      <c r="XAT3" s="62"/>
      <c r="XAU3" s="62"/>
      <c r="XAV3" s="62"/>
      <c r="XAW3" s="62"/>
      <c r="XAX3" s="62"/>
      <c r="XAY3" s="62"/>
      <c r="XAZ3" s="62"/>
      <c r="XBA3" s="62"/>
      <c r="XBB3" s="62"/>
      <c r="XBC3" s="62"/>
      <c r="XBD3" s="62"/>
      <c r="XBE3" s="62"/>
      <c r="XBF3" s="62"/>
      <c r="XBG3" s="62"/>
      <c r="XBH3" s="62"/>
      <c r="XBI3" s="62"/>
      <c r="XBJ3" s="62"/>
      <c r="XBK3" s="62"/>
      <c r="XBL3" s="62"/>
      <c r="XBM3" s="62"/>
      <c r="XBN3" s="62"/>
      <c r="XBO3" s="62"/>
      <c r="XBP3" s="62"/>
      <c r="XBQ3" s="62"/>
      <c r="XBR3" s="62"/>
      <c r="XBS3" s="62"/>
      <c r="XBT3" s="62"/>
      <c r="XBU3" s="62"/>
      <c r="XBV3" s="62"/>
      <c r="XBW3" s="62"/>
      <c r="XBX3" s="62"/>
      <c r="XBY3" s="62"/>
      <c r="XBZ3" s="62"/>
      <c r="XCA3" s="62"/>
      <c r="XCB3" s="62"/>
      <c r="XCC3" s="62"/>
      <c r="XCD3" s="62"/>
      <c r="XCE3" s="62"/>
      <c r="XCF3" s="62"/>
      <c r="XCG3" s="62"/>
      <c r="XCH3" s="62"/>
      <c r="XCI3" s="62"/>
      <c r="XCJ3" s="62"/>
      <c r="XCK3" s="62"/>
      <c r="XCL3" s="62"/>
      <c r="XCM3" s="62"/>
      <c r="XCN3" s="62"/>
      <c r="XCO3" s="62"/>
      <c r="XCP3" s="62"/>
      <c r="XCQ3" s="62"/>
      <c r="XCR3" s="62"/>
      <c r="XCS3" s="62"/>
      <c r="XCT3" s="62"/>
      <c r="XCU3" s="62"/>
      <c r="XCV3" s="62"/>
      <c r="XCW3" s="62"/>
      <c r="XCX3" s="62"/>
      <c r="XCY3" s="62"/>
      <c r="XCZ3" s="62"/>
      <c r="XDA3" s="62"/>
      <c r="XDB3" s="62"/>
      <c r="XDC3" s="62"/>
      <c r="XDD3" s="62"/>
      <c r="XDE3" s="62"/>
      <c r="XDF3" s="62"/>
      <c r="XDG3" s="62"/>
      <c r="XDH3" s="62"/>
      <c r="XDI3" s="62"/>
      <c r="XDJ3" s="62"/>
      <c r="XDK3" s="62"/>
      <c r="XDL3" s="62"/>
      <c r="XDM3" s="62"/>
      <c r="XDN3" s="62"/>
      <c r="XDO3" s="62"/>
      <c r="XDP3" s="62"/>
      <c r="XDQ3" s="62"/>
      <c r="XDR3" s="62"/>
      <c r="XDS3" s="62"/>
      <c r="XDT3" s="62"/>
      <c r="XDU3" s="62"/>
      <c r="XDV3" s="62"/>
      <c r="XEG3" s="62"/>
      <c r="XEH3" s="62"/>
      <c r="XEI3" s="62"/>
      <c r="XEJ3" s="62"/>
      <c r="XEK3" s="62"/>
      <c r="XEL3" s="62"/>
      <c r="XEM3" s="62"/>
    </row>
    <row r="4" s="22" customFormat="1" ht="15" spans="1:1024 1025:16379">
      <c r="A4" s="41">
        <f>ROW()-3</f>
        <v>1</v>
      </c>
      <c r="B4" s="41" t="s">
        <v>20</v>
      </c>
      <c r="C4" s="41" t="s">
        <v>21</v>
      </c>
      <c r="D4" s="41" t="s">
        <v>22</v>
      </c>
      <c r="E4" s="41" t="s">
        <v>23</v>
      </c>
      <c r="F4" s="41" t="s">
        <v>24</v>
      </c>
      <c r="G4" s="41" t="s">
        <v>25</v>
      </c>
      <c r="H4" s="41" t="s">
        <v>26</v>
      </c>
      <c r="I4" s="41">
        <f>8*4*4</f>
        <v>128</v>
      </c>
      <c r="J4" s="41">
        <f>8*4*2</f>
        <v>64</v>
      </c>
      <c r="K4" s="41"/>
      <c r="L4" s="42">
        <f>L3</f>
        <v>0</v>
      </c>
      <c r="M4" s="42">
        <f t="shared" ref="L4:N4" si="0">M3</f>
        <v>0</v>
      </c>
      <c r="N4" s="42">
        <f t="shared" si="0"/>
        <v>0</v>
      </c>
      <c r="O4" s="43">
        <f t="shared" ref="O4:O7" si="1">I4*L4+J4*M4+K4*N4</f>
        <v>0</v>
      </c>
      <c r="P4" s="44"/>
      <c r="Q4" s="45">
        <f t="shared" ref="Q4:Q7" si="2">O4+P4</f>
        <v>0</v>
      </c>
      <c r="R4" s="45">
        <f>Q4+1.5</f>
        <v>1.5</v>
      </c>
      <c r="T4" s="41">
        <f t="shared" ref="T4:T9" si="3">ROW()-3</f>
        <v>1</v>
      </c>
      <c r="U4" s="58" t="s">
        <v>27</v>
      </c>
      <c r="V4" s="58" t="s">
        <v>21</v>
      </c>
      <c r="W4" s="58" t="s">
        <v>22</v>
      </c>
      <c r="X4" s="58" t="s">
        <v>23</v>
      </c>
      <c r="Y4" s="58" t="s">
        <v>28</v>
      </c>
      <c r="Z4" s="58" t="s">
        <v>25</v>
      </c>
      <c r="AA4" s="58" t="s">
        <v>26</v>
      </c>
      <c r="AB4" s="58">
        <v>256</v>
      </c>
      <c r="AC4" s="58">
        <v>128</v>
      </c>
      <c r="AD4" s="58"/>
      <c r="AE4" s="42">
        <f t="shared" ref="AE4:AG4" si="4">AE3</f>
        <v>0</v>
      </c>
      <c r="AF4" s="42">
        <f t="shared" si="4"/>
        <v>0</v>
      </c>
      <c r="AG4" s="42">
        <f t="shared" si="4"/>
        <v>0</v>
      </c>
      <c r="AH4" s="68">
        <f t="shared" ref="AH4:AH9" si="5">AB4*AE4+AC4*AF4+AD4*AG4</f>
        <v>0</v>
      </c>
      <c r="AI4" s="50">
        <v>111.42</v>
      </c>
      <c r="AJ4" s="69">
        <f t="shared" ref="AJ4:AJ9" si="6">AH4+AI4</f>
        <v>111.42</v>
      </c>
      <c r="AK4" s="69">
        <f t="shared" ref="AK4:AK9" si="7">AJ4+3.5</f>
        <v>114.92</v>
      </c>
      <c r="XET4" s="86"/>
      <c r="XEU4" s="86"/>
      <c r="XEV4" s="86"/>
      <c r="XEW4" s="86"/>
      <c r="XEX4" s="86"/>
      <c r="XEY4" s="86"/>
    </row>
    <row r="5" s="22" customFormat="1" ht="15" spans="1:1024 1025:16379">
      <c r="A5" s="41">
        <f>ROW()-3</f>
        <v>2</v>
      </c>
      <c r="B5" s="41" t="s">
        <v>20</v>
      </c>
      <c r="C5" s="41" t="s">
        <v>29</v>
      </c>
      <c r="D5" s="41" t="s">
        <v>22</v>
      </c>
      <c r="E5" s="41" t="s">
        <v>23</v>
      </c>
      <c r="F5" s="41" t="s">
        <v>24</v>
      </c>
      <c r="G5" s="41" t="s">
        <v>25</v>
      </c>
      <c r="H5" s="41" t="s">
        <v>30</v>
      </c>
      <c r="I5" s="41">
        <f>8*4*4</f>
        <v>128</v>
      </c>
      <c r="J5" s="41">
        <f>8*4*2</f>
        <v>64</v>
      </c>
      <c r="K5" s="41">
        <f>8*4*1</f>
        <v>32</v>
      </c>
      <c r="L5" s="42">
        <f t="shared" ref="L5:N5" si="8">L3</f>
        <v>0</v>
      </c>
      <c r="M5" s="42">
        <f t="shared" si="8"/>
        <v>0</v>
      </c>
      <c r="N5" s="42">
        <f t="shared" si="8"/>
        <v>0</v>
      </c>
      <c r="O5" s="43">
        <f t="shared" si="1"/>
        <v>0</v>
      </c>
      <c r="P5" s="44"/>
      <c r="Q5" s="45">
        <f t="shared" si="2"/>
        <v>0</v>
      </c>
      <c r="R5" s="45">
        <f>Q5+1.5</f>
        <v>1.5</v>
      </c>
      <c r="T5" s="41">
        <f t="shared" si="3"/>
        <v>2</v>
      </c>
      <c r="U5" s="58" t="s">
        <v>27</v>
      </c>
      <c r="V5" s="58" t="s">
        <v>29</v>
      </c>
      <c r="W5" s="58" t="s">
        <v>22</v>
      </c>
      <c r="X5" s="58" t="s">
        <v>23</v>
      </c>
      <c r="Y5" s="58" t="s">
        <v>28</v>
      </c>
      <c r="Z5" s="58" t="s">
        <v>25</v>
      </c>
      <c r="AA5" s="41" t="s">
        <v>30</v>
      </c>
      <c r="AB5" s="58">
        <v>256</v>
      </c>
      <c r="AC5" s="58">
        <v>128</v>
      </c>
      <c r="AD5" s="58">
        <v>64</v>
      </c>
      <c r="AE5" s="42">
        <f t="shared" ref="AE5:AG5" si="9">AE4</f>
        <v>0</v>
      </c>
      <c r="AF5" s="42">
        <f t="shared" si="9"/>
        <v>0</v>
      </c>
      <c r="AG5" s="42">
        <f t="shared" si="9"/>
        <v>0</v>
      </c>
      <c r="AH5" s="68">
        <f t="shared" si="5"/>
        <v>0</v>
      </c>
      <c r="AI5" s="50">
        <v>118.58</v>
      </c>
      <c r="AJ5" s="69">
        <f t="shared" si="6"/>
        <v>118.58</v>
      </c>
      <c r="AK5" s="69">
        <f t="shared" si="7"/>
        <v>122.08</v>
      </c>
      <c r="XET5" s="86"/>
      <c r="XEU5" s="86"/>
      <c r="XEV5" s="86"/>
      <c r="XEW5" s="86"/>
      <c r="XEX5" s="86"/>
      <c r="XEY5" s="86"/>
    </row>
    <row r="6" s="22" customFormat="1" ht="15" spans="1:1024 1025:16379">
      <c r="A6" s="41">
        <f>ROW()-3</f>
        <v>3</v>
      </c>
      <c r="B6" s="41" t="s">
        <v>20</v>
      </c>
      <c r="C6" s="41" t="s">
        <v>31</v>
      </c>
      <c r="D6" s="41" t="s">
        <v>22</v>
      </c>
      <c r="E6" s="41" t="s">
        <v>23</v>
      </c>
      <c r="F6" s="41" t="s">
        <v>24</v>
      </c>
      <c r="G6" s="41" t="s">
        <v>25</v>
      </c>
      <c r="H6" s="41" t="s">
        <v>26</v>
      </c>
      <c r="I6" s="41">
        <v>96</v>
      </c>
      <c r="J6" s="41">
        <v>64</v>
      </c>
      <c r="K6" s="41"/>
      <c r="L6" s="42">
        <f t="shared" ref="L6:N6" si="10">L3</f>
        <v>0</v>
      </c>
      <c r="M6" s="42">
        <f t="shared" si="10"/>
        <v>0</v>
      </c>
      <c r="N6" s="42">
        <f t="shared" si="10"/>
        <v>0</v>
      </c>
      <c r="O6" s="43">
        <f t="shared" si="1"/>
        <v>0</v>
      </c>
      <c r="P6" s="44"/>
      <c r="Q6" s="45">
        <f t="shared" si="2"/>
        <v>0</v>
      </c>
      <c r="R6" s="45">
        <f>Q6+1.5</f>
        <v>1.5</v>
      </c>
      <c r="T6" s="41">
        <f t="shared" si="3"/>
        <v>3</v>
      </c>
      <c r="U6" s="58" t="s">
        <v>27</v>
      </c>
      <c r="V6" s="58" t="s">
        <v>31</v>
      </c>
      <c r="W6" s="58" t="s">
        <v>22</v>
      </c>
      <c r="X6" s="58" t="s">
        <v>23</v>
      </c>
      <c r="Y6" s="58" t="s">
        <v>28</v>
      </c>
      <c r="Z6" s="58" t="s">
        <v>25</v>
      </c>
      <c r="AA6" s="58" t="s">
        <v>26</v>
      </c>
      <c r="AB6" s="58">
        <v>192</v>
      </c>
      <c r="AC6" s="58">
        <v>128</v>
      </c>
      <c r="AD6" s="58"/>
      <c r="AE6" s="42">
        <f t="shared" ref="AE6:AG6" si="11">AE5</f>
        <v>0</v>
      </c>
      <c r="AF6" s="42">
        <f t="shared" si="11"/>
        <v>0</v>
      </c>
      <c r="AG6" s="42">
        <f t="shared" si="11"/>
        <v>0</v>
      </c>
      <c r="AH6" s="68">
        <f t="shared" si="5"/>
        <v>0</v>
      </c>
      <c r="AI6" s="50">
        <v>110.42</v>
      </c>
      <c r="AJ6" s="69">
        <f t="shared" si="6"/>
        <v>110.42</v>
      </c>
      <c r="AK6" s="69">
        <f t="shared" si="7"/>
        <v>113.92</v>
      </c>
      <c r="XET6" s="86"/>
      <c r="XEU6" s="86"/>
      <c r="XEV6" s="86"/>
      <c r="XEW6" s="86"/>
      <c r="XEX6" s="86"/>
      <c r="XEY6" s="86"/>
    </row>
    <row r="7" s="22" customFormat="1" ht="15" spans="1:1024 1025:16379">
      <c r="A7" s="41">
        <f>ROW()-3</f>
        <v>4</v>
      </c>
      <c r="B7" s="41" t="s">
        <v>20</v>
      </c>
      <c r="C7" s="41" t="s">
        <v>32</v>
      </c>
      <c r="D7" s="41" t="s">
        <v>22</v>
      </c>
      <c r="E7" s="41" t="s">
        <v>23</v>
      </c>
      <c r="F7" s="41" t="s">
        <v>24</v>
      </c>
      <c r="G7" s="41" t="s">
        <v>25</v>
      </c>
      <c r="H7" s="41" t="s">
        <v>26</v>
      </c>
      <c r="I7" s="41">
        <v>64</v>
      </c>
      <c r="J7" s="41">
        <v>32</v>
      </c>
      <c r="K7" s="41"/>
      <c r="L7" s="42">
        <f t="shared" ref="L7:N7" si="12">L3</f>
        <v>0</v>
      </c>
      <c r="M7" s="42">
        <f t="shared" si="12"/>
        <v>0</v>
      </c>
      <c r="N7" s="42">
        <f t="shared" si="12"/>
        <v>0</v>
      </c>
      <c r="O7" s="43">
        <f t="shared" si="1"/>
        <v>0</v>
      </c>
      <c r="P7" s="44"/>
      <c r="Q7" s="45">
        <f t="shared" si="2"/>
        <v>0</v>
      </c>
      <c r="R7" s="45">
        <f>Q7+1.5</f>
        <v>1.5</v>
      </c>
      <c r="T7" s="41">
        <f t="shared" si="3"/>
        <v>4</v>
      </c>
      <c r="U7" s="58" t="s">
        <v>27</v>
      </c>
      <c r="V7" s="58" t="s">
        <v>33</v>
      </c>
      <c r="W7" s="58" t="s">
        <v>22</v>
      </c>
      <c r="X7" s="58" t="s">
        <v>23</v>
      </c>
      <c r="Y7" s="58" t="s">
        <v>28</v>
      </c>
      <c r="Z7" s="58" t="s">
        <v>25</v>
      </c>
      <c r="AA7" s="41" t="s">
        <v>30</v>
      </c>
      <c r="AB7" s="58">
        <v>192</v>
      </c>
      <c r="AC7" s="58">
        <v>128</v>
      </c>
      <c r="AD7" s="58">
        <v>64</v>
      </c>
      <c r="AE7" s="42">
        <f t="shared" ref="AE7:AG7" si="13">AE6</f>
        <v>0</v>
      </c>
      <c r="AF7" s="42">
        <f t="shared" si="13"/>
        <v>0</v>
      </c>
      <c r="AG7" s="42">
        <f t="shared" si="13"/>
        <v>0</v>
      </c>
      <c r="AH7" s="68">
        <f t="shared" si="5"/>
        <v>0</v>
      </c>
      <c r="AI7" s="50">
        <v>117.58</v>
      </c>
      <c r="AJ7" s="69">
        <f t="shared" si="6"/>
        <v>117.58</v>
      </c>
      <c r="AK7" s="69">
        <f t="shared" si="7"/>
        <v>121.08</v>
      </c>
      <c r="XET7" s="86"/>
      <c r="XEU7" s="86"/>
      <c r="XEV7" s="86"/>
      <c r="XEW7" s="86"/>
      <c r="XEX7" s="86"/>
      <c r="XEY7" s="86"/>
    </row>
    <row r="8" s="22" customFormat="1" ht="15" spans="1:1024 1025:16379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  <c r="M8" s="47"/>
      <c r="N8" s="47"/>
      <c r="O8" s="48"/>
      <c r="P8" s="49"/>
      <c r="Q8" s="45"/>
      <c r="R8" s="45"/>
      <c r="T8" s="41">
        <f t="shared" si="3"/>
        <v>5</v>
      </c>
      <c r="U8" s="58" t="s">
        <v>27</v>
      </c>
      <c r="V8" s="58" t="s">
        <v>32</v>
      </c>
      <c r="W8" s="58" t="s">
        <v>22</v>
      </c>
      <c r="X8" s="58" t="s">
        <v>23</v>
      </c>
      <c r="Y8" s="58" t="s">
        <v>28</v>
      </c>
      <c r="Z8" s="58" t="s">
        <v>25</v>
      </c>
      <c r="AA8" s="58" t="s">
        <v>26</v>
      </c>
      <c r="AB8" s="58">
        <v>128</v>
      </c>
      <c r="AC8" s="58">
        <v>64</v>
      </c>
      <c r="AD8" s="58"/>
      <c r="AE8" s="42">
        <f t="shared" ref="AE8:AG8" si="14">AE7</f>
        <v>0</v>
      </c>
      <c r="AF8" s="42">
        <f t="shared" si="14"/>
        <v>0</v>
      </c>
      <c r="AG8" s="42">
        <f t="shared" si="14"/>
        <v>0</v>
      </c>
      <c r="AH8" s="68">
        <f t="shared" si="5"/>
        <v>0</v>
      </c>
      <c r="AI8" s="50">
        <v>92.52</v>
      </c>
      <c r="AJ8" s="69">
        <f t="shared" si="6"/>
        <v>92.52</v>
      </c>
      <c r="AK8" s="69">
        <f t="shared" si="7"/>
        <v>96.02</v>
      </c>
      <c r="XET8" s="86"/>
      <c r="XEU8" s="86"/>
      <c r="XEV8" s="86"/>
      <c r="XEW8" s="86"/>
      <c r="XEX8" s="86"/>
      <c r="XEY8" s="86"/>
    </row>
    <row r="9" s="22" customFormat="1" ht="15" spans="1:1024 1025:16379">
      <c r="A9" s="41">
        <f t="shared" ref="A9:A14" si="15">ROW()-4</f>
        <v>5</v>
      </c>
      <c r="B9" s="58" t="s">
        <v>27</v>
      </c>
      <c r="C9" s="58" t="s">
        <v>21</v>
      </c>
      <c r="D9" s="58" t="s">
        <v>22</v>
      </c>
      <c r="E9" s="58" t="s">
        <v>23</v>
      </c>
      <c r="F9" s="58" t="s">
        <v>28</v>
      </c>
      <c r="G9" s="58" t="s">
        <v>25</v>
      </c>
      <c r="H9" s="58" t="s">
        <v>26</v>
      </c>
      <c r="I9" s="58">
        <v>256</v>
      </c>
      <c r="J9" s="58">
        <v>128</v>
      </c>
      <c r="K9" s="58"/>
      <c r="L9" s="42">
        <f t="shared" ref="L9:N9" si="16">L3</f>
        <v>0</v>
      </c>
      <c r="M9" s="42">
        <f t="shared" si="16"/>
        <v>0</v>
      </c>
      <c r="N9" s="42">
        <f t="shared" si="16"/>
        <v>0</v>
      </c>
      <c r="O9" s="68">
        <f t="shared" ref="O9:O14" si="17">I9*L9+J9*M9+K9*N9</f>
        <v>0</v>
      </c>
      <c r="P9" s="50"/>
      <c r="Q9" s="69">
        <f t="shared" ref="Q9:Q14" si="18">O9+P9</f>
        <v>0</v>
      </c>
      <c r="R9" s="69">
        <f t="shared" ref="R9:R14" si="19">Q9+3.5</f>
        <v>3.5</v>
      </c>
      <c r="T9" s="41">
        <f t="shared" si="3"/>
        <v>6</v>
      </c>
      <c r="U9" s="58" t="s">
        <v>27</v>
      </c>
      <c r="V9" s="58" t="s">
        <v>34</v>
      </c>
      <c r="W9" s="58" t="s">
        <v>22</v>
      </c>
      <c r="X9" s="58" t="s">
        <v>23</v>
      </c>
      <c r="Y9" s="58" t="s">
        <v>28</v>
      </c>
      <c r="Z9" s="58" t="s">
        <v>25</v>
      </c>
      <c r="AA9" s="41" t="s">
        <v>30</v>
      </c>
      <c r="AB9" s="58">
        <v>128</v>
      </c>
      <c r="AC9" s="58">
        <v>64</v>
      </c>
      <c r="AD9" s="58">
        <v>64</v>
      </c>
      <c r="AE9" s="42">
        <f t="shared" ref="AE9:AG9" si="20">AE8</f>
        <v>0</v>
      </c>
      <c r="AF9" s="42">
        <f t="shared" si="20"/>
        <v>0</v>
      </c>
      <c r="AG9" s="42">
        <f t="shared" si="20"/>
        <v>0</v>
      </c>
      <c r="AH9" s="68">
        <f t="shared" si="5"/>
        <v>0</v>
      </c>
      <c r="AI9" s="50">
        <v>106.38</v>
      </c>
      <c r="AJ9" s="69">
        <f t="shared" si="6"/>
        <v>106.38</v>
      </c>
      <c r="AK9" s="69">
        <f t="shared" si="7"/>
        <v>109.88</v>
      </c>
    </row>
    <row r="10" s="22" customFormat="1" ht="15" spans="1:1024 1025:16379">
      <c r="A10" s="41">
        <f t="shared" si="15"/>
        <v>6</v>
      </c>
      <c r="B10" s="58" t="s">
        <v>27</v>
      </c>
      <c r="C10" s="58" t="s">
        <v>29</v>
      </c>
      <c r="D10" s="58" t="s">
        <v>22</v>
      </c>
      <c r="E10" s="58" t="s">
        <v>23</v>
      </c>
      <c r="F10" s="58" t="s">
        <v>28</v>
      </c>
      <c r="G10" s="58" t="s">
        <v>25</v>
      </c>
      <c r="H10" s="41" t="s">
        <v>30</v>
      </c>
      <c r="I10" s="58">
        <v>256</v>
      </c>
      <c r="J10" s="58">
        <v>128</v>
      </c>
      <c r="K10" s="58">
        <v>64</v>
      </c>
      <c r="L10" s="42">
        <f t="shared" ref="L10:N10" si="21">L3</f>
        <v>0</v>
      </c>
      <c r="M10" s="42">
        <f t="shared" si="21"/>
        <v>0</v>
      </c>
      <c r="N10" s="42">
        <f t="shared" si="21"/>
        <v>0</v>
      </c>
      <c r="O10" s="68">
        <f t="shared" si="17"/>
        <v>0</v>
      </c>
      <c r="P10" s="50"/>
      <c r="Q10" s="69">
        <f t="shared" si="18"/>
        <v>0</v>
      </c>
      <c r="R10" s="69">
        <f t="shared" si="19"/>
        <v>3.5</v>
      </c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7"/>
      <c r="AF10" s="47"/>
      <c r="AG10" s="47"/>
      <c r="AH10" s="48"/>
      <c r="AI10" s="49"/>
      <c r="AJ10" s="45"/>
      <c r="AK10" s="45"/>
    </row>
    <row r="11" s="22" customFormat="1" ht="15" spans="1:1024 1025:16379">
      <c r="A11" s="41">
        <f t="shared" si="15"/>
        <v>7</v>
      </c>
      <c r="B11" s="58" t="s">
        <v>27</v>
      </c>
      <c r="C11" s="58" t="s">
        <v>31</v>
      </c>
      <c r="D11" s="58" t="s">
        <v>22</v>
      </c>
      <c r="E11" s="58" t="s">
        <v>23</v>
      </c>
      <c r="F11" s="58" t="s">
        <v>28</v>
      </c>
      <c r="G11" s="58" t="s">
        <v>25</v>
      </c>
      <c r="H11" s="58" t="s">
        <v>26</v>
      </c>
      <c r="I11" s="58">
        <v>192</v>
      </c>
      <c r="J11" s="58">
        <v>128</v>
      </c>
      <c r="K11" s="58"/>
      <c r="L11" s="42">
        <f t="shared" ref="L11:N11" si="22">L3</f>
        <v>0</v>
      </c>
      <c r="M11" s="42">
        <f t="shared" si="22"/>
        <v>0</v>
      </c>
      <c r="N11" s="42">
        <f t="shared" si="22"/>
        <v>0</v>
      </c>
      <c r="O11" s="68">
        <f t="shared" si="17"/>
        <v>0</v>
      </c>
      <c r="P11" s="50"/>
      <c r="Q11" s="69">
        <f t="shared" si="18"/>
        <v>0</v>
      </c>
      <c r="R11" s="69">
        <f t="shared" si="19"/>
        <v>3.5</v>
      </c>
      <c r="T11" s="41">
        <f>ROW()-4</f>
        <v>7</v>
      </c>
      <c r="U11" s="41" t="s">
        <v>35</v>
      </c>
      <c r="V11" s="41" t="s">
        <v>21</v>
      </c>
      <c r="W11" s="41" t="s">
        <v>22</v>
      </c>
      <c r="X11" s="41" t="s">
        <v>23</v>
      </c>
      <c r="Y11" s="41" t="s">
        <v>36</v>
      </c>
      <c r="Z11" s="41" t="s">
        <v>25</v>
      </c>
      <c r="AA11" s="41" t="s">
        <v>26</v>
      </c>
      <c r="AB11" s="41">
        <v>256</v>
      </c>
      <c r="AC11" s="41">
        <v>128</v>
      </c>
      <c r="AD11" s="41"/>
      <c r="AE11" s="42">
        <f t="shared" ref="AE11:AG11" si="23">AE3</f>
        <v>0</v>
      </c>
      <c r="AF11" s="42">
        <f t="shared" si="23"/>
        <v>0</v>
      </c>
      <c r="AG11" s="42">
        <f t="shared" si="23"/>
        <v>0</v>
      </c>
      <c r="AH11" s="43">
        <f t="shared" ref="AH11:AH16" si="24">AB11*AE11+AC11*AF11+AD11*AG11</f>
        <v>0</v>
      </c>
      <c r="AI11" s="44">
        <v>90.27</v>
      </c>
      <c r="AJ11" s="45">
        <f t="shared" ref="AJ11:AJ16" si="25">AH11+AI11</f>
        <v>90.27</v>
      </c>
      <c r="AK11" s="45">
        <f t="shared" ref="AK11:AK16" si="26">AJ11+2.5</f>
        <v>92.77</v>
      </c>
    </row>
    <row r="12" s="22" customFormat="1" ht="15" spans="1:1024 1025:16379">
      <c r="A12" s="41">
        <f t="shared" si="15"/>
        <v>8</v>
      </c>
      <c r="B12" s="58" t="s">
        <v>27</v>
      </c>
      <c r="C12" s="58" t="s">
        <v>33</v>
      </c>
      <c r="D12" s="58" t="s">
        <v>22</v>
      </c>
      <c r="E12" s="58" t="s">
        <v>23</v>
      </c>
      <c r="F12" s="58" t="s">
        <v>28</v>
      </c>
      <c r="G12" s="58" t="s">
        <v>25</v>
      </c>
      <c r="H12" s="41" t="s">
        <v>30</v>
      </c>
      <c r="I12" s="58">
        <v>192</v>
      </c>
      <c r="J12" s="58">
        <v>128</v>
      </c>
      <c r="K12" s="58">
        <v>64</v>
      </c>
      <c r="L12" s="42">
        <f t="shared" ref="L12:N12" si="27">L3</f>
        <v>0</v>
      </c>
      <c r="M12" s="42">
        <f t="shared" si="27"/>
        <v>0</v>
      </c>
      <c r="N12" s="42">
        <f t="shared" si="27"/>
        <v>0</v>
      </c>
      <c r="O12" s="68">
        <f t="shared" si="17"/>
        <v>0</v>
      </c>
      <c r="P12" s="50"/>
      <c r="Q12" s="69">
        <f t="shared" si="18"/>
        <v>0</v>
      </c>
      <c r="R12" s="69">
        <f t="shared" si="19"/>
        <v>3.5</v>
      </c>
      <c r="T12" s="41">
        <f>ROW()-4</f>
        <v>8</v>
      </c>
      <c r="U12" s="41" t="s">
        <v>35</v>
      </c>
      <c r="V12" s="41" t="s">
        <v>29</v>
      </c>
      <c r="W12" s="41" t="s">
        <v>22</v>
      </c>
      <c r="X12" s="41" t="s">
        <v>23</v>
      </c>
      <c r="Y12" s="41" t="s">
        <v>36</v>
      </c>
      <c r="Z12" s="41" t="s">
        <v>25</v>
      </c>
      <c r="AA12" s="41" t="s">
        <v>30</v>
      </c>
      <c r="AB12" s="41">
        <v>256</v>
      </c>
      <c r="AC12" s="41">
        <v>128</v>
      </c>
      <c r="AD12" s="41">
        <v>64</v>
      </c>
      <c r="AE12" s="42">
        <f t="shared" ref="AE12:AG12" si="28">AE3</f>
        <v>0</v>
      </c>
      <c r="AF12" s="42">
        <f t="shared" si="28"/>
        <v>0</v>
      </c>
      <c r="AG12" s="42">
        <f t="shared" si="28"/>
        <v>0</v>
      </c>
      <c r="AH12" s="43">
        <f t="shared" si="24"/>
        <v>0</v>
      </c>
      <c r="AI12" s="44"/>
      <c r="AJ12" s="45"/>
      <c r="AK12" s="45"/>
    </row>
    <row r="13" s="22" customFormat="1" ht="15" spans="1:1024 1025:16379">
      <c r="A13" s="41">
        <f t="shared" si="15"/>
        <v>9</v>
      </c>
      <c r="B13" s="58" t="s">
        <v>27</v>
      </c>
      <c r="C13" s="58" t="s">
        <v>32</v>
      </c>
      <c r="D13" s="58" t="s">
        <v>22</v>
      </c>
      <c r="E13" s="58" t="s">
        <v>23</v>
      </c>
      <c r="F13" s="58" t="s">
        <v>28</v>
      </c>
      <c r="G13" s="58" t="s">
        <v>25</v>
      </c>
      <c r="H13" s="58" t="s">
        <v>26</v>
      </c>
      <c r="I13" s="58">
        <v>128</v>
      </c>
      <c r="J13" s="58">
        <v>64</v>
      </c>
      <c r="K13" s="58"/>
      <c r="L13" s="42">
        <f t="shared" ref="L13:N13" si="29">L3</f>
        <v>0</v>
      </c>
      <c r="M13" s="42">
        <f t="shared" si="29"/>
        <v>0</v>
      </c>
      <c r="N13" s="42">
        <f t="shared" si="29"/>
        <v>0</v>
      </c>
      <c r="O13" s="68">
        <f t="shared" si="17"/>
        <v>0</v>
      </c>
      <c r="P13" s="50"/>
      <c r="Q13" s="69">
        <f t="shared" si="18"/>
        <v>0</v>
      </c>
      <c r="R13" s="69">
        <f t="shared" si="19"/>
        <v>3.5</v>
      </c>
      <c r="T13" s="41">
        <f t="shared" ref="T13:T18" si="30">ROW()-4</f>
        <v>9</v>
      </c>
      <c r="U13" s="41" t="s">
        <v>35</v>
      </c>
      <c r="V13" s="41" t="s">
        <v>31</v>
      </c>
      <c r="W13" s="41" t="s">
        <v>22</v>
      </c>
      <c r="X13" s="41" t="s">
        <v>23</v>
      </c>
      <c r="Y13" s="41" t="s">
        <v>36</v>
      </c>
      <c r="Z13" s="41" t="s">
        <v>25</v>
      </c>
      <c r="AA13" s="41" t="s">
        <v>26</v>
      </c>
      <c r="AB13" s="41">
        <v>192</v>
      </c>
      <c r="AC13" s="41">
        <v>128</v>
      </c>
      <c r="AD13" s="41"/>
      <c r="AE13" s="42">
        <f t="shared" ref="AE13:AG13" si="31">AE3</f>
        <v>0</v>
      </c>
      <c r="AF13" s="42">
        <f t="shared" si="31"/>
        <v>0</v>
      </c>
      <c r="AG13" s="42">
        <f t="shared" si="31"/>
        <v>0</v>
      </c>
      <c r="AH13" s="43">
        <f t="shared" si="24"/>
        <v>0</v>
      </c>
      <c r="AI13" s="44">
        <v>89.37</v>
      </c>
      <c r="AJ13" s="45">
        <f t="shared" si="25"/>
        <v>89.37</v>
      </c>
      <c r="AK13" s="45">
        <f t="shared" si="26"/>
        <v>91.87</v>
      </c>
    </row>
    <row r="14" s="22" customFormat="1" ht="15" spans="1:1024 1025:16379">
      <c r="A14" s="41">
        <f t="shared" si="15"/>
        <v>10</v>
      </c>
      <c r="B14" s="58" t="s">
        <v>27</v>
      </c>
      <c r="C14" s="58" t="s">
        <v>34</v>
      </c>
      <c r="D14" s="58" t="s">
        <v>22</v>
      </c>
      <c r="E14" s="58" t="s">
        <v>23</v>
      </c>
      <c r="F14" s="58" t="s">
        <v>28</v>
      </c>
      <c r="G14" s="58" t="s">
        <v>25</v>
      </c>
      <c r="H14" s="41" t="s">
        <v>30</v>
      </c>
      <c r="I14" s="58">
        <v>128</v>
      </c>
      <c r="J14" s="58">
        <v>64</v>
      </c>
      <c r="K14" s="58">
        <v>64</v>
      </c>
      <c r="L14" s="42">
        <f t="shared" ref="L14:N14" si="32">L3</f>
        <v>0</v>
      </c>
      <c r="M14" s="42">
        <f t="shared" si="32"/>
        <v>0</v>
      </c>
      <c r="N14" s="42">
        <f t="shared" si="32"/>
        <v>0</v>
      </c>
      <c r="O14" s="68">
        <f t="shared" si="17"/>
        <v>0</v>
      </c>
      <c r="P14" s="50"/>
      <c r="Q14" s="69">
        <f t="shared" si="18"/>
        <v>0</v>
      </c>
      <c r="R14" s="69">
        <f t="shared" si="19"/>
        <v>3.5</v>
      </c>
      <c r="T14" s="41">
        <f t="shared" si="30"/>
        <v>10</v>
      </c>
      <c r="U14" s="41" t="s">
        <v>35</v>
      </c>
      <c r="V14" s="41" t="s">
        <v>33</v>
      </c>
      <c r="W14" s="41" t="s">
        <v>22</v>
      </c>
      <c r="X14" s="41" t="s">
        <v>23</v>
      </c>
      <c r="Y14" s="41" t="s">
        <v>36</v>
      </c>
      <c r="Z14" s="41" t="s">
        <v>25</v>
      </c>
      <c r="AA14" s="41" t="s">
        <v>30</v>
      </c>
      <c r="AB14" s="41">
        <v>192</v>
      </c>
      <c r="AC14" s="41">
        <v>128</v>
      </c>
      <c r="AD14" s="41">
        <v>64</v>
      </c>
      <c r="AE14" s="42">
        <f t="shared" ref="AE14:AG14" si="33">AE3</f>
        <v>0</v>
      </c>
      <c r="AF14" s="42">
        <f t="shared" si="33"/>
        <v>0</v>
      </c>
      <c r="AG14" s="42">
        <f t="shared" si="33"/>
        <v>0</v>
      </c>
      <c r="AH14" s="43">
        <f t="shared" si="24"/>
        <v>0</v>
      </c>
      <c r="AI14" s="44">
        <v>96.53</v>
      </c>
      <c r="AJ14" s="45">
        <f t="shared" si="25"/>
        <v>96.53</v>
      </c>
      <c r="AK14" s="45">
        <f t="shared" si="26"/>
        <v>99.03</v>
      </c>
    </row>
    <row r="15" s="22" customFormat="1" ht="15" spans="1:1024 1025:16379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7"/>
      <c r="M15" s="47"/>
      <c r="N15" s="47"/>
      <c r="O15" s="48"/>
      <c r="P15" s="49"/>
      <c r="Q15" s="45"/>
      <c r="R15" s="45"/>
      <c r="T15" s="41">
        <f t="shared" si="30"/>
        <v>11</v>
      </c>
      <c r="U15" s="41" t="s">
        <v>35</v>
      </c>
      <c r="V15" s="41" t="s">
        <v>32</v>
      </c>
      <c r="W15" s="41" t="s">
        <v>22</v>
      </c>
      <c r="X15" s="41" t="s">
        <v>23</v>
      </c>
      <c r="Y15" s="41" t="s">
        <v>36</v>
      </c>
      <c r="Z15" s="41" t="s">
        <v>25</v>
      </c>
      <c r="AA15" s="41" t="s">
        <v>26</v>
      </c>
      <c r="AB15" s="41">
        <v>128</v>
      </c>
      <c r="AC15" s="41">
        <v>64</v>
      </c>
      <c r="AD15" s="41"/>
      <c r="AE15" s="42">
        <f t="shared" ref="AE15:AG15" si="34">AE3</f>
        <v>0</v>
      </c>
      <c r="AF15" s="42">
        <f t="shared" si="34"/>
        <v>0</v>
      </c>
      <c r="AG15" s="42">
        <f t="shared" si="34"/>
        <v>0</v>
      </c>
      <c r="AH15" s="43">
        <f t="shared" si="24"/>
        <v>0</v>
      </c>
      <c r="AI15" s="44">
        <v>80.17</v>
      </c>
      <c r="AJ15" s="45">
        <f t="shared" si="25"/>
        <v>80.17</v>
      </c>
      <c r="AK15" s="45">
        <f t="shared" si="26"/>
        <v>82.67</v>
      </c>
    </row>
    <row r="16" s="22" customFormat="1" ht="15" spans="1:1024 1025:16379">
      <c r="A16" s="41">
        <f>ROW()-5</f>
        <v>11</v>
      </c>
      <c r="B16" s="41" t="s">
        <v>35</v>
      </c>
      <c r="C16" s="41" t="s">
        <v>21</v>
      </c>
      <c r="D16" s="41" t="s">
        <v>22</v>
      </c>
      <c r="E16" s="41" t="s">
        <v>23</v>
      </c>
      <c r="F16" s="41" t="s">
        <v>36</v>
      </c>
      <c r="G16" s="41" t="s">
        <v>25</v>
      </c>
      <c r="H16" s="41" t="s">
        <v>26</v>
      </c>
      <c r="I16" s="41">
        <v>256</v>
      </c>
      <c r="J16" s="41">
        <v>128</v>
      </c>
      <c r="K16" s="41"/>
      <c r="L16" s="42">
        <f t="shared" ref="L16:N16" si="35">L3</f>
        <v>0</v>
      </c>
      <c r="M16" s="42">
        <f t="shared" si="35"/>
        <v>0</v>
      </c>
      <c r="N16" s="42">
        <f t="shared" si="35"/>
        <v>0</v>
      </c>
      <c r="O16" s="43">
        <f>I16*L16+J16*M16+K16*N16</f>
        <v>0</v>
      </c>
      <c r="P16" s="44"/>
      <c r="Q16" s="45">
        <f>O16+P16</f>
        <v>0</v>
      </c>
      <c r="R16" s="45">
        <f>Q16+2.5</f>
        <v>2.5</v>
      </c>
      <c r="T16" s="41">
        <f t="shared" si="30"/>
        <v>12</v>
      </c>
      <c r="U16" s="41" t="s">
        <v>35</v>
      </c>
      <c r="V16" s="41" t="s">
        <v>34</v>
      </c>
      <c r="W16" s="41" t="s">
        <v>22</v>
      </c>
      <c r="X16" s="41" t="s">
        <v>23</v>
      </c>
      <c r="Y16" s="41" t="s">
        <v>36</v>
      </c>
      <c r="Z16" s="41" t="s">
        <v>25</v>
      </c>
      <c r="AA16" s="41" t="s">
        <v>30</v>
      </c>
      <c r="AB16" s="41">
        <v>128</v>
      </c>
      <c r="AC16" s="41">
        <v>64</v>
      </c>
      <c r="AD16" s="41">
        <v>64</v>
      </c>
      <c r="AE16" s="42">
        <f t="shared" ref="AE16:AG16" si="36">AE3</f>
        <v>0</v>
      </c>
      <c r="AF16" s="42">
        <f t="shared" si="36"/>
        <v>0</v>
      </c>
      <c r="AG16" s="42">
        <f t="shared" si="36"/>
        <v>0</v>
      </c>
      <c r="AH16" s="43">
        <f t="shared" si="24"/>
        <v>0</v>
      </c>
      <c r="AI16" s="44">
        <v>85.33</v>
      </c>
      <c r="AJ16" s="45">
        <f t="shared" si="25"/>
        <v>85.33</v>
      </c>
      <c r="AK16" s="45">
        <f t="shared" si="26"/>
        <v>87.83</v>
      </c>
    </row>
    <row r="17" s="22" customFormat="1" ht="15" spans="1:37">
      <c r="A17" s="41">
        <f>ROW()-5</f>
        <v>12</v>
      </c>
      <c r="B17" s="41" t="s">
        <v>35</v>
      </c>
      <c r="C17" s="41" t="s">
        <v>31</v>
      </c>
      <c r="D17" s="41" t="s">
        <v>22</v>
      </c>
      <c r="E17" s="41" t="s">
        <v>23</v>
      </c>
      <c r="F17" s="41" t="s">
        <v>36</v>
      </c>
      <c r="G17" s="41" t="s">
        <v>25</v>
      </c>
      <c r="H17" s="41" t="s">
        <v>26</v>
      </c>
      <c r="I17" s="41">
        <v>192</v>
      </c>
      <c r="J17" s="41">
        <v>128</v>
      </c>
      <c r="K17" s="41"/>
      <c r="L17" s="42">
        <f t="shared" ref="L17:N17" si="37">L3</f>
        <v>0</v>
      </c>
      <c r="M17" s="42">
        <f t="shared" si="37"/>
        <v>0</v>
      </c>
      <c r="N17" s="42">
        <f t="shared" si="37"/>
        <v>0</v>
      </c>
      <c r="O17" s="43">
        <f>I17*L17+J17*M17+K17*N17</f>
        <v>0</v>
      </c>
      <c r="P17" s="44"/>
      <c r="Q17" s="45">
        <f>O17+P17</f>
        <v>0</v>
      </c>
      <c r="R17" s="45">
        <f>Q17+2.5</f>
        <v>2.5</v>
      </c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7"/>
      <c r="AF17" s="47"/>
      <c r="AG17" s="47"/>
      <c r="AH17" s="48"/>
      <c r="AI17" s="51"/>
      <c r="AJ17" s="45"/>
      <c r="AK17" s="45"/>
    </row>
    <row r="18" s="22" customFormat="1" ht="15" spans="1:37">
      <c r="A18" s="41">
        <f>ROW()-5</f>
        <v>13</v>
      </c>
      <c r="B18" s="41" t="s">
        <v>35</v>
      </c>
      <c r="C18" s="41" t="s">
        <v>33</v>
      </c>
      <c r="D18" s="41" t="s">
        <v>22</v>
      </c>
      <c r="E18" s="41" t="s">
        <v>23</v>
      </c>
      <c r="F18" s="41" t="s">
        <v>36</v>
      </c>
      <c r="G18" s="41" t="s">
        <v>25</v>
      </c>
      <c r="H18" s="41" t="s">
        <v>30</v>
      </c>
      <c r="I18" s="41">
        <v>192</v>
      </c>
      <c r="J18" s="41">
        <v>128</v>
      </c>
      <c r="K18" s="41">
        <v>64</v>
      </c>
      <c r="L18" s="42">
        <f>L3</f>
        <v>0</v>
      </c>
      <c r="M18" s="42">
        <f t="shared" ref="L18:N18" si="38">M3</f>
        <v>0</v>
      </c>
      <c r="N18" s="42">
        <f t="shared" si="38"/>
        <v>0</v>
      </c>
      <c r="O18" s="43">
        <f>I18*L18+J18*M18+K18*N18</f>
        <v>0</v>
      </c>
      <c r="P18" s="44"/>
      <c r="Q18" s="45">
        <f>O18+P18</f>
        <v>0</v>
      </c>
      <c r="R18" s="45">
        <f>Q18+2.5</f>
        <v>2.5</v>
      </c>
      <c r="T18" s="41">
        <f t="shared" ref="T18:T22" si="39">ROW()-5</f>
        <v>13</v>
      </c>
      <c r="U18" s="41" t="s">
        <v>37</v>
      </c>
      <c r="V18" s="41" t="s">
        <v>32</v>
      </c>
      <c r="W18" s="41" t="s">
        <v>22</v>
      </c>
      <c r="X18" s="41" t="s">
        <v>23</v>
      </c>
      <c r="Y18" s="41" t="s">
        <v>38</v>
      </c>
      <c r="Z18" s="41" t="s">
        <v>25</v>
      </c>
      <c r="AA18" s="41" t="s">
        <v>26</v>
      </c>
      <c r="AB18" s="41">
        <v>256</v>
      </c>
      <c r="AC18" s="41">
        <v>128</v>
      </c>
      <c r="AD18" s="41"/>
      <c r="AE18" s="42">
        <f t="shared" ref="AE18:AG18" si="40">AE3</f>
        <v>0</v>
      </c>
      <c r="AF18" s="42">
        <f t="shared" si="40"/>
        <v>0</v>
      </c>
      <c r="AG18" s="42">
        <f t="shared" si="40"/>
        <v>0</v>
      </c>
      <c r="AH18" s="43">
        <f t="shared" ref="AH18:AH20" si="41">AB18*AE18+AC18*AF18+AD18*AG18</f>
        <v>0</v>
      </c>
      <c r="AI18" s="50">
        <v>95.54</v>
      </c>
      <c r="AJ18" s="45">
        <f t="shared" ref="AJ18:AJ20" si="42">AH18+AI18</f>
        <v>95.54</v>
      </c>
      <c r="AK18" s="45">
        <f t="shared" ref="AK18:AK20" si="43">AJ18+3</f>
        <v>98.54</v>
      </c>
    </row>
    <row r="19" s="22" customFormat="1" ht="15" spans="1:37">
      <c r="A19" s="41">
        <f>ROW()-5</f>
        <v>14</v>
      </c>
      <c r="B19" s="41" t="s">
        <v>35</v>
      </c>
      <c r="C19" s="41" t="s">
        <v>32</v>
      </c>
      <c r="D19" s="41" t="s">
        <v>22</v>
      </c>
      <c r="E19" s="41" t="s">
        <v>23</v>
      </c>
      <c r="F19" s="41" t="s">
        <v>36</v>
      </c>
      <c r="G19" s="41" t="s">
        <v>25</v>
      </c>
      <c r="H19" s="41" t="s">
        <v>26</v>
      </c>
      <c r="I19" s="41">
        <v>128</v>
      </c>
      <c r="J19" s="41">
        <v>64</v>
      </c>
      <c r="K19" s="41"/>
      <c r="L19" s="42">
        <f t="shared" ref="L19:N19" si="44">L3</f>
        <v>0</v>
      </c>
      <c r="M19" s="42">
        <f t="shared" si="44"/>
        <v>0</v>
      </c>
      <c r="N19" s="42">
        <f t="shared" si="44"/>
        <v>0</v>
      </c>
      <c r="O19" s="43">
        <f>I19*L19+J19*M19+K19*N19</f>
        <v>0</v>
      </c>
      <c r="P19" s="44"/>
      <c r="Q19" s="45">
        <f>O19+P19</f>
        <v>0</v>
      </c>
      <c r="R19" s="45">
        <f>Q19+2.5</f>
        <v>2.5</v>
      </c>
      <c r="T19" s="41">
        <f t="shared" si="39"/>
        <v>14</v>
      </c>
      <c r="U19" s="41" t="s">
        <v>37</v>
      </c>
      <c r="V19" s="41" t="s">
        <v>39</v>
      </c>
      <c r="W19" s="41" t="s">
        <v>22</v>
      </c>
      <c r="X19" s="41" t="s">
        <v>23</v>
      </c>
      <c r="Y19" s="41" t="s">
        <v>38</v>
      </c>
      <c r="Z19" s="41" t="s">
        <v>25</v>
      </c>
      <c r="AA19" s="41" t="s">
        <v>30</v>
      </c>
      <c r="AB19" s="41">
        <v>128</v>
      </c>
      <c r="AC19" s="41">
        <v>128</v>
      </c>
      <c r="AD19" s="41">
        <v>128</v>
      </c>
      <c r="AE19" s="42">
        <f t="shared" ref="AE19:AG19" si="45">AE3</f>
        <v>0</v>
      </c>
      <c r="AF19" s="42">
        <f t="shared" si="45"/>
        <v>0</v>
      </c>
      <c r="AG19" s="42">
        <f t="shared" si="45"/>
        <v>0</v>
      </c>
      <c r="AH19" s="43">
        <f t="shared" si="41"/>
        <v>0</v>
      </c>
      <c r="AI19" s="50">
        <v>104.16</v>
      </c>
      <c r="AJ19" s="45">
        <f t="shared" si="42"/>
        <v>104.16</v>
      </c>
      <c r="AK19" s="45">
        <f t="shared" si="43"/>
        <v>107.16</v>
      </c>
    </row>
    <row r="20" s="22" customFormat="1" ht="15" spans="1:37">
      <c r="A20" s="41">
        <f>ROW()-5</f>
        <v>15</v>
      </c>
      <c r="B20" s="41" t="s">
        <v>35</v>
      </c>
      <c r="C20" s="41" t="s">
        <v>34</v>
      </c>
      <c r="D20" s="41" t="s">
        <v>22</v>
      </c>
      <c r="E20" s="41" t="s">
        <v>23</v>
      </c>
      <c r="F20" s="41" t="s">
        <v>36</v>
      </c>
      <c r="G20" s="41" t="s">
        <v>25</v>
      </c>
      <c r="H20" s="41" t="s">
        <v>30</v>
      </c>
      <c r="I20" s="41">
        <v>128</v>
      </c>
      <c r="J20" s="41">
        <v>64</v>
      </c>
      <c r="K20" s="41">
        <v>64</v>
      </c>
      <c r="L20" s="42">
        <f>L3</f>
        <v>0</v>
      </c>
      <c r="M20" s="42">
        <f t="shared" ref="L20:N20" si="46">M3</f>
        <v>0</v>
      </c>
      <c r="N20" s="42">
        <f t="shared" si="46"/>
        <v>0</v>
      </c>
      <c r="O20" s="43">
        <f>I20*L20+J20*M20+K20*N20</f>
        <v>0</v>
      </c>
      <c r="P20" s="44"/>
      <c r="Q20" s="45">
        <f>O20+P20</f>
        <v>0</v>
      </c>
      <c r="R20" s="45">
        <f>Q20+2.5</f>
        <v>2.5</v>
      </c>
      <c r="T20" s="41">
        <f t="shared" si="39"/>
        <v>15</v>
      </c>
      <c r="U20" s="41" t="s">
        <v>37</v>
      </c>
      <c r="V20" s="41" t="s">
        <v>34</v>
      </c>
      <c r="W20" s="41" t="s">
        <v>22</v>
      </c>
      <c r="X20" s="41" t="s">
        <v>23</v>
      </c>
      <c r="Y20" s="41" t="s">
        <v>38</v>
      </c>
      <c r="Z20" s="41" t="s">
        <v>25</v>
      </c>
      <c r="AA20" s="41" t="s">
        <v>30</v>
      </c>
      <c r="AB20" s="41">
        <v>256</v>
      </c>
      <c r="AC20" s="41">
        <v>128</v>
      </c>
      <c r="AD20" s="41">
        <v>128</v>
      </c>
      <c r="AE20" s="42">
        <f t="shared" ref="AE20:AG20" si="47">AE3</f>
        <v>0</v>
      </c>
      <c r="AF20" s="42">
        <f t="shared" si="47"/>
        <v>0</v>
      </c>
      <c r="AG20" s="42">
        <f t="shared" si="47"/>
        <v>0</v>
      </c>
      <c r="AH20" s="43">
        <f t="shared" si="41"/>
        <v>0</v>
      </c>
      <c r="AI20" s="50">
        <v>106.06</v>
      </c>
      <c r="AJ20" s="45">
        <f t="shared" si="42"/>
        <v>106.06</v>
      </c>
      <c r="AK20" s="45">
        <f t="shared" si="43"/>
        <v>109.06</v>
      </c>
    </row>
    <row r="21" s="22" customFormat="1" ht="15" spans="1:37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  <c r="M21" s="47"/>
      <c r="N21" s="47"/>
      <c r="O21" s="48"/>
      <c r="P21" s="51"/>
      <c r="Q21" s="45"/>
      <c r="R21" s="45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7"/>
      <c r="AF21" s="47"/>
      <c r="AG21" s="47"/>
      <c r="AH21" s="48"/>
      <c r="AI21" s="51"/>
      <c r="AJ21" s="45"/>
      <c r="AK21" s="45"/>
    </row>
    <row r="22" s="22" customFormat="1" ht="15" spans="1:37">
      <c r="A22" s="41">
        <f>ROW()-6</f>
        <v>16</v>
      </c>
      <c r="B22" s="41" t="s">
        <v>37</v>
      </c>
      <c r="C22" s="41" t="s">
        <v>32</v>
      </c>
      <c r="D22" s="41" t="s">
        <v>22</v>
      </c>
      <c r="E22" s="41" t="s">
        <v>23</v>
      </c>
      <c r="F22" s="41" t="s">
        <v>38</v>
      </c>
      <c r="G22" s="41" t="s">
        <v>25</v>
      </c>
      <c r="H22" s="41" t="s">
        <v>26</v>
      </c>
      <c r="I22" s="41">
        <v>256</v>
      </c>
      <c r="J22" s="41">
        <v>128</v>
      </c>
      <c r="K22" s="41"/>
      <c r="L22" s="42">
        <f>L3</f>
        <v>0</v>
      </c>
      <c r="M22" s="42">
        <f>M3</f>
        <v>0</v>
      </c>
      <c r="N22" s="42">
        <f>N3</f>
        <v>0</v>
      </c>
      <c r="O22" s="43">
        <f>I22*L22+J22*M22+K22*N22</f>
        <v>0</v>
      </c>
      <c r="P22" s="50"/>
      <c r="Q22" s="45">
        <f>O22+P22</f>
        <v>0</v>
      </c>
      <c r="R22" s="45">
        <f>Q22+3</f>
        <v>3</v>
      </c>
      <c r="T22" s="41">
        <f>ROW()-6</f>
        <v>16</v>
      </c>
      <c r="U22" s="41" t="s">
        <v>40</v>
      </c>
      <c r="V22" s="41" t="s">
        <v>32</v>
      </c>
      <c r="W22" s="41" t="s">
        <v>22</v>
      </c>
      <c r="X22" s="41" t="s">
        <v>23</v>
      </c>
      <c r="Y22" s="41" t="s">
        <v>41</v>
      </c>
      <c r="Z22" s="41" t="s">
        <v>25</v>
      </c>
      <c r="AA22" s="41" t="s">
        <v>26</v>
      </c>
      <c r="AB22" s="41">
        <v>512</v>
      </c>
      <c r="AC22" s="41">
        <v>256</v>
      </c>
      <c r="AD22" s="41"/>
      <c r="AE22" s="42">
        <f t="shared" ref="AE22:AG22" si="48">AE3</f>
        <v>0</v>
      </c>
      <c r="AF22" s="42">
        <f t="shared" si="48"/>
        <v>0</v>
      </c>
      <c r="AG22" s="42">
        <f t="shared" si="48"/>
        <v>0</v>
      </c>
      <c r="AH22" s="43">
        <f t="shared" ref="AH22:AH24" si="49">AB22*AE22+AC22*AF22+AD22*AG22</f>
        <v>0</v>
      </c>
      <c r="AI22" s="50">
        <v>137.08</v>
      </c>
      <c r="AJ22" s="45">
        <f t="shared" ref="AJ22:AJ24" si="50">AH22+AI22</f>
        <v>137.08</v>
      </c>
      <c r="AK22" s="45">
        <f t="shared" ref="AK22:AK24" si="51">AJ22+3.5</f>
        <v>140.58</v>
      </c>
    </row>
    <row r="23" s="22" customFormat="1" ht="15" spans="1:37">
      <c r="A23" s="41">
        <f>ROW()-6</f>
        <v>17</v>
      </c>
      <c r="B23" s="41" t="s">
        <v>37</v>
      </c>
      <c r="C23" s="41" t="s">
        <v>39</v>
      </c>
      <c r="D23" s="41" t="s">
        <v>22</v>
      </c>
      <c r="E23" s="41" t="s">
        <v>23</v>
      </c>
      <c r="F23" s="41" t="s">
        <v>38</v>
      </c>
      <c r="G23" s="41" t="s">
        <v>25</v>
      </c>
      <c r="H23" s="41" t="s">
        <v>30</v>
      </c>
      <c r="I23" s="41">
        <v>128</v>
      </c>
      <c r="J23" s="41">
        <v>128</v>
      </c>
      <c r="K23" s="41">
        <v>128</v>
      </c>
      <c r="L23" s="42">
        <f>L3</f>
        <v>0</v>
      </c>
      <c r="M23" s="42">
        <f>M3</f>
        <v>0</v>
      </c>
      <c r="N23" s="42">
        <f>N3</f>
        <v>0</v>
      </c>
      <c r="O23" s="43">
        <f t="shared" ref="O23:O28" si="52">I23*L23+J23*M23+K23*N23</f>
        <v>0</v>
      </c>
      <c r="P23" s="50"/>
      <c r="Q23" s="45">
        <f t="shared" ref="Q23:Q28" si="53">O23+P23</f>
        <v>0</v>
      </c>
      <c r="R23" s="45">
        <f>Q23+3</f>
        <v>3</v>
      </c>
      <c r="T23" s="41">
        <f>ROW()-6</f>
        <v>17</v>
      </c>
      <c r="U23" s="41" t="s">
        <v>40</v>
      </c>
      <c r="V23" s="41" t="s">
        <v>39</v>
      </c>
      <c r="W23" s="41" t="s">
        <v>22</v>
      </c>
      <c r="X23" s="41" t="s">
        <v>23</v>
      </c>
      <c r="Y23" s="41" t="s">
        <v>41</v>
      </c>
      <c r="Z23" s="41" t="s">
        <v>25</v>
      </c>
      <c r="AA23" s="41" t="s">
        <v>30</v>
      </c>
      <c r="AB23" s="41">
        <v>256</v>
      </c>
      <c r="AC23" s="41">
        <v>256</v>
      </c>
      <c r="AD23" s="41">
        <v>256</v>
      </c>
      <c r="AE23" s="42">
        <f t="shared" ref="AE23:AG23" si="54">AE3</f>
        <v>0</v>
      </c>
      <c r="AF23" s="42">
        <f t="shared" si="54"/>
        <v>0</v>
      </c>
      <c r="AG23" s="42">
        <f t="shared" si="54"/>
        <v>0</v>
      </c>
      <c r="AH23" s="43">
        <f t="shared" si="49"/>
        <v>0</v>
      </c>
      <c r="AI23" s="50">
        <v>153.92</v>
      </c>
      <c r="AJ23" s="45">
        <f t="shared" si="50"/>
        <v>153.92</v>
      </c>
      <c r="AK23" s="45">
        <f t="shared" si="51"/>
        <v>157.42</v>
      </c>
    </row>
    <row r="24" s="22" customFormat="1" ht="15" spans="1:37">
      <c r="A24" s="41">
        <f>ROW()-6</f>
        <v>18</v>
      </c>
      <c r="B24" s="41" t="s">
        <v>37</v>
      </c>
      <c r="C24" s="41" t="s">
        <v>34</v>
      </c>
      <c r="D24" s="41" t="s">
        <v>22</v>
      </c>
      <c r="E24" s="41" t="s">
        <v>23</v>
      </c>
      <c r="F24" s="41" t="s">
        <v>38</v>
      </c>
      <c r="G24" s="41" t="s">
        <v>25</v>
      </c>
      <c r="H24" s="41" t="s">
        <v>30</v>
      </c>
      <c r="I24" s="41">
        <v>256</v>
      </c>
      <c r="J24" s="41">
        <v>128</v>
      </c>
      <c r="K24" s="41">
        <v>128</v>
      </c>
      <c r="L24" s="42">
        <f>L3</f>
        <v>0</v>
      </c>
      <c r="M24" s="42">
        <f>M3</f>
        <v>0</v>
      </c>
      <c r="N24" s="42">
        <f>N3</f>
        <v>0</v>
      </c>
      <c r="O24" s="43">
        <f t="shared" si="52"/>
        <v>0</v>
      </c>
      <c r="P24" s="50"/>
      <c r="Q24" s="45">
        <f t="shared" si="53"/>
        <v>0</v>
      </c>
      <c r="R24" s="45">
        <f>Q24+3</f>
        <v>3</v>
      </c>
      <c r="T24" s="41">
        <f>ROW()-6</f>
        <v>18</v>
      </c>
      <c r="U24" s="41" t="s">
        <v>40</v>
      </c>
      <c r="V24" s="41" t="s">
        <v>34</v>
      </c>
      <c r="W24" s="41" t="s">
        <v>22</v>
      </c>
      <c r="X24" s="41" t="s">
        <v>23</v>
      </c>
      <c r="Y24" s="41" t="s">
        <v>41</v>
      </c>
      <c r="Z24" s="41" t="s">
        <v>25</v>
      </c>
      <c r="AA24" s="41" t="s">
        <v>30</v>
      </c>
      <c r="AB24" s="41">
        <v>512</v>
      </c>
      <c r="AC24" s="41">
        <v>256</v>
      </c>
      <c r="AD24" s="41">
        <v>256</v>
      </c>
      <c r="AE24" s="42">
        <f t="shared" ref="AE24:AG24" si="55">AE3</f>
        <v>0</v>
      </c>
      <c r="AF24" s="42">
        <f t="shared" si="55"/>
        <v>0</v>
      </c>
      <c r="AG24" s="42">
        <f t="shared" si="55"/>
        <v>0</v>
      </c>
      <c r="AH24" s="43">
        <f t="shared" si="49"/>
        <v>0</v>
      </c>
      <c r="AI24" s="50">
        <v>154.18</v>
      </c>
      <c r="AJ24" s="45">
        <f t="shared" si="50"/>
        <v>154.18</v>
      </c>
      <c r="AK24" s="45">
        <f t="shared" si="51"/>
        <v>157.68</v>
      </c>
    </row>
    <row r="25" s="22" customFormat="1" ht="15" spans="1:37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  <c r="M25" s="47"/>
      <c r="N25" s="47"/>
      <c r="O25" s="48"/>
      <c r="P25" s="51"/>
      <c r="Q25" s="45"/>
      <c r="R25" s="45"/>
    </row>
    <row r="26" s="22" customFormat="1" ht="15" spans="1:37">
      <c r="A26" s="41">
        <f>ROW()-7</f>
        <v>19</v>
      </c>
      <c r="B26" s="41" t="s">
        <v>40</v>
      </c>
      <c r="C26" s="41" t="s">
        <v>32</v>
      </c>
      <c r="D26" s="41" t="s">
        <v>22</v>
      </c>
      <c r="E26" s="41" t="s">
        <v>23</v>
      </c>
      <c r="F26" s="41" t="s">
        <v>41</v>
      </c>
      <c r="G26" s="41" t="s">
        <v>25</v>
      </c>
      <c r="H26" s="41" t="s">
        <v>26</v>
      </c>
      <c r="I26" s="41">
        <v>512</v>
      </c>
      <c r="J26" s="41">
        <v>256</v>
      </c>
      <c r="K26" s="41"/>
      <c r="L26" s="42">
        <f>L3</f>
        <v>0</v>
      </c>
      <c r="M26" s="42">
        <f>M3</f>
        <v>0</v>
      </c>
      <c r="N26" s="42">
        <f>N3</f>
        <v>0</v>
      </c>
      <c r="O26" s="43">
        <f t="shared" si="52"/>
        <v>0</v>
      </c>
      <c r="P26" s="50"/>
      <c r="Q26" s="45">
        <f t="shared" si="53"/>
        <v>0</v>
      </c>
      <c r="R26" s="45">
        <f>Q26+3.5</f>
        <v>3.5</v>
      </c>
    </row>
    <row r="27" s="22" customFormat="1" ht="15" spans="1:37">
      <c r="A27" s="41">
        <f>ROW()-7</f>
        <v>20</v>
      </c>
      <c r="B27" s="41" t="s">
        <v>40</v>
      </c>
      <c r="C27" s="41" t="s">
        <v>39</v>
      </c>
      <c r="D27" s="41" t="s">
        <v>22</v>
      </c>
      <c r="E27" s="41" t="s">
        <v>23</v>
      </c>
      <c r="F27" s="41" t="s">
        <v>41</v>
      </c>
      <c r="G27" s="41" t="s">
        <v>25</v>
      </c>
      <c r="H27" s="41" t="s">
        <v>30</v>
      </c>
      <c r="I27" s="41">
        <v>256</v>
      </c>
      <c r="J27" s="41">
        <v>256</v>
      </c>
      <c r="K27" s="41">
        <v>256</v>
      </c>
      <c r="L27" s="42">
        <f>L3</f>
        <v>0</v>
      </c>
      <c r="M27" s="42">
        <f>M3</f>
        <v>0</v>
      </c>
      <c r="N27" s="42">
        <f>N3</f>
        <v>0</v>
      </c>
      <c r="O27" s="43">
        <f t="shared" si="52"/>
        <v>0</v>
      </c>
      <c r="P27" s="50"/>
      <c r="Q27" s="45">
        <f t="shared" si="53"/>
        <v>0</v>
      </c>
      <c r="R27" s="45">
        <f>Q27+3.5</f>
        <v>3.5</v>
      </c>
    </row>
    <row r="28" s="22" customFormat="1" ht="15" spans="1:37">
      <c r="A28" s="41">
        <f>ROW()-7</f>
        <v>21</v>
      </c>
      <c r="B28" s="41" t="s">
        <v>40</v>
      </c>
      <c r="C28" s="41" t="s">
        <v>34</v>
      </c>
      <c r="D28" s="41" t="s">
        <v>22</v>
      </c>
      <c r="E28" s="41" t="s">
        <v>23</v>
      </c>
      <c r="F28" s="41" t="s">
        <v>41</v>
      </c>
      <c r="G28" s="41" t="s">
        <v>25</v>
      </c>
      <c r="H28" s="41" t="s">
        <v>30</v>
      </c>
      <c r="I28" s="41">
        <v>512</v>
      </c>
      <c r="J28" s="41">
        <v>256</v>
      </c>
      <c r="K28" s="41">
        <v>256</v>
      </c>
      <c r="L28" s="42">
        <f>L27</f>
        <v>0</v>
      </c>
      <c r="M28" s="42">
        <f>M27</f>
        <v>0</v>
      </c>
      <c r="N28" s="42">
        <f>N27</f>
        <v>0</v>
      </c>
      <c r="O28" s="43">
        <f t="shared" si="52"/>
        <v>0</v>
      </c>
      <c r="P28" s="50"/>
      <c r="Q28" s="45">
        <f t="shared" si="53"/>
        <v>0</v>
      </c>
      <c r="R28" s="45">
        <f>Q28+3.5</f>
        <v>3.5</v>
      </c>
    </row>
    <row r="29" s="22" customFormat="1" ht="15"/>
    <row r="31" customFormat="1" spans="1:37">
      <c r="A31" s="100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2"/>
      <c r="M31" s="102"/>
      <c r="N31" s="102"/>
      <c r="O31" s="103"/>
      <c r="P31" s="104"/>
      <c r="Q31" s="105"/>
      <c r="R31" s="105"/>
      <c r="AI31" s="1"/>
    </row>
    <row r="32" s="19" customFormat="1" ht="27.5" spans="1:37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7"/>
      <c r="M32" s="107"/>
      <c r="N32" s="107"/>
      <c r="O32" s="106"/>
      <c r="P32" s="108"/>
      <c r="Q32" s="109"/>
      <c r="R32" s="109"/>
      <c r="T32" s="27" t="s">
        <v>42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8"/>
      <c r="AF32" s="28"/>
      <c r="AG32" s="28"/>
      <c r="AH32" s="27"/>
      <c r="AI32" s="29"/>
      <c r="AJ32" s="30"/>
      <c r="AK32" s="30"/>
    </row>
    <row r="33" s="20" customFormat="1" ht="35" spans="1:37 16374:16379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1"/>
      <c r="M33" s="111"/>
      <c r="N33" s="111"/>
      <c r="O33" s="112"/>
      <c r="P33" s="113"/>
      <c r="Q33" s="114"/>
      <c r="R33" s="114"/>
      <c r="T33" s="96" t="s">
        <v>2</v>
      </c>
      <c r="U33" s="96" t="s">
        <v>3</v>
      </c>
      <c r="V33" s="96" t="s">
        <v>4</v>
      </c>
      <c r="W33" s="96" t="s">
        <v>5</v>
      </c>
      <c r="X33" s="96" t="s">
        <v>6</v>
      </c>
      <c r="Y33" s="96" t="s">
        <v>7</v>
      </c>
      <c r="Z33" s="96" t="s">
        <v>8</v>
      </c>
      <c r="AA33" s="96" t="s">
        <v>9</v>
      </c>
      <c r="AB33" s="96" t="s">
        <v>10</v>
      </c>
      <c r="AC33" s="96" t="s">
        <v>11</v>
      </c>
      <c r="AD33" s="96" t="s">
        <v>12</v>
      </c>
      <c r="AE33" s="97" t="s">
        <v>13</v>
      </c>
      <c r="AF33" s="97" t="s">
        <v>14</v>
      </c>
      <c r="AG33" s="97" t="s">
        <v>15</v>
      </c>
      <c r="AH33" s="34" t="s">
        <v>16</v>
      </c>
      <c r="AI33" s="98" t="s">
        <v>43</v>
      </c>
      <c r="AJ33" s="36" t="s">
        <v>18</v>
      </c>
      <c r="AK33" s="36" t="s">
        <v>19</v>
      </c>
      <c r="XET33" s="115"/>
      <c r="XEU33" s="115"/>
      <c r="XEV33" s="115"/>
      <c r="XEW33" s="115"/>
      <c r="XEX33" s="115"/>
      <c r="XEY33" s="115"/>
    </row>
    <row r="34" s="21" customFormat="1" ht="23" spans="1:37 16374:16379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7"/>
      <c r="M34" s="117"/>
      <c r="N34" s="117"/>
      <c r="O34" s="118"/>
      <c r="P34" s="119"/>
      <c r="Q34" s="118"/>
      <c r="R34" s="118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8">
        <f>AE3</f>
        <v>0</v>
      </c>
      <c r="AF34" s="38">
        <f>AF3</f>
        <v>0</v>
      </c>
      <c r="AG34" s="38">
        <f>AG3</f>
        <v>0</v>
      </c>
      <c r="AH34" s="39"/>
      <c r="AI34" s="40"/>
      <c r="AJ34" s="39"/>
      <c r="AK34" s="39"/>
    </row>
    <row r="35" s="22" customFormat="1" ht="15" spans="1:37 16374:16379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1"/>
      <c r="M35" s="121"/>
      <c r="N35" s="121"/>
      <c r="O35" s="122"/>
      <c r="P35" s="123"/>
      <c r="Q35" s="124"/>
      <c r="R35" s="124"/>
      <c r="T35" s="41">
        <f t="shared" ref="T35:T37" si="56">ROW()-34</f>
        <v>1</v>
      </c>
      <c r="U35" s="41" t="s">
        <v>44</v>
      </c>
      <c r="V35" s="41" t="s">
        <v>32</v>
      </c>
      <c r="W35" s="41" t="s">
        <v>22</v>
      </c>
      <c r="X35" s="41" t="s">
        <v>23</v>
      </c>
      <c r="Y35" s="41" t="s">
        <v>45</v>
      </c>
      <c r="Z35" s="41">
        <v>5124</v>
      </c>
      <c r="AA35" s="41" t="s">
        <v>30</v>
      </c>
      <c r="AB35" s="41">
        <f>16*32*2</f>
        <v>1024</v>
      </c>
      <c r="AC35" s="41">
        <f t="shared" ref="AC35:AC37" si="57">16*32*1</f>
        <v>512</v>
      </c>
      <c r="AD35" s="41"/>
      <c r="AE35" s="42">
        <f t="shared" ref="AE35:AG35" si="58">AE34</f>
        <v>0</v>
      </c>
      <c r="AF35" s="42">
        <f t="shared" si="58"/>
        <v>0</v>
      </c>
      <c r="AG35" s="42">
        <f t="shared" si="58"/>
        <v>0</v>
      </c>
      <c r="AH35" s="43">
        <f t="shared" ref="AH35:AH37" si="59">AB35*AE35+AC35*AF35+AD35*AG35</f>
        <v>0</v>
      </c>
      <c r="AI35" s="50">
        <v>89.06</v>
      </c>
      <c r="AJ35" s="60">
        <f t="shared" ref="AJ35:AJ37" si="60">AH35+AI35</f>
        <v>89.06</v>
      </c>
      <c r="AK35" s="60">
        <f t="shared" ref="AK35:AK37" si="61">AJ35+3</f>
        <v>92.06</v>
      </c>
    </row>
    <row r="36" s="22" customFormat="1" ht="15" spans="1:37 16374:16379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1"/>
      <c r="M36" s="121"/>
      <c r="N36" s="121"/>
      <c r="O36" s="122"/>
      <c r="P36" s="123"/>
      <c r="Q36" s="22"/>
      <c r="R36" s="22"/>
      <c r="T36" s="41">
        <f t="shared" si="56"/>
        <v>2</v>
      </c>
      <c r="U36" s="41" t="s">
        <v>44</v>
      </c>
      <c r="V36" s="41" t="s">
        <v>46</v>
      </c>
      <c r="W36" s="41" t="s">
        <v>22</v>
      </c>
      <c r="X36" s="41" t="s">
        <v>23</v>
      </c>
      <c r="Y36" s="41" t="s">
        <v>45</v>
      </c>
      <c r="Z36" s="41">
        <v>5124</v>
      </c>
      <c r="AA36" s="41" t="s">
        <v>26</v>
      </c>
      <c r="AB36" s="41">
        <f>16*32*1</f>
        <v>512</v>
      </c>
      <c r="AC36" s="41">
        <f t="shared" si="57"/>
        <v>512</v>
      </c>
      <c r="AD36" s="41"/>
      <c r="AE36" s="42">
        <f t="shared" ref="AE36:AG36" si="62">AE35</f>
        <v>0</v>
      </c>
      <c r="AF36" s="42">
        <f t="shared" si="62"/>
        <v>0</v>
      </c>
      <c r="AG36" s="42">
        <f t="shared" si="62"/>
        <v>0</v>
      </c>
      <c r="AH36" s="43">
        <f t="shared" si="59"/>
        <v>0</v>
      </c>
      <c r="AI36" s="50">
        <v>87.06</v>
      </c>
      <c r="AJ36" s="60">
        <f t="shared" si="60"/>
        <v>87.06</v>
      </c>
      <c r="AK36" s="60">
        <f t="shared" si="61"/>
        <v>90.06</v>
      </c>
    </row>
    <row r="37" s="22" customFormat="1" ht="15" spans="1:37 16374:16379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1"/>
      <c r="M37" s="121"/>
      <c r="N37" s="121"/>
      <c r="O37" s="122"/>
      <c r="P37" s="123"/>
      <c r="Q37" s="22"/>
      <c r="R37" s="22"/>
      <c r="T37" s="41">
        <f t="shared" si="56"/>
        <v>3</v>
      </c>
      <c r="U37" s="41" t="s">
        <v>44</v>
      </c>
      <c r="V37" s="41" t="s">
        <v>39</v>
      </c>
      <c r="W37" s="41" t="s">
        <v>22</v>
      </c>
      <c r="X37" s="41" t="s">
        <v>23</v>
      </c>
      <c r="Y37" s="41" t="s">
        <v>45</v>
      </c>
      <c r="Z37" s="41">
        <v>5124</v>
      </c>
      <c r="AA37" s="41" t="s">
        <v>30</v>
      </c>
      <c r="AB37" s="41">
        <f>16*32*1</f>
        <v>512</v>
      </c>
      <c r="AC37" s="41">
        <f t="shared" si="57"/>
        <v>512</v>
      </c>
      <c r="AD37" s="41">
        <f>16*32*1</f>
        <v>512</v>
      </c>
      <c r="AE37" s="42">
        <f t="shared" ref="AE37:AG37" si="63">AE36</f>
        <v>0</v>
      </c>
      <c r="AF37" s="42">
        <f t="shared" si="63"/>
        <v>0</v>
      </c>
      <c r="AG37" s="42">
        <f t="shared" si="63"/>
        <v>0</v>
      </c>
      <c r="AH37" s="43">
        <f t="shared" si="59"/>
        <v>0</v>
      </c>
      <c r="AI37" s="50">
        <v>91.14</v>
      </c>
      <c r="AJ37" s="60">
        <f t="shared" si="60"/>
        <v>91.14</v>
      </c>
      <c r="AK37" s="60">
        <f t="shared" si="61"/>
        <v>94.14</v>
      </c>
    </row>
    <row r="38" spans="1:37 16374:16379">
      <c r="A38" s="116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6"/>
      <c r="M38" s="126"/>
      <c r="N38" s="126"/>
      <c r="O38" s="127"/>
      <c r="P38" s="128"/>
    </row>
    <row r="39" spans="1:37 16374:16379">
      <c r="A39" s="116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6"/>
      <c r="M39" s="126"/>
      <c r="N39" s="126"/>
      <c r="O39" s="127"/>
      <c r="P39" s="128"/>
      <c r="Q39" s="129"/>
      <c r="R39" s="129"/>
    </row>
  </sheetData>
  <mergeCells count="3">
    <mergeCell ref="A1:R1"/>
    <mergeCell ref="T1:AK1"/>
    <mergeCell ref="T32:AK3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122"/>
  <sheetViews>
    <sheetView zoomScale="70" zoomScaleNormal="70" topLeftCell="B1" workbookViewId="0">
      <pane ySplit="3" topLeftCell="A4" activePane="bottomLeft" state="frozen"/>
      <selection/>
      <selection pane="bottomLeft" activeCell="AI4" sqref="AI4:AI20"/>
    </sheetView>
  </sheetViews>
  <sheetFormatPr defaultColWidth="9" defaultRowHeight="14"/>
  <cols>
    <col min="1" max="1" width="6.72727272727273" style="21" customWidth="1"/>
    <col min="2" max="2" width="11.0909090909091" style="19" customWidth="1"/>
    <col min="3" max="3" width="10.3545454545455" style="19" customWidth="1"/>
    <col min="4" max="4" width="12.8818181818182" style="19" hidden="1" customWidth="1"/>
    <col min="5" max="5" width="13.9181818181818" style="19" hidden="1" customWidth="1"/>
    <col min="6" max="6" width="18.7272727272727" style="19" hidden="1" customWidth="1"/>
    <col min="7" max="7" width="10.2727272727273" style="19" hidden="1" customWidth="1"/>
    <col min="8" max="8" width="25.3636363636364" style="19" hidden="1" customWidth="1"/>
    <col min="9" max="11" width="7.5" style="19" customWidth="1"/>
    <col min="12" max="12" width="11.1818181818182" style="23" customWidth="1"/>
    <col min="13" max="13" width="11.0454545454545" style="23" customWidth="1"/>
    <col min="14" max="14" width="10.3363636363636" style="23" customWidth="1"/>
    <col min="15" max="15" width="11.2545454545455" style="24" customWidth="1"/>
    <col min="16" max="16" width="9.92727272727273" style="25" customWidth="1"/>
    <col min="17" max="17" width="15.6636363636364" style="26" customWidth="1"/>
    <col min="18" max="18" width="15.9454545454545" style="26" customWidth="1"/>
    <col min="19" max="22" width="9" style="19"/>
    <col min="23" max="27" width="9" style="19" hidden="1" customWidth="1"/>
    <col min="28" max="30" width="9" style="19"/>
    <col min="31" max="33" width="10.2727272727273" style="19" customWidth="1"/>
    <col min="34" max="35" width="9" style="19"/>
    <col min="36" max="36" width="13.7727272727273" style="19" customWidth="1"/>
    <col min="37" max="37" width="14.2545454545455" style="19" customWidth="1"/>
    <col min="38" max="16349" width="9" style="19"/>
    <col min="16360" max="16366" width="9" style="19"/>
  </cols>
  <sheetData>
    <row r="1" s="78" customFormat="1" ht="32" customHeight="1" spans="1:1024 1025:16378">
      <c r="A1" s="27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8"/>
      <c r="N1" s="28"/>
      <c r="O1" s="27"/>
      <c r="P1" s="29"/>
      <c r="Q1" s="27"/>
      <c r="R1" s="27"/>
      <c r="S1" s="78"/>
      <c r="T1" s="27" t="s">
        <v>48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  <c r="AF1" s="28"/>
      <c r="AG1" s="28"/>
      <c r="AH1" s="27"/>
      <c r="AI1" s="29"/>
      <c r="AJ1" s="27"/>
      <c r="AK1" s="27"/>
    </row>
    <row r="2" s="62" customFormat="1" ht="37" customHeight="1" spans="1:1024 1025:16378">
      <c r="A2" s="63" t="s">
        <v>2</v>
      </c>
      <c r="B2" s="63" t="s">
        <v>3</v>
      </c>
      <c r="C2" s="63" t="s">
        <v>4</v>
      </c>
      <c r="D2" s="63" t="s">
        <v>5</v>
      </c>
      <c r="E2" s="63" t="s">
        <v>6</v>
      </c>
      <c r="F2" s="63" t="s">
        <v>7</v>
      </c>
      <c r="G2" s="63" t="s">
        <v>8</v>
      </c>
      <c r="H2" s="63" t="s">
        <v>9</v>
      </c>
      <c r="I2" s="63" t="s">
        <v>10</v>
      </c>
      <c r="J2" s="63" t="s">
        <v>11</v>
      </c>
      <c r="K2" s="63" t="s">
        <v>12</v>
      </c>
      <c r="L2" s="13" t="s">
        <v>13</v>
      </c>
      <c r="M2" s="13" t="s">
        <v>14</v>
      </c>
      <c r="N2" s="13" t="s">
        <v>15</v>
      </c>
      <c r="O2" s="36" t="s">
        <v>16</v>
      </c>
      <c r="P2" s="64" t="s">
        <v>49</v>
      </c>
      <c r="Q2" s="36" t="s">
        <v>18</v>
      </c>
      <c r="R2" s="36" t="s">
        <v>19</v>
      </c>
      <c r="S2" s="62"/>
      <c r="T2" s="79" t="s">
        <v>2</v>
      </c>
      <c r="U2" s="79" t="s">
        <v>3</v>
      </c>
      <c r="V2" s="79" t="s">
        <v>4</v>
      </c>
      <c r="W2" s="79" t="s">
        <v>5</v>
      </c>
      <c r="X2" s="79" t="s">
        <v>6</v>
      </c>
      <c r="Y2" s="79" t="s">
        <v>7</v>
      </c>
      <c r="Z2" s="79" t="s">
        <v>8</v>
      </c>
      <c r="AA2" s="79" t="s">
        <v>9</v>
      </c>
      <c r="AB2" s="79" t="s">
        <v>10</v>
      </c>
      <c r="AC2" s="79" t="s">
        <v>11</v>
      </c>
      <c r="AD2" s="79" t="s">
        <v>12</v>
      </c>
      <c r="AE2" s="80" t="s">
        <v>13</v>
      </c>
      <c r="AF2" s="80" t="s">
        <v>14</v>
      </c>
      <c r="AG2" s="80" t="s">
        <v>15</v>
      </c>
      <c r="AH2" s="81" t="s">
        <v>16</v>
      </c>
      <c r="AI2" s="82" t="s">
        <v>49</v>
      </c>
      <c r="AJ2" s="81" t="s">
        <v>18</v>
      </c>
      <c r="AK2" s="81" t="s">
        <v>19</v>
      </c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  <c r="IM2" s="62"/>
      <c r="IN2" s="62"/>
      <c r="IO2" s="62"/>
      <c r="IP2" s="62"/>
      <c r="IQ2" s="62"/>
      <c r="IR2" s="62"/>
      <c r="IS2" s="62"/>
      <c r="IT2" s="62"/>
      <c r="IU2" s="62"/>
      <c r="IV2" s="62"/>
      <c r="IW2" s="62"/>
      <c r="IX2" s="62"/>
      <c r="IY2" s="62"/>
      <c r="IZ2" s="62"/>
      <c r="JA2" s="62"/>
      <c r="JB2" s="62"/>
      <c r="JC2" s="62"/>
      <c r="JD2" s="62"/>
      <c r="JE2" s="62"/>
      <c r="JF2" s="62"/>
      <c r="JG2" s="62"/>
      <c r="JH2" s="62"/>
      <c r="JI2" s="62"/>
      <c r="JJ2" s="62"/>
      <c r="JK2" s="62"/>
      <c r="JL2" s="62"/>
      <c r="JM2" s="62"/>
      <c r="JN2" s="62"/>
      <c r="JO2" s="62"/>
      <c r="JP2" s="62"/>
      <c r="JQ2" s="62"/>
      <c r="JR2" s="62"/>
      <c r="JS2" s="62"/>
      <c r="JT2" s="62"/>
      <c r="JU2" s="62"/>
      <c r="JV2" s="62"/>
      <c r="JW2" s="62"/>
      <c r="JX2" s="62"/>
      <c r="JY2" s="62"/>
      <c r="JZ2" s="62"/>
      <c r="KA2" s="62"/>
      <c r="KB2" s="62"/>
      <c r="KC2" s="62"/>
      <c r="KD2" s="62"/>
      <c r="KE2" s="62"/>
      <c r="KF2" s="62"/>
      <c r="KG2" s="62"/>
      <c r="KH2" s="62"/>
      <c r="KI2" s="62"/>
      <c r="KJ2" s="62"/>
      <c r="KK2" s="62"/>
      <c r="KL2" s="62"/>
      <c r="KM2" s="62"/>
      <c r="KN2" s="62"/>
      <c r="KO2" s="62"/>
      <c r="KP2" s="62"/>
      <c r="KQ2" s="62"/>
      <c r="KR2" s="62"/>
      <c r="KS2" s="62"/>
      <c r="KT2" s="62"/>
      <c r="KU2" s="62"/>
      <c r="KV2" s="62"/>
      <c r="KW2" s="62"/>
      <c r="KX2" s="62"/>
      <c r="KY2" s="62"/>
      <c r="KZ2" s="62"/>
      <c r="LA2" s="62"/>
      <c r="LB2" s="62"/>
      <c r="LC2" s="62"/>
      <c r="LD2" s="62"/>
      <c r="LE2" s="62"/>
      <c r="LF2" s="62"/>
      <c r="LG2" s="62"/>
      <c r="LH2" s="62"/>
      <c r="LI2" s="62"/>
      <c r="LJ2" s="62"/>
      <c r="LK2" s="62"/>
      <c r="LL2" s="62"/>
      <c r="LM2" s="62"/>
      <c r="LN2" s="62"/>
      <c r="LO2" s="62"/>
      <c r="LP2" s="62"/>
      <c r="LQ2" s="62"/>
      <c r="LR2" s="62"/>
      <c r="LS2" s="62"/>
      <c r="LT2" s="62"/>
      <c r="LU2" s="62"/>
      <c r="LV2" s="62"/>
      <c r="LW2" s="62"/>
      <c r="LX2" s="62"/>
      <c r="LY2" s="62"/>
      <c r="LZ2" s="62"/>
      <c r="MA2" s="62"/>
      <c r="MB2" s="62"/>
      <c r="MC2" s="62"/>
      <c r="MD2" s="62"/>
      <c r="ME2" s="62"/>
      <c r="MF2" s="62"/>
      <c r="MG2" s="62"/>
      <c r="MH2" s="62"/>
      <c r="MI2" s="62"/>
      <c r="MJ2" s="62"/>
      <c r="MK2" s="62"/>
      <c r="ML2" s="62"/>
      <c r="MM2" s="62"/>
      <c r="MN2" s="62"/>
      <c r="MO2" s="62"/>
      <c r="MP2" s="62"/>
      <c r="MQ2" s="62"/>
      <c r="MR2" s="62"/>
      <c r="MS2" s="62"/>
      <c r="MT2" s="62"/>
      <c r="MU2" s="62"/>
      <c r="MV2" s="62"/>
      <c r="MW2" s="62"/>
      <c r="MX2" s="62"/>
      <c r="MY2" s="62"/>
      <c r="MZ2" s="62"/>
      <c r="NA2" s="62"/>
      <c r="NB2" s="62"/>
      <c r="NC2" s="62"/>
      <c r="ND2" s="62"/>
      <c r="NE2" s="62"/>
      <c r="NF2" s="62"/>
      <c r="NG2" s="62"/>
      <c r="NH2" s="62"/>
      <c r="NI2" s="62"/>
      <c r="NJ2" s="62"/>
      <c r="NK2" s="62"/>
      <c r="NL2" s="62"/>
      <c r="NM2" s="62"/>
      <c r="NN2" s="62"/>
      <c r="NO2" s="62"/>
      <c r="NP2" s="62"/>
      <c r="NQ2" s="62"/>
      <c r="NR2" s="62"/>
      <c r="NS2" s="62"/>
      <c r="NT2" s="62"/>
      <c r="NU2" s="62"/>
      <c r="NV2" s="62"/>
      <c r="NW2" s="62"/>
      <c r="NX2" s="62"/>
      <c r="NY2" s="62"/>
      <c r="NZ2" s="62"/>
      <c r="OA2" s="62"/>
      <c r="OB2" s="62"/>
      <c r="OC2" s="62"/>
      <c r="OD2" s="62"/>
      <c r="OE2" s="62"/>
      <c r="OF2" s="62"/>
      <c r="OG2" s="62"/>
      <c r="OH2" s="62"/>
      <c r="OI2" s="62"/>
      <c r="OJ2" s="62"/>
      <c r="OK2" s="62"/>
      <c r="OL2" s="62"/>
      <c r="OM2" s="62"/>
      <c r="ON2" s="62"/>
      <c r="OO2" s="62"/>
      <c r="OP2" s="62"/>
      <c r="OQ2" s="62"/>
      <c r="OR2" s="62"/>
      <c r="OS2" s="62"/>
      <c r="OT2" s="62"/>
      <c r="OU2" s="62"/>
      <c r="OV2" s="62"/>
      <c r="OW2" s="62"/>
      <c r="OX2" s="62"/>
      <c r="OY2" s="62"/>
      <c r="OZ2" s="62"/>
      <c r="PA2" s="62"/>
      <c r="PB2" s="62"/>
      <c r="PC2" s="62"/>
      <c r="PD2" s="62"/>
      <c r="PE2" s="62"/>
      <c r="PF2" s="62"/>
      <c r="PG2" s="62"/>
      <c r="PH2" s="62"/>
      <c r="PI2" s="62"/>
      <c r="PJ2" s="62"/>
      <c r="PK2" s="62"/>
      <c r="PL2" s="62"/>
      <c r="PM2" s="62"/>
      <c r="PN2" s="62"/>
      <c r="PO2" s="62"/>
      <c r="PP2" s="62"/>
      <c r="PQ2" s="62"/>
      <c r="PR2" s="62"/>
      <c r="PS2" s="62"/>
      <c r="PT2" s="62"/>
      <c r="PU2" s="62"/>
      <c r="PV2" s="62"/>
      <c r="PW2" s="62"/>
      <c r="PX2" s="62"/>
      <c r="PY2" s="62"/>
      <c r="PZ2" s="62"/>
      <c r="QA2" s="62"/>
      <c r="QB2" s="62"/>
      <c r="QC2" s="62"/>
      <c r="QD2" s="62"/>
      <c r="QE2" s="62"/>
      <c r="QF2" s="62"/>
      <c r="QG2" s="62"/>
      <c r="QH2" s="62"/>
      <c r="QI2" s="62"/>
      <c r="QJ2" s="62"/>
      <c r="QK2" s="62"/>
      <c r="QL2" s="62"/>
      <c r="QM2" s="62"/>
      <c r="QN2" s="62"/>
      <c r="QO2" s="62"/>
      <c r="QP2" s="62"/>
      <c r="QQ2" s="62"/>
      <c r="QR2" s="62"/>
      <c r="QS2" s="62"/>
      <c r="QT2" s="62"/>
      <c r="QU2" s="62"/>
      <c r="QV2" s="62"/>
      <c r="QW2" s="62"/>
      <c r="QX2" s="62"/>
      <c r="QY2" s="62"/>
      <c r="QZ2" s="62"/>
      <c r="RA2" s="62"/>
      <c r="RB2" s="62"/>
      <c r="RC2" s="62"/>
      <c r="RD2" s="62"/>
      <c r="RE2" s="62"/>
      <c r="RF2" s="62"/>
      <c r="RG2" s="62"/>
      <c r="RH2" s="62"/>
      <c r="RI2" s="62"/>
      <c r="RJ2" s="62"/>
      <c r="RK2" s="62"/>
      <c r="RL2" s="62"/>
      <c r="RM2" s="62"/>
      <c r="RN2" s="62"/>
      <c r="RO2" s="62"/>
      <c r="RP2" s="62"/>
      <c r="RQ2" s="62"/>
      <c r="RR2" s="62"/>
      <c r="RS2" s="62"/>
      <c r="RT2" s="62"/>
      <c r="RU2" s="62"/>
      <c r="RV2" s="62"/>
      <c r="RW2" s="62"/>
      <c r="RX2" s="62"/>
      <c r="RY2" s="62"/>
      <c r="RZ2" s="62"/>
      <c r="SA2" s="62"/>
      <c r="SB2" s="62"/>
      <c r="SC2" s="62"/>
      <c r="SD2" s="62"/>
      <c r="SE2" s="62"/>
      <c r="SF2" s="62"/>
      <c r="SG2" s="62"/>
      <c r="SH2" s="62"/>
      <c r="SI2" s="62"/>
      <c r="SJ2" s="62"/>
      <c r="SK2" s="62"/>
      <c r="SL2" s="62"/>
      <c r="SM2" s="62"/>
      <c r="SN2" s="62"/>
      <c r="SO2" s="62"/>
      <c r="SP2" s="62"/>
      <c r="SQ2" s="62"/>
      <c r="SR2" s="62"/>
      <c r="SS2" s="62"/>
      <c r="ST2" s="62"/>
      <c r="SU2" s="62"/>
      <c r="SV2" s="62"/>
      <c r="SW2" s="62"/>
      <c r="SX2" s="62"/>
      <c r="SY2" s="62"/>
      <c r="SZ2" s="62"/>
      <c r="TA2" s="62"/>
      <c r="TB2" s="62"/>
      <c r="TC2" s="62"/>
      <c r="TD2" s="62"/>
      <c r="TE2" s="62"/>
      <c r="TF2" s="62"/>
      <c r="TG2" s="62"/>
      <c r="TH2" s="62"/>
      <c r="TI2" s="62"/>
      <c r="TJ2" s="62"/>
      <c r="TK2" s="62"/>
      <c r="TL2" s="62"/>
      <c r="TM2" s="62"/>
      <c r="TN2" s="62"/>
      <c r="TO2" s="62"/>
      <c r="TP2" s="62"/>
      <c r="TQ2" s="62"/>
      <c r="TR2" s="62"/>
      <c r="TS2" s="62"/>
      <c r="TT2" s="62"/>
      <c r="TU2" s="62"/>
      <c r="TV2" s="62"/>
      <c r="TW2" s="62"/>
      <c r="TX2" s="62"/>
      <c r="TY2" s="62"/>
      <c r="TZ2" s="62"/>
      <c r="UA2" s="62"/>
      <c r="UB2" s="62"/>
      <c r="UC2" s="62"/>
      <c r="UD2" s="62"/>
      <c r="UE2" s="62"/>
      <c r="UF2" s="62"/>
      <c r="UG2" s="62"/>
      <c r="UH2" s="62"/>
      <c r="UI2" s="62"/>
      <c r="UJ2" s="62"/>
      <c r="UK2" s="62"/>
      <c r="UL2" s="62"/>
      <c r="UM2" s="62"/>
      <c r="UN2" s="62"/>
      <c r="UO2" s="62"/>
      <c r="UP2" s="62"/>
      <c r="UQ2" s="62"/>
      <c r="UR2" s="62"/>
      <c r="US2" s="62"/>
      <c r="UT2" s="62"/>
      <c r="UU2" s="62"/>
      <c r="UV2" s="62"/>
      <c r="UW2" s="62"/>
      <c r="UX2" s="62"/>
      <c r="UY2" s="62"/>
      <c r="UZ2" s="62"/>
      <c r="VA2" s="62"/>
      <c r="VB2" s="62"/>
      <c r="VC2" s="62"/>
      <c r="VD2" s="62"/>
      <c r="VE2" s="62"/>
      <c r="VF2" s="62"/>
      <c r="VG2" s="62"/>
      <c r="VH2" s="62"/>
      <c r="VI2" s="62"/>
      <c r="VJ2" s="62"/>
      <c r="VK2" s="62"/>
      <c r="VL2" s="62"/>
      <c r="VM2" s="62"/>
      <c r="VN2" s="62"/>
      <c r="VO2" s="62"/>
      <c r="VP2" s="62"/>
      <c r="VQ2" s="62"/>
      <c r="VR2" s="62"/>
      <c r="VS2" s="62"/>
      <c r="VT2" s="62"/>
      <c r="VU2" s="62"/>
      <c r="VV2" s="62"/>
      <c r="VW2" s="62"/>
      <c r="VX2" s="62"/>
      <c r="VY2" s="62"/>
      <c r="VZ2" s="62"/>
      <c r="WA2" s="62"/>
      <c r="WB2" s="62"/>
      <c r="WC2" s="62"/>
      <c r="WD2" s="62"/>
      <c r="WE2" s="62"/>
      <c r="WF2" s="62"/>
      <c r="WG2" s="62"/>
      <c r="WH2" s="62"/>
      <c r="WI2" s="62"/>
      <c r="WJ2" s="62"/>
      <c r="WK2" s="62"/>
      <c r="WL2" s="62"/>
      <c r="WM2" s="62"/>
      <c r="WN2" s="62"/>
      <c r="WO2" s="62"/>
      <c r="WP2" s="62"/>
      <c r="WQ2" s="62"/>
      <c r="WR2" s="62"/>
      <c r="WS2" s="62"/>
      <c r="WT2" s="62"/>
      <c r="WU2" s="62"/>
      <c r="WV2" s="62"/>
      <c r="WW2" s="62"/>
      <c r="WX2" s="62"/>
      <c r="WY2" s="62"/>
      <c r="WZ2" s="62"/>
      <c r="XA2" s="62"/>
      <c r="XB2" s="62"/>
      <c r="XC2" s="62"/>
      <c r="XD2" s="62"/>
      <c r="XE2" s="62"/>
      <c r="XF2" s="62"/>
      <c r="XG2" s="62"/>
      <c r="XH2" s="62"/>
      <c r="XI2" s="62"/>
      <c r="XJ2" s="62"/>
      <c r="XK2" s="62"/>
      <c r="XL2" s="62"/>
      <c r="XM2" s="62"/>
      <c r="XN2" s="62"/>
      <c r="XO2" s="62"/>
      <c r="XP2" s="62"/>
      <c r="XQ2" s="62"/>
      <c r="XR2" s="62"/>
      <c r="XS2" s="62"/>
      <c r="XT2" s="62"/>
      <c r="XU2" s="62"/>
      <c r="XV2" s="62"/>
      <c r="XW2" s="62"/>
      <c r="XX2" s="62"/>
      <c r="XY2" s="62"/>
      <c r="XZ2" s="62"/>
      <c r="YA2" s="62"/>
      <c r="YB2" s="62"/>
      <c r="YC2" s="62"/>
      <c r="YD2" s="62"/>
      <c r="YE2" s="62"/>
      <c r="YF2" s="62"/>
      <c r="YG2" s="62"/>
      <c r="YH2" s="62"/>
      <c r="YI2" s="62"/>
      <c r="YJ2" s="62"/>
      <c r="YK2" s="62"/>
      <c r="YL2" s="62"/>
      <c r="YM2" s="62"/>
      <c r="YN2" s="62"/>
      <c r="YO2" s="62"/>
      <c r="YP2" s="62"/>
      <c r="YQ2" s="62"/>
      <c r="YR2" s="62"/>
      <c r="YS2" s="62"/>
      <c r="YT2" s="62"/>
      <c r="YU2" s="62"/>
      <c r="YV2" s="62"/>
      <c r="YW2" s="62"/>
      <c r="YX2" s="62"/>
      <c r="YY2" s="62"/>
      <c r="YZ2" s="62"/>
      <c r="ZA2" s="62"/>
      <c r="ZB2" s="62"/>
      <c r="ZC2" s="62"/>
      <c r="ZD2" s="62"/>
      <c r="ZE2" s="62"/>
      <c r="ZF2" s="62"/>
      <c r="ZG2" s="62"/>
      <c r="ZH2" s="62"/>
      <c r="ZI2" s="62"/>
      <c r="ZJ2" s="62"/>
      <c r="ZK2" s="62"/>
      <c r="ZL2" s="62"/>
      <c r="ZM2" s="62"/>
      <c r="ZN2" s="62"/>
      <c r="ZO2" s="62"/>
      <c r="ZP2" s="62"/>
      <c r="ZQ2" s="62"/>
      <c r="ZR2" s="62"/>
      <c r="ZS2" s="62"/>
      <c r="ZT2" s="62"/>
      <c r="ZU2" s="62"/>
      <c r="ZV2" s="62"/>
      <c r="ZW2" s="62"/>
      <c r="ZX2" s="62"/>
      <c r="ZY2" s="62"/>
      <c r="ZZ2" s="62"/>
      <c r="AAA2" s="62"/>
      <c r="AAB2" s="62"/>
      <c r="AAC2" s="62"/>
      <c r="AAD2" s="62"/>
      <c r="AAE2" s="62"/>
      <c r="AAF2" s="62"/>
      <c r="AAG2" s="62"/>
      <c r="AAH2" s="62"/>
      <c r="AAI2" s="62"/>
      <c r="AAJ2" s="62"/>
      <c r="AAK2" s="62"/>
      <c r="AAL2" s="62"/>
      <c r="AAM2" s="62"/>
      <c r="AAN2" s="62"/>
      <c r="AAO2" s="62"/>
      <c r="AAP2" s="62"/>
      <c r="AAQ2" s="62"/>
      <c r="AAR2" s="62"/>
      <c r="AAS2" s="62"/>
      <c r="AAT2" s="62"/>
      <c r="AAU2" s="62"/>
      <c r="AAV2" s="62"/>
      <c r="AAW2" s="62"/>
      <c r="AAX2" s="62"/>
      <c r="AAY2" s="62"/>
      <c r="AAZ2" s="62"/>
      <c r="ABA2" s="62"/>
      <c r="ABB2" s="62"/>
      <c r="ABC2" s="62"/>
      <c r="ABD2" s="62"/>
      <c r="ABE2" s="62"/>
      <c r="ABF2" s="62"/>
      <c r="ABG2" s="62"/>
      <c r="ABH2" s="62"/>
      <c r="ABI2" s="62"/>
      <c r="ABJ2" s="62"/>
      <c r="ABK2" s="62"/>
      <c r="ABL2" s="62"/>
      <c r="ABM2" s="62"/>
      <c r="ABN2" s="62"/>
      <c r="ABO2" s="62"/>
      <c r="ABP2" s="62"/>
      <c r="ABQ2" s="62"/>
      <c r="ABR2" s="62"/>
      <c r="ABS2" s="62"/>
      <c r="ABT2" s="62"/>
      <c r="ABU2" s="62"/>
      <c r="ABV2" s="62"/>
      <c r="ABW2" s="62"/>
      <c r="ABX2" s="62"/>
      <c r="ABY2" s="62"/>
      <c r="ABZ2" s="62"/>
      <c r="ACA2" s="62"/>
      <c r="ACB2" s="62"/>
      <c r="ACC2" s="62"/>
      <c r="ACD2" s="62"/>
      <c r="ACE2" s="62"/>
      <c r="ACF2" s="62"/>
      <c r="ACG2" s="62"/>
      <c r="ACH2" s="62"/>
      <c r="ACI2" s="62"/>
      <c r="ACJ2" s="62"/>
      <c r="ACK2" s="62"/>
      <c r="ACL2" s="62"/>
      <c r="ACM2" s="62"/>
      <c r="ACN2" s="62"/>
      <c r="ACO2" s="62"/>
      <c r="ACP2" s="62"/>
      <c r="ACQ2" s="62"/>
      <c r="ACR2" s="62"/>
      <c r="ACS2" s="62"/>
      <c r="ACT2" s="62"/>
      <c r="ACU2" s="62"/>
      <c r="ACV2" s="62"/>
      <c r="ACW2" s="62"/>
      <c r="ACX2" s="62"/>
      <c r="ACY2" s="62"/>
      <c r="ACZ2" s="62"/>
      <c r="ADA2" s="62"/>
      <c r="ADB2" s="62"/>
      <c r="ADC2" s="62"/>
      <c r="ADD2" s="62"/>
      <c r="ADE2" s="62"/>
      <c r="ADF2" s="62"/>
      <c r="ADG2" s="62"/>
      <c r="ADH2" s="62"/>
      <c r="ADI2" s="62"/>
      <c r="ADJ2" s="62"/>
      <c r="ADK2" s="62"/>
      <c r="ADL2" s="62"/>
      <c r="ADM2" s="62"/>
      <c r="ADN2" s="62"/>
      <c r="ADO2" s="62"/>
      <c r="ADP2" s="62"/>
      <c r="ADQ2" s="62"/>
      <c r="ADR2" s="62"/>
      <c r="ADS2" s="62"/>
      <c r="ADT2" s="62"/>
      <c r="ADU2" s="62"/>
      <c r="ADV2" s="62"/>
      <c r="ADW2" s="62"/>
      <c r="ADX2" s="62"/>
      <c r="ADY2" s="62"/>
      <c r="ADZ2" s="62"/>
      <c r="AEA2" s="62"/>
      <c r="AEB2" s="62"/>
      <c r="AEC2" s="62"/>
      <c r="AED2" s="62"/>
      <c r="AEE2" s="62"/>
      <c r="AEF2" s="62"/>
      <c r="AEG2" s="62"/>
      <c r="AEH2" s="62"/>
      <c r="AEI2" s="62"/>
      <c r="AEJ2" s="62"/>
      <c r="AEK2" s="62"/>
      <c r="AEL2" s="62"/>
      <c r="AEM2" s="62"/>
      <c r="AEN2" s="62"/>
      <c r="AEO2" s="62"/>
      <c r="AEP2" s="62"/>
      <c r="AEQ2" s="62"/>
      <c r="AER2" s="62"/>
      <c r="AES2" s="62"/>
      <c r="AET2" s="62"/>
      <c r="AEU2" s="62"/>
      <c r="AEV2" s="62"/>
      <c r="AEW2" s="62"/>
      <c r="AEX2" s="62"/>
      <c r="AEY2" s="62"/>
      <c r="AEZ2" s="62"/>
      <c r="AFA2" s="62"/>
      <c r="AFB2" s="62"/>
      <c r="AFC2" s="62"/>
      <c r="AFD2" s="62"/>
      <c r="AFE2" s="62"/>
      <c r="AFF2" s="62"/>
      <c r="AFG2" s="62"/>
      <c r="AFH2" s="62"/>
      <c r="AFI2" s="62"/>
      <c r="AFJ2" s="62"/>
      <c r="AFK2" s="62"/>
      <c r="AFL2" s="62"/>
      <c r="AFM2" s="62"/>
      <c r="AFN2" s="62"/>
      <c r="AFO2" s="62"/>
      <c r="AFP2" s="62"/>
      <c r="AFQ2" s="62"/>
      <c r="AFR2" s="62"/>
      <c r="AFS2" s="62"/>
      <c r="AFT2" s="62"/>
      <c r="AFU2" s="62"/>
      <c r="AFV2" s="62"/>
      <c r="AFW2" s="62"/>
      <c r="AFX2" s="62"/>
      <c r="AFY2" s="62"/>
      <c r="AFZ2" s="62"/>
      <c r="AGA2" s="62"/>
      <c r="AGB2" s="62"/>
      <c r="AGC2" s="62"/>
      <c r="AGD2" s="62"/>
      <c r="AGE2" s="62"/>
      <c r="AGF2" s="62"/>
      <c r="AGG2" s="62"/>
      <c r="AGH2" s="62"/>
      <c r="AGI2" s="62"/>
      <c r="AGJ2" s="62"/>
      <c r="AGK2" s="62"/>
      <c r="AGL2" s="62"/>
      <c r="AGM2" s="62"/>
      <c r="AGN2" s="62"/>
      <c r="AGO2" s="62"/>
      <c r="AGP2" s="62"/>
      <c r="AGQ2" s="62"/>
      <c r="AGR2" s="62"/>
      <c r="AGS2" s="62"/>
      <c r="AGT2" s="62"/>
      <c r="AGU2" s="62"/>
      <c r="AGV2" s="62"/>
      <c r="AGW2" s="62"/>
      <c r="AGX2" s="62"/>
      <c r="AGY2" s="62"/>
      <c r="AGZ2" s="62"/>
      <c r="AHA2" s="62"/>
      <c r="AHB2" s="62"/>
      <c r="AHC2" s="62"/>
      <c r="AHD2" s="62"/>
      <c r="AHE2" s="62"/>
      <c r="AHF2" s="62"/>
      <c r="AHG2" s="62"/>
      <c r="AHH2" s="62"/>
      <c r="AHI2" s="62"/>
      <c r="AHJ2" s="62"/>
      <c r="AHK2" s="62"/>
      <c r="AHL2" s="62"/>
      <c r="AHM2" s="62"/>
      <c r="AHN2" s="62"/>
      <c r="AHO2" s="62"/>
      <c r="AHP2" s="62"/>
      <c r="AHQ2" s="62"/>
      <c r="AHR2" s="62"/>
      <c r="AHS2" s="62"/>
      <c r="AHT2" s="62"/>
      <c r="AHU2" s="62"/>
      <c r="AHV2" s="62"/>
      <c r="AHW2" s="62"/>
      <c r="AHX2" s="62"/>
      <c r="AHY2" s="62"/>
      <c r="AHZ2" s="62"/>
      <c r="AIA2" s="62"/>
      <c r="AIB2" s="62"/>
      <c r="AIC2" s="62"/>
      <c r="AID2" s="62"/>
      <c r="AIE2" s="62"/>
      <c r="AIF2" s="62"/>
      <c r="AIG2" s="62"/>
      <c r="AIH2" s="62"/>
      <c r="AII2" s="62"/>
      <c r="AIJ2" s="62"/>
      <c r="AIK2" s="62"/>
      <c r="AIL2" s="62"/>
      <c r="AIM2" s="62"/>
      <c r="AIN2" s="62"/>
      <c r="AIO2" s="62"/>
      <c r="AIP2" s="62"/>
      <c r="AIQ2" s="62"/>
      <c r="AIR2" s="62"/>
      <c r="AIS2" s="62"/>
      <c r="AIT2" s="62"/>
      <c r="AIU2" s="62"/>
      <c r="AIV2" s="62"/>
      <c r="AIW2" s="62"/>
      <c r="AIX2" s="62"/>
      <c r="AIY2" s="62"/>
      <c r="AIZ2" s="62"/>
      <c r="AJA2" s="62"/>
      <c r="AJB2" s="62"/>
      <c r="AJC2" s="62"/>
      <c r="AJD2" s="62"/>
      <c r="AJE2" s="62"/>
      <c r="AJF2" s="62"/>
      <c r="AJG2" s="62"/>
      <c r="AJH2" s="62"/>
      <c r="AJI2" s="62"/>
      <c r="AJJ2" s="62"/>
      <c r="AJK2" s="62"/>
      <c r="AJL2" s="62"/>
      <c r="AJM2" s="62"/>
      <c r="AJN2" s="62"/>
      <c r="AJO2" s="62"/>
      <c r="AJP2" s="62"/>
      <c r="AJQ2" s="62"/>
      <c r="AJR2" s="62"/>
      <c r="AJS2" s="62"/>
      <c r="AJT2" s="62"/>
      <c r="AJU2" s="62"/>
      <c r="AJV2" s="62"/>
      <c r="AJW2" s="62"/>
      <c r="AJX2" s="62"/>
      <c r="AJY2" s="62"/>
      <c r="AJZ2" s="62"/>
      <c r="AKA2" s="62"/>
      <c r="AKB2" s="62"/>
      <c r="AKC2" s="62"/>
      <c r="AKD2" s="62"/>
      <c r="AKE2" s="62"/>
      <c r="AKF2" s="62"/>
      <c r="AKG2" s="62"/>
      <c r="AKH2" s="62"/>
      <c r="AKI2" s="62"/>
      <c r="AKJ2" s="62"/>
      <c r="AKK2" s="62"/>
      <c r="AKL2" s="62"/>
      <c r="AKM2" s="62"/>
      <c r="AKN2" s="62"/>
      <c r="AKO2" s="62"/>
      <c r="AKP2" s="62"/>
      <c r="AKQ2" s="62"/>
      <c r="AKR2" s="62"/>
      <c r="AKS2" s="62"/>
      <c r="AKT2" s="62"/>
      <c r="AKU2" s="62"/>
      <c r="AKV2" s="62"/>
      <c r="AKW2" s="62"/>
      <c r="AKX2" s="62"/>
      <c r="AKY2" s="62"/>
      <c r="AKZ2" s="62"/>
      <c r="ALA2" s="62"/>
      <c r="ALB2" s="62"/>
      <c r="ALC2" s="62"/>
      <c r="ALD2" s="62"/>
      <c r="ALE2" s="62"/>
      <c r="ALF2" s="62"/>
      <c r="ALG2" s="62"/>
      <c r="ALH2" s="62"/>
      <c r="ALI2" s="62"/>
      <c r="ALJ2" s="62"/>
      <c r="ALK2" s="62"/>
      <c r="ALL2" s="62"/>
      <c r="ALM2" s="62"/>
      <c r="ALN2" s="62"/>
      <c r="ALO2" s="62"/>
      <c r="ALP2" s="62"/>
      <c r="ALQ2" s="62"/>
      <c r="ALR2" s="62"/>
      <c r="ALS2" s="62"/>
      <c r="ALT2" s="62"/>
      <c r="ALU2" s="62"/>
      <c r="ALV2" s="62"/>
      <c r="ALW2" s="62"/>
      <c r="ALX2" s="62"/>
      <c r="ALY2" s="62"/>
      <c r="ALZ2" s="62"/>
      <c r="AMA2" s="62"/>
      <c r="AMB2" s="62"/>
      <c r="AMC2" s="62"/>
      <c r="AMD2" s="62"/>
      <c r="AME2" s="62"/>
      <c r="AMF2" s="62"/>
      <c r="AMG2" s="62"/>
      <c r="AMH2" s="62"/>
      <c r="AMI2" s="62"/>
      <c r="AMJ2" s="62"/>
      <c r="AMK2" s="62"/>
      <c r="AML2" s="62"/>
      <c r="AMM2" s="62"/>
      <c r="AMN2" s="62"/>
      <c r="AMO2" s="62"/>
      <c r="AMP2" s="62"/>
      <c r="AMQ2" s="62"/>
      <c r="AMR2" s="62"/>
      <c r="AMS2" s="62"/>
      <c r="AMT2" s="62"/>
      <c r="AMU2" s="62"/>
      <c r="AMV2" s="62"/>
      <c r="AMW2" s="62"/>
      <c r="AMX2" s="62"/>
      <c r="AMY2" s="62"/>
      <c r="AMZ2" s="62"/>
      <c r="ANA2" s="62"/>
      <c r="ANB2" s="62"/>
      <c r="ANC2" s="62"/>
      <c r="AND2" s="62"/>
      <c r="ANE2" s="62"/>
      <c r="ANF2" s="62"/>
      <c r="ANG2" s="62"/>
      <c r="ANH2" s="62"/>
      <c r="ANI2" s="62"/>
      <c r="ANJ2" s="62"/>
      <c r="ANK2" s="62"/>
      <c r="ANL2" s="62"/>
      <c r="ANM2" s="62"/>
      <c r="ANN2" s="62"/>
      <c r="ANO2" s="62"/>
      <c r="ANP2" s="62"/>
      <c r="ANQ2" s="62"/>
      <c r="ANR2" s="62"/>
      <c r="ANS2" s="62"/>
      <c r="ANT2" s="62"/>
      <c r="ANU2" s="62"/>
      <c r="ANV2" s="62"/>
      <c r="ANW2" s="62"/>
      <c r="ANX2" s="62"/>
      <c r="ANY2" s="62"/>
      <c r="ANZ2" s="62"/>
      <c r="AOA2" s="62"/>
      <c r="AOB2" s="62"/>
      <c r="AOC2" s="62"/>
      <c r="AOD2" s="62"/>
      <c r="AOE2" s="62"/>
      <c r="AOF2" s="62"/>
      <c r="AOG2" s="62"/>
      <c r="AOH2" s="62"/>
      <c r="AOI2" s="62"/>
      <c r="AOJ2" s="62"/>
      <c r="AOK2" s="62"/>
      <c r="AOL2" s="62"/>
      <c r="AOM2" s="62"/>
      <c r="AON2" s="62"/>
      <c r="AOO2" s="62"/>
      <c r="AOP2" s="62"/>
      <c r="AOQ2" s="62"/>
      <c r="AOR2" s="62"/>
      <c r="AOS2" s="62"/>
      <c r="AOT2" s="62"/>
      <c r="AOU2" s="62"/>
      <c r="AOV2" s="62"/>
      <c r="AOW2" s="62"/>
      <c r="AOX2" s="62"/>
      <c r="AOY2" s="62"/>
      <c r="AOZ2" s="62"/>
      <c r="APA2" s="62"/>
      <c r="APB2" s="62"/>
      <c r="APC2" s="62"/>
      <c r="APD2" s="62"/>
      <c r="APE2" s="62"/>
      <c r="APF2" s="62"/>
      <c r="APG2" s="62"/>
      <c r="APH2" s="62"/>
      <c r="API2" s="62"/>
      <c r="APJ2" s="62"/>
      <c r="APK2" s="62"/>
      <c r="APL2" s="62"/>
      <c r="APM2" s="62"/>
      <c r="APN2" s="62"/>
      <c r="APO2" s="62"/>
      <c r="APP2" s="62"/>
      <c r="APQ2" s="62"/>
      <c r="APR2" s="62"/>
      <c r="APS2" s="62"/>
      <c r="APT2" s="62"/>
      <c r="APU2" s="62"/>
      <c r="APV2" s="62"/>
      <c r="APW2" s="62"/>
      <c r="APX2" s="62"/>
      <c r="APY2" s="62"/>
      <c r="APZ2" s="62"/>
      <c r="AQA2" s="62"/>
      <c r="AQB2" s="62"/>
      <c r="AQC2" s="62"/>
      <c r="AQD2" s="62"/>
      <c r="AQE2" s="62"/>
      <c r="AQF2" s="62"/>
      <c r="AQG2" s="62"/>
      <c r="AQH2" s="62"/>
      <c r="AQI2" s="62"/>
      <c r="AQJ2" s="62"/>
      <c r="AQK2" s="62"/>
      <c r="AQL2" s="62"/>
      <c r="AQM2" s="62"/>
      <c r="AQN2" s="62"/>
      <c r="AQO2" s="62"/>
      <c r="AQP2" s="62"/>
      <c r="AQQ2" s="62"/>
      <c r="AQR2" s="62"/>
      <c r="AQS2" s="62"/>
      <c r="AQT2" s="62"/>
      <c r="AQU2" s="62"/>
      <c r="AQV2" s="62"/>
      <c r="AQW2" s="62"/>
      <c r="AQX2" s="62"/>
      <c r="AQY2" s="62"/>
      <c r="AQZ2" s="62"/>
      <c r="ARA2" s="62"/>
      <c r="ARB2" s="62"/>
      <c r="ARC2" s="62"/>
      <c r="ARD2" s="62"/>
      <c r="ARE2" s="62"/>
      <c r="ARF2" s="62"/>
      <c r="ARG2" s="62"/>
      <c r="ARH2" s="62"/>
      <c r="ARI2" s="62"/>
      <c r="ARJ2" s="62"/>
      <c r="ARK2" s="62"/>
      <c r="ARL2" s="62"/>
      <c r="ARM2" s="62"/>
      <c r="ARN2" s="62"/>
      <c r="ARO2" s="62"/>
      <c r="ARP2" s="62"/>
      <c r="ARQ2" s="62"/>
      <c r="ARR2" s="62"/>
      <c r="ARS2" s="62"/>
      <c r="ART2" s="62"/>
      <c r="ARU2" s="62"/>
      <c r="ARV2" s="62"/>
      <c r="ARW2" s="62"/>
      <c r="ARX2" s="62"/>
      <c r="ARY2" s="62"/>
      <c r="ARZ2" s="62"/>
      <c r="ASA2" s="62"/>
      <c r="ASB2" s="62"/>
      <c r="ASC2" s="62"/>
      <c r="ASD2" s="62"/>
      <c r="ASE2" s="62"/>
      <c r="ASF2" s="62"/>
      <c r="ASG2" s="62"/>
      <c r="ASH2" s="62"/>
      <c r="ASI2" s="62"/>
      <c r="ASJ2" s="62"/>
      <c r="ASK2" s="62"/>
      <c r="ASL2" s="62"/>
      <c r="ASM2" s="62"/>
      <c r="ASN2" s="62"/>
      <c r="ASO2" s="62"/>
      <c r="ASP2" s="62"/>
      <c r="ASQ2" s="62"/>
      <c r="ASR2" s="62"/>
      <c r="ASS2" s="62"/>
      <c r="AST2" s="62"/>
      <c r="ASU2" s="62"/>
      <c r="ASV2" s="62"/>
      <c r="ASW2" s="62"/>
      <c r="ASX2" s="62"/>
      <c r="ASY2" s="62"/>
      <c r="ASZ2" s="62"/>
      <c r="ATA2" s="62"/>
      <c r="ATB2" s="62"/>
      <c r="ATC2" s="62"/>
      <c r="ATD2" s="62"/>
      <c r="ATE2" s="62"/>
      <c r="ATF2" s="62"/>
      <c r="ATG2" s="62"/>
      <c r="ATH2" s="62"/>
      <c r="ATI2" s="62"/>
      <c r="ATJ2" s="62"/>
      <c r="ATK2" s="62"/>
      <c r="ATL2" s="62"/>
      <c r="ATM2" s="62"/>
      <c r="ATN2" s="62"/>
      <c r="ATO2" s="62"/>
      <c r="ATP2" s="62"/>
      <c r="ATQ2" s="62"/>
      <c r="ATR2" s="62"/>
      <c r="ATS2" s="62"/>
      <c r="ATT2" s="62"/>
      <c r="ATU2" s="62"/>
      <c r="ATV2" s="62"/>
      <c r="ATW2" s="62"/>
      <c r="ATX2" s="62"/>
      <c r="ATY2" s="62"/>
      <c r="ATZ2" s="62"/>
      <c r="AUA2" s="62"/>
      <c r="AUB2" s="62"/>
      <c r="AUC2" s="62"/>
      <c r="AUD2" s="62"/>
      <c r="AUE2" s="62"/>
      <c r="AUF2" s="62"/>
      <c r="AUG2" s="62"/>
      <c r="AUH2" s="62"/>
      <c r="AUI2" s="62"/>
      <c r="AUJ2" s="62"/>
      <c r="AUK2" s="62"/>
      <c r="AUL2" s="62"/>
      <c r="AUM2" s="62"/>
      <c r="AUN2" s="62"/>
      <c r="AUO2" s="62"/>
      <c r="AUP2" s="62"/>
      <c r="AUQ2" s="62"/>
      <c r="AUR2" s="62"/>
      <c r="AUS2" s="62"/>
      <c r="AUT2" s="62"/>
      <c r="AUU2" s="62"/>
      <c r="AUV2" s="62"/>
      <c r="AUW2" s="62"/>
      <c r="AUX2" s="62"/>
      <c r="AUY2" s="62"/>
      <c r="AUZ2" s="62"/>
      <c r="AVA2" s="62"/>
      <c r="AVB2" s="62"/>
      <c r="AVC2" s="62"/>
      <c r="AVD2" s="62"/>
      <c r="AVE2" s="62"/>
      <c r="AVF2" s="62"/>
      <c r="AVG2" s="62"/>
      <c r="AVH2" s="62"/>
      <c r="AVI2" s="62"/>
      <c r="AVJ2" s="62"/>
      <c r="AVK2" s="62"/>
      <c r="AVL2" s="62"/>
      <c r="AVM2" s="62"/>
      <c r="AVN2" s="62"/>
      <c r="AVO2" s="62"/>
      <c r="AVP2" s="62"/>
      <c r="AVQ2" s="62"/>
      <c r="AVR2" s="62"/>
      <c r="AVS2" s="62"/>
      <c r="AVT2" s="62"/>
      <c r="AVU2" s="62"/>
      <c r="AVV2" s="62"/>
      <c r="AVW2" s="62"/>
      <c r="AVX2" s="62"/>
      <c r="AVY2" s="62"/>
      <c r="AVZ2" s="62"/>
      <c r="AWA2" s="62"/>
      <c r="AWB2" s="62"/>
      <c r="AWC2" s="62"/>
      <c r="AWD2" s="62"/>
      <c r="AWE2" s="62"/>
      <c r="AWF2" s="62"/>
      <c r="AWG2" s="62"/>
      <c r="AWH2" s="62"/>
      <c r="AWI2" s="62"/>
      <c r="AWJ2" s="62"/>
      <c r="AWK2" s="62"/>
      <c r="AWL2" s="62"/>
      <c r="AWM2" s="62"/>
      <c r="AWN2" s="62"/>
      <c r="AWO2" s="62"/>
      <c r="AWP2" s="62"/>
      <c r="AWQ2" s="62"/>
      <c r="AWR2" s="62"/>
      <c r="AWS2" s="62"/>
      <c r="AWT2" s="62"/>
      <c r="AWU2" s="62"/>
      <c r="AWV2" s="62"/>
      <c r="AWW2" s="62"/>
      <c r="AWX2" s="62"/>
      <c r="AWY2" s="62"/>
      <c r="AWZ2" s="62"/>
      <c r="AXA2" s="62"/>
      <c r="AXB2" s="62"/>
      <c r="AXC2" s="62"/>
      <c r="AXD2" s="62"/>
      <c r="AXE2" s="62"/>
      <c r="AXF2" s="62"/>
      <c r="AXG2" s="62"/>
      <c r="AXH2" s="62"/>
      <c r="AXI2" s="62"/>
      <c r="AXJ2" s="62"/>
      <c r="AXK2" s="62"/>
      <c r="AXL2" s="62"/>
      <c r="AXM2" s="62"/>
      <c r="AXN2" s="62"/>
      <c r="AXO2" s="62"/>
      <c r="AXP2" s="62"/>
      <c r="AXQ2" s="62"/>
      <c r="AXR2" s="62"/>
      <c r="AXS2" s="62"/>
      <c r="AXT2" s="62"/>
      <c r="AXU2" s="62"/>
      <c r="AXV2" s="62"/>
      <c r="AXW2" s="62"/>
      <c r="AXX2" s="62"/>
      <c r="AXY2" s="62"/>
      <c r="AXZ2" s="62"/>
      <c r="AYA2" s="62"/>
      <c r="AYB2" s="62"/>
      <c r="AYC2" s="62"/>
      <c r="AYD2" s="62"/>
      <c r="AYE2" s="62"/>
      <c r="AYF2" s="62"/>
      <c r="AYG2" s="62"/>
      <c r="AYH2" s="62"/>
      <c r="AYI2" s="62"/>
      <c r="AYJ2" s="62"/>
      <c r="AYK2" s="62"/>
      <c r="AYL2" s="62"/>
      <c r="AYM2" s="62"/>
      <c r="AYN2" s="62"/>
      <c r="AYO2" s="62"/>
      <c r="AYP2" s="62"/>
      <c r="AYQ2" s="62"/>
      <c r="AYR2" s="62"/>
      <c r="AYS2" s="62"/>
      <c r="AYT2" s="62"/>
      <c r="AYU2" s="62"/>
      <c r="AYV2" s="62"/>
      <c r="AYW2" s="62"/>
      <c r="AYX2" s="62"/>
      <c r="AYY2" s="62"/>
      <c r="AYZ2" s="62"/>
      <c r="AZA2" s="62"/>
      <c r="AZB2" s="62"/>
      <c r="AZC2" s="62"/>
      <c r="AZD2" s="62"/>
      <c r="AZE2" s="62"/>
      <c r="AZF2" s="62"/>
      <c r="AZG2" s="62"/>
      <c r="AZH2" s="62"/>
      <c r="AZI2" s="62"/>
      <c r="AZJ2" s="62"/>
      <c r="AZK2" s="62"/>
      <c r="AZL2" s="62"/>
      <c r="AZM2" s="62"/>
      <c r="AZN2" s="62"/>
      <c r="AZO2" s="62"/>
      <c r="AZP2" s="62"/>
      <c r="AZQ2" s="62"/>
      <c r="AZR2" s="62"/>
      <c r="AZS2" s="62"/>
      <c r="AZT2" s="62"/>
      <c r="AZU2" s="62"/>
      <c r="AZV2" s="62"/>
      <c r="AZW2" s="62"/>
      <c r="AZX2" s="62"/>
      <c r="AZY2" s="62"/>
      <c r="AZZ2" s="62"/>
      <c r="BAA2" s="62"/>
      <c r="BAB2" s="62"/>
      <c r="BAC2" s="62"/>
      <c r="BAD2" s="62"/>
      <c r="BAE2" s="62"/>
      <c r="BAF2" s="62"/>
      <c r="BAG2" s="62"/>
      <c r="BAH2" s="62"/>
      <c r="BAI2" s="62"/>
      <c r="BAJ2" s="62"/>
      <c r="BAK2" s="62"/>
      <c r="BAL2" s="62"/>
      <c r="BAM2" s="62"/>
      <c r="BAN2" s="62"/>
      <c r="BAO2" s="62"/>
      <c r="BAP2" s="62"/>
      <c r="BAQ2" s="62"/>
      <c r="BAR2" s="62"/>
      <c r="BAS2" s="62"/>
      <c r="BAT2" s="62"/>
      <c r="BAU2" s="62"/>
      <c r="BAV2" s="62"/>
      <c r="BAW2" s="62"/>
      <c r="BAX2" s="62"/>
      <c r="BAY2" s="62"/>
      <c r="BAZ2" s="62"/>
      <c r="BBA2" s="62"/>
      <c r="BBB2" s="62"/>
      <c r="BBC2" s="62"/>
      <c r="BBD2" s="62"/>
      <c r="BBE2" s="62"/>
      <c r="BBF2" s="62"/>
      <c r="BBG2" s="62"/>
      <c r="BBH2" s="62"/>
      <c r="BBI2" s="62"/>
      <c r="BBJ2" s="62"/>
      <c r="BBK2" s="62"/>
      <c r="BBL2" s="62"/>
      <c r="BBM2" s="62"/>
      <c r="BBN2" s="62"/>
      <c r="BBO2" s="62"/>
      <c r="BBP2" s="62"/>
      <c r="BBQ2" s="62"/>
      <c r="BBR2" s="62"/>
      <c r="BBS2" s="62"/>
      <c r="BBT2" s="62"/>
      <c r="BBU2" s="62"/>
      <c r="BBV2" s="62"/>
      <c r="BBW2" s="62"/>
      <c r="BBX2" s="62"/>
      <c r="BBY2" s="62"/>
      <c r="BBZ2" s="62"/>
      <c r="BCA2" s="62"/>
      <c r="BCB2" s="62"/>
      <c r="BCC2" s="62"/>
      <c r="BCD2" s="62"/>
      <c r="BCE2" s="62"/>
      <c r="BCF2" s="62"/>
      <c r="BCG2" s="62"/>
      <c r="BCH2" s="62"/>
      <c r="BCI2" s="62"/>
      <c r="BCJ2" s="62"/>
      <c r="BCK2" s="62"/>
      <c r="BCL2" s="62"/>
      <c r="BCM2" s="62"/>
      <c r="BCN2" s="62"/>
      <c r="BCO2" s="62"/>
      <c r="BCP2" s="62"/>
      <c r="BCQ2" s="62"/>
      <c r="BCR2" s="62"/>
      <c r="BCS2" s="62"/>
      <c r="BCT2" s="62"/>
      <c r="BCU2" s="62"/>
      <c r="BCV2" s="62"/>
      <c r="BCW2" s="62"/>
      <c r="BCX2" s="62"/>
      <c r="BCY2" s="62"/>
      <c r="BCZ2" s="62"/>
      <c r="BDA2" s="62"/>
      <c r="BDB2" s="62"/>
      <c r="BDC2" s="62"/>
      <c r="BDD2" s="62"/>
      <c r="BDE2" s="62"/>
      <c r="BDF2" s="62"/>
      <c r="BDG2" s="62"/>
      <c r="BDH2" s="62"/>
      <c r="BDI2" s="62"/>
      <c r="BDJ2" s="62"/>
      <c r="BDK2" s="62"/>
      <c r="BDL2" s="62"/>
      <c r="BDM2" s="62"/>
      <c r="BDN2" s="62"/>
      <c r="BDO2" s="62"/>
      <c r="BDP2" s="62"/>
      <c r="BDQ2" s="62"/>
      <c r="BDR2" s="62"/>
      <c r="BDS2" s="62"/>
      <c r="BDT2" s="62"/>
      <c r="BDU2" s="62"/>
      <c r="BDV2" s="62"/>
      <c r="BDW2" s="62"/>
      <c r="BDX2" s="62"/>
      <c r="BDY2" s="62"/>
      <c r="BDZ2" s="62"/>
      <c r="BEA2" s="62"/>
      <c r="BEB2" s="62"/>
      <c r="BEC2" s="62"/>
      <c r="BED2" s="62"/>
      <c r="BEE2" s="62"/>
      <c r="BEF2" s="62"/>
      <c r="BEG2" s="62"/>
      <c r="BEH2" s="62"/>
      <c r="BEI2" s="62"/>
      <c r="BEJ2" s="62"/>
      <c r="BEK2" s="62"/>
      <c r="BEL2" s="62"/>
      <c r="BEM2" s="62"/>
      <c r="BEN2" s="62"/>
      <c r="BEO2" s="62"/>
      <c r="BEP2" s="62"/>
      <c r="BEQ2" s="62"/>
      <c r="BER2" s="62"/>
      <c r="BES2" s="62"/>
      <c r="BET2" s="62"/>
      <c r="BEU2" s="62"/>
      <c r="BEV2" s="62"/>
      <c r="BEW2" s="62"/>
      <c r="BEX2" s="62"/>
      <c r="BEY2" s="62"/>
      <c r="BEZ2" s="62"/>
      <c r="BFA2" s="62"/>
      <c r="BFB2" s="62"/>
      <c r="BFC2" s="62"/>
      <c r="BFD2" s="62"/>
      <c r="BFE2" s="62"/>
      <c r="BFF2" s="62"/>
      <c r="BFG2" s="62"/>
      <c r="BFH2" s="62"/>
      <c r="BFI2" s="62"/>
      <c r="BFJ2" s="62"/>
      <c r="BFK2" s="62"/>
      <c r="BFL2" s="62"/>
      <c r="BFM2" s="62"/>
      <c r="BFN2" s="62"/>
      <c r="BFO2" s="62"/>
      <c r="BFP2" s="62"/>
      <c r="BFQ2" s="62"/>
      <c r="BFR2" s="62"/>
      <c r="BFS2" s="62"/>
      <c r="BFT2" s="62"/>
      <c r="BFU2" s="62"/>
      <c r="BFV2" s="62"/>
      <c r="BFW2" s="62"/>
      <c r="BFX2" s="62"/>
      <c r="BFY2" s="62"/>
      <c r="BFZ2" s="62"/>
      <c r="BGA2" s="62"/>
      <c r="BGB2" s="62"/>
      <c r="BGC2" s="62"/>
      <c r="BGD2" s="62"/>
      <c r="BGE2" s="62"/>
      <c r="BGF2" s="62"/>
      <c r="BGG2" s="62"/>
      <c r="BGH2" s="62"/>
      <c r="BGI2" s="62"/>
      <c r="BGJ2" s="62"/>
      <c r="BGK2" s="62"/>
      <c r="BGL2" s="62"/>
      <c r="BGM2" s="62"/>
      <c r="BGN2" s="62"/>
      <c r="BGO2" s="62"/>
      <c r="BGP2" s="62"/>
      <c r="BGQ2" s="62"/>
      <c r="BGR2" s="62"/>
      <c r="BGS2" s="62"/>
      <c r="BGT2" s="62"/>
      <c r="BGU2" s="62"/>
      <c r="BGV2" s="62"/>
      <c r="BGW2" s="62"/>
      <c r="BGX2" s="62"/>
      <c r="BGY2" s="62"/>
      <c r="BGZ2" s="62"/>
      <c r="BHA2" s="62"/>
      <c r="BHB2" s="62"/>
      <c r="BHC2" s="62"/>
      <c r="BHD2" s="62"/>
      <c r="BHE2" s="62"/>
      <c r="BHF2" s="62"/>
      <c r="BHG2" s="62"/>
      <c r="BHH2" s="62"/>
      <c r="BHI2" s="62"/>
      <c r="BHJ2" s="62"/>
      <c r="BHK2" s="62"/>
      <c r="BHL2" s="62"/>
      <c r="BHM2" s="62"/>
      <c r="BHN2" s="62"/>
      <c r="BHO2" s="62"/>
      <c r="BHP2" s="62"/>
      <c r="BHQ2" s="62"/>
      <c r="BHR2" s="62"/>
      <c r="BHS2" s="62"/>
      <c r="BHT2" s="62"/>
      <c r="BHU2" s="62"/>
      <c r="BHV2" s="62"/>
      <c r="BHW2" s="62"/>
      <c r="BHX2" s="62"/>
      <c r="BHY2" s="62"/>
      <c r="BHZ2" s="62"/>
      <c r="BIA2" s="62"/>
      <c r="BIB2" s="62"/>
      <c r="BIC2" s="62"/>
      <c r="BID2" s="62"/>
      <c r="BIE2" s="62"/>
      <c r="BIF2" s="62"/>
      <c r="BIG2" s="62"/>
      <c r="BIH2" s="62"/>
      <c r="BII2" s="62"/>
      <c r="BIJ2" s="62"/>
      <c r="BIK2" s="62"/>
      <c r="BIL2" s="62"/>
      <c r="BIM2" s="62"/>
      <c r="BIN2" s="62"/>
      <c r="BIO2" s="62"/>
      <c r="BIP2" s="62"/>
      <c r="BIQ2" s="62"/>
      <c r="BIR2" s="62"/>
      <c r="BIS2" s="62"/>
      <c r="BIT2" s="62"/>
      <c r="BIU2" s="62"/>
      <c r="BIV2" s="62"/>
      <c r="BIW2" s="62"/>
      <c r="BIX2" s="62"/>
      <c r="BIY2" s="62"/>
      <c r="BIZ2" s="62"/>
      <c r="BJA2" s="62"/>
      <c r="BJB2" s="62"/>
      <c r="BJC2" s="62"/>
      <c r="BJD2" s="62"/>
      <c r="BJE2" s="62"/>
      <c r="BJF2" s="62"/>
      <c r="BJG2" s="62"/>
      <c r="BJH2" s="62"/>
      <c r="BJI2" s="62"/>
      <c r="BJJ2" s="62"/>
      <c r="BJK2" s="62"/>
      <c r="BJL2" s="62"/>
      <c r="BJM2" s="62"/>
      <c r="BJN2" s="62"/>
      <c r="BJO2" s="62"/>
      <c r="BJP2" s="62"/>
      <c r="BJQ2" s="62"/>
      <c r="BJR2" s="62"/>
      <c r="BJS2" s="62"/>
      <c r="BJT2" s="62"/>
      <c r="BJU2" s="62"/>
      <c r="BJV2" s="62"/>
      <c r="BJW2" s="62"/>
      <c r="BJX2" s="62"/>
      <c r="BJY2" s="62"/>
      <c r="BJZ2" s="62"/>
      <c r="BKA2" s="62"/>
      <c r="BKB2" s="62"/>
      <c r="BKC2" s="62"/>
      <c r="BKD2" s="62"/>
      <c r="BKE2" s="62"/>
      <c r="BKF2" s="62"/>
      <c r="BKG2" s="62"/>
      <c r="BKH2" s="62"/>
      <c r="BKI2" s="62"/>
      <c r="BKJ2" s="62"/>
      <c r="BKK2" s="62"/>
      <c r="BKL2" s="62"/>
      <c r="BKM2" s="62"/>
      <c r="BKN2" s="62"/>
      <c r="BKO2" s="62"/>
      <c r="BKP2" s="62"/>
      <c r="BKQ2" s="62"/>
      <c r="BKR2" s="62"/>
      <c r="BKS2" s="62"/>
      <c r="BKT2" s="62"/>
      <c r="BKU2" s="62"/>
      <c r="BKV2" s="62"/>
      <c r="BKW2" s="62"/>
      <c r="BKX2" s="62"/>
      <c r="BKY2" s="62"/>
      <c r="BKZ2" s="62"/>
      <c r="BLA2" s="62"/>
      <c r="BLB2" s="62"/>
      <c r="BLC2" s="62"/>
      <c r="BLD2" s="62"/>
      <c r="BLE2" s="62"/>
      <c r="BLF2" s="62"/>
      <c r="BLG2" s="62"/>
      <c r="BLH2" s="62"/>
      <c r="BLI2" s="62"/>
      <c r="BLJ2" s="62"/>
      <c r="BLK2" s="62"/>
      <c r="BLL2" s="62"/>
      <c r="BLM2" s="62"/>
      <c r="BLN2" s="62"/>
      <c r="BLO2" s="62"/>
      <c r="BLP2" s="62"/>
      <c r="BLQ2" s="62"/>
      <c r="BLR2" s="62"/>
      <c r="BLS2" s="62"/>
      <c r="BLT2" s="62"/>
      <c r="BLU2" s="62"/>
      <c r="BLV2" s="62"/>
      <c r="BLW2" s="62"/>
      <c r="BLX2" s="62"/>
      <c r="BLY2" s="62"/>
      <c r="BLZ2" s="62"/>
      <c r="BMA2" s="62"/>
      <c r="BMB2" s="62"/>
      <c r="BMC2" s="62"/>
      <c r="BMD2" s="62"/>
      <c r="BME2" s="62"/>
      <c r="BMF2" s="62"/>
      <c r="BMG2" s="62"/>
      <c r="BMH2" s="62"/>
      <c r="BMI2" s="62"/>
      <c r="BMJ2" s="62"/>
      <c r="BMK2" s="62"/>
      <c r="BML2" s="62"/>
      <c r="BMM2" s="62"/>
      <c r="BMN2" s="62"/>
      <c r="BMO2" s="62"/>
      <c r="BMP2" s="62"/>
      <c r="BMQ2" s="62"/>
      <c r="BMR2" s="62"/>
      <c r="BMS2" s="62"/>
      <c r="BMT2" s="62"/>
      <c r="BMU2" s="62"/>
      <c r="BMV2" s="62"/>
      <c r="BMW2" s="62"/>
      <c r="BMX2" s="62"/>
      <c r="BMY2" s="62"/>
      <c r="BMZ2" s="62"/>
      <c r="BNA2" s="62"/>
      <c r="BNB2" s="62"/>
      <c r="BNC2" s="62"/>
      <c r="BND2" s="62"/>
      <c r="BNE2" s="62"/>
      <c r="BNF2" s="62"/>
      <c r="BNG2" s="62"/>
      <c r="BNH2" s="62"/>
      <c r="BNI2" s="62"/>
      <c r="BNJ2" s="62"/>
      <c r="BNK2" s="62"/>
      <c r="BNL2" s="62"/>
      <c r="BNM2" s="62"/>
      <c r="BNN2" s="62"/>
      <c r="BNO2" s="62"/>
      <c r="BNP2" s="62"/>
      <c r="BNQ2" s="62"/>
      <c r="BNR2" s="62"/>
      <c r="BNS2" s="62"/>
      <c r="BNT2" s="62"/>
      <c r="BNU2" s="62"/>
      <c r="BNV2" s="62"/>
      <c r="BNW2" s="62"/>
      <c r="BNX2" s="62"/>
      <c r="BNY2" s="62"/>
      <c r="BNZ2" s="62"/>
      <c r="BOA2" s="62"/>
      <c r="BOB2" s="62"/>
      <c r="BOC2" s="62"/>
      <c r="BOD2" s="62"/>
      <c r="BOE2" s="62"/>
      <c r="BOF2" s="62"/>
      <c r="BOG2" s="62"/>
      <c r="BOH2" s="62"/>
      <c r="BOI2" s="62"/>
      <c r="BOJ2" s="62"/>
      <c r="BOK2" s="62"/>
      <c r="BOL2" s="62"/>
      <c r="BOM2" s="62"/>
      <c r="BON2" s="62"/>
      <c r="BOO2" s="62"/>
      <c r="BOP2" s="62"/>
      <c r="BOQ2" s="62"/>
      <c r="BOR2" s="62"/>
      <c r="BOS2" s="62"/>
      <c r="BOT2" s="62"/>
      <c r="BOU2" s="62"/>
      <c r="BOV2" s="62"/>
      <c r="BOW2" s="62"/>
      <c r="BOX2" s="62"/>
      <c r="BOY2" s="62"/>
      <c r="BOZ2" s="62"/>
      <c r="BPA2" s="62"/>
      <c r="BPB2" s="62"/>
      <c r="BPC2" s="62"/>
      <c r="BPD2" s="62"/>
      <c r="BPE2" s="62"/>
      <c r="BPF2" s="62"/>
      <c r="BPG2" s="62"/>
      <c r="BPH2" s="62"/>
      <c r="BPI2" s="62"/>
      <c r="BPJ2" s="62"/>
      <c r="BPK2" s="62"/>
      <c r="BPL2" s="62"/>
      <c r="BPM2" s="62"/>
      <c r="BPN2" s="62"/>
      <c r="BPO2" s="62"/>
      <c r="BPP2" s="62"/>
      <c r="BPQ2" s="62"/>
      <c r="BPR2" s="62"/>
      <c r="BPS2" s="62"/>
      <c r="BPT2" s="62"/>
      <c r="BPU2" s="62"/>
      <c r="BPV2" s="62"/>
      <c r="BPW2" s="62"/>
      <c r="BPX2" s="62"/>
      <c r="BPY2" s="62"/>
      <c r="BPZ2" s="62"/>
      <c r="BQA2" s="62"/>
      <c r="BQB2" s="62"/>
      <c r="BQC2" s="62"/>
      <c r="BQD2" s="62"/>
      <c r="BQE2" s="62"/>
      <c r="BQF2" s="62"/>
      <c r="BQG2" s="62"/>
      <c r="BQH2" s="62"/>
      <c r="BQI2" s="62"/>
      <c r="BQJ2" s="62"/>
      <c r="BQK2" s="62"/>
      <c r="BQL2" s="62"/>
      <c r="BQM2" s="62"/>
      <c r="BQN2" s="62"/>
      <c r="BQO2" s="62"/>
      <c r="BQP2" s="62"/>
      <c r="BQQ2" s="62"/>
      <c r="BQR2" s="62"/>
      <c r="BQS2" s="62"/>
      <c r="BQT2" s="62"/>
      <c r="BQU2" s="62"/>
      <c r="BQV2" s="62"/>
      <c r="BQW2" s="62"/>
      <c r="BQX2" s="62"/>
      <c r="BQY2" s="62"/>
      <c r="BQZ2" s="62"/>
      <c r="BRA2" s="62"/>
      <c r="BRB2" s="62"/>
      <c r="BRC2" s="62"/>
      <c r="BRD2" s="62"/>
      <c r="BRE2" s="62"/>
      <c r="BRF2" s="62"/>
      <c r="BRG2" s="62"/>
      <c r="BRH2" s="62"/>
      <c r="BRI2" s="62"/>
      <c r="BRJ2" s="62"/>
      <c r="BRK2" s="62"/>
      <c r="BRL2" s="62"/>
      <c r="BRM2" s="62"/>
      <c r="BRN2" s="62"/>
      <c r="BRO2" s="62"/>
      <c r="BRP2" s="62"/>
      <c r="BRQ2" s="62"/>
      <c r="BRR2" s="62"/>
      <c r="BRS2" s="62"/>
      <c r="BRT2" s="62"/>
      <c r="BRU2" s="62"/>
      <c r="BRV2" s="62"/>
      <c r="BRW2" s="62"/>
      <c r="BRX2" s="62"/>
      <c r="BRY2" s="62"/>
      <c r="BRZ2" s="62"/>
      <c r="BSA2" s="62"/>
      <c r="BSB2" s="62"/>
      <c r="BSC2" s="62"/>
      <c r="BSD2" s="62"/>
      <c r="BSE2" s="62"/>
      <c r="BSF2" s="62"/>
      <c r="BSG2" s="62"/>
      <c r="BSH2" s="62"/>
      <c r="BSI2" s="62"/>
      <c r="BSJ2" s="62"/>
      <c r="BSK2" s="62"/>
      <c r="BSL2" s="62"/>
      <c r="BSM2" s="62"/>
      <c r="BSN2" s="62"/>
      <c r="BSO2" s="62"/>
      <c r="BSP2" s="62"/>
      <c r="BSQ2" s="62"/>
      <c r="BSR2" s="62"/>
      <c r="BSS2" s="62"/>
      <c r="BST2" s="62"/>
      <c r="BSU2" s="62"/>
      <c r="BSV2" s="62"/>
      <c r="BSW2" s="62"/>
      <c r="BSX2" s="62"/>
      <c r="BSY2" s="62"/>
      <c r="BSZ2" s="62"/>
      <c r="BTA2" s="62"/>
      <c r="BTB2" s="62"/>
      <c r="BTC2" s="62"/>
      <c r="BTD2" s="62"/>
      <c r="BTE2" s="62"/>
      <c r="BTF2" s="62"/>
      <c r="BTG2" s="62"/>
      <c r="BTH2" s="62"/>
      <c r="BTI2" s="62"/>
      <c r="BTJ2" s="62"/>
      <c r="BTK2" s="62"/>
      <c r="BTL2" s="62"/>
      <c r="BTM2" s="62"/>
      <c r="BTN2" s="62"/>
      <c r="BTO2" s="62"/>
      <c r="BTP2" s="62"/>
      <c r="BTQ2" s="62"/>
      <c r="BTR2" s="62"/>
      <c r="BTS2" s="62"/>
      <c r="BTT2" s="62"/>
      <c r="BTU2" s="62"/>
      <c r="BTV2" s="62"/>
      <c r="BTW2" s="62"/>
      <c r="BTX2" s="62"/>
      <c r="BTY2" s="62"/>
      <c r="BTZ2" s="62"/>
      <c r="BUA2" s="62"/>
      <c r="BUB2" s="62"/>
      <c r="BUC2" s="62"/>
      <c r="BUD2" s="62"/>
      <c r="BUE2" s="62"/>
      <c r="BUF2" s="62"/>
      <c r="BUG2" s="62"/>
      <c r="BUH2" s="62"/>
      <c r="BUI2" s="62"/>
      <c r="BUJ2" s="62"/>
      <c r="BUK2" s="62"/>
      <c r="BUL2" s="62"/>
      <c r="BUM2" s="62"/>
      <c r="BUN2" s="62"/>
      <c r="BUO2" s="62"/>
      <c r="BUP2" s="62"/>
      <c r="BUQ2" s="62"/>
      <c r="BUR2" s="62"/>
      <c r="BUS2" s="62"/>
      <c r="BUT2" s="62"/>
      <c r="BUU2" s="62"/>
      <c r="BUV2" s="62"/>
      <c r="BUW2" s="62"/>
      <c r="BUX2" s="62"/>
      <c r="BUY2" s="62"/>
      <c r="BUZ2" s="62"/>
      <c r="BVA2" s="62"/>
      <c r="BVB2" s="62"/>
      <c r="BVC2" s="62"/>
      <c r="BVD2" s="62"/>
      <c r="BVE2" s="62"/>
      <c r="BVF2" s="62"/>
      <c r="BVG2" s="62"/>
      <c r="BVH2" s="62"/>
      <c r="BVI2" s="62"/>
      <c r="BVJ2" s="62"/>
      <c r="BVK2" s="62"/>
      <c r="BVL2" s="62"/>
      <c r="BVM2" s="62"/>
      <c r="BVN2" s="62"/>
      <c r="BVO2" s="62"/>
      <c r="BVP2" s="62"/>
      <c r="BVQ2" s="62"/>
      <c r="BVR2" s="62"/>
      <c r="BVS2" s="62"/>
      <c r="BVT2" s="62"/>
      <c r="BVU2" s="62"/>
      <c r="BVV2" s="62"/>
      <c r="BVW2" s="62"/>
      <c r="BVX2" s="62"/>
      <c r="BVY2" s="62"/>
      <c r="BVZ2" s="62"/>
      <c r="BWA2" s="62"/>
      <c r="BWB2" s="62"/>
      <c r="BWC2" s="62"/>
      <c r="BWD2" s="62"/>
      <c r="BWE2" s="62"/>
      <c r="BWF2" s="62"/>
      <c r="BWG2" s="62"/>
      <c r="BWH2" s="62"/>
      <c r="BWI2" s="62"/>
      <c r="BWJ2" s="62"/>
      <c r="BWK2" s="62"/>
      <c r="BWL2" s="62"/>
      <c r="BWM2" s="62"/>
      <c r="BWN2" s="62"/>
      <c r="BWO2" s="62"/>
      <c r="BWP2" s="62"/>
      <c r="BWQ2" s="62"/>
      <c r="BWR2" s="62"/>
      <c r="BWS2" s="62"/>
      <c r="BWT2" s="62"/>
      <c r="BWU2" s="62"/>
      <c r="BWV2" s="62"/>
      <c r="BWW2" s="62"/>
      <c r="BWX2" s="62"/>
      <c r="BWY2" s="62"/>
      <c r="BWZ2" s="62"/>
      <c r="BXA2" s="62"/>
      <c r="BXB2" s="62"/>
      <c r="BXC2" s="62"/>
      <c r="BXD2" s="62"/>
      <c r="BXE2" s="62"/>
      <c r="BXF2" s="62"/>
      <c r="BXG2" s="62"/>
      <c r="BXH2" s="62"/>
      <c r="BXI2" s="62"/>
      <c r="BXJ2" s="62"/>
      <c r="BXK2" s="62"/>
      <c r="BXL2" s="62"/>
      <c r="BXM2" s="62"/>
      <c r="BXN2" s="62"/>
      <c r="BXO2" s="62"/>
      <c r="BXP2" s="62"/>
      <c r="BXQ2" s="62"/>
      <c r="BXR2" s="62"/>
      <c r="BXS2" s="62"/>
      <c r="BXT2" s="62"/>
      <c r="BXU2" s="62"/>
      <c r="BXV2" s="62"/>
      <c r="BXW2" s="62"/>
      <c r="BXX2" s="62"/>
      <c r="BXY2" s="62"/>
      <c r="BXZ2" s="62"/>
      <c r="BYA2" s="62"/>
      <c r="BYB2" s="62"/>
      <c r="BYC2" s="62"/>
      <c r="BYD2" s="62"/>
      <c r="BYE2" s="62"/>
      <c r="BYF2" s="62"/>
      <c r="BYG2" s="62"/>
      <c r="BYH2" s="62"/>
      <c r="BYI2" s="62"/>
      <c r="BYJ2" s="62"/>
      <c r="BYK2" s="62"/>
      <c r="BYL2" s="62"/>
      <c r="BYM2" s="62"/>
      <c r="BYN2" s="62"/>
      <c r="BYO2" s="62"/>
      <c r="BYP2" s="62"/>
      <c r="BYQ2" s="62"/>
      <c r="BYR2" s="62"/>
      <c r="BYS2" s="62"/>
      <c r="BYT2" s="62"/>
      <c r="BYU2" s="62"/>
      <c r="BYV2" s="62"/>
      <c r="BYW2" s="62"/>
      <c r="BYX2" s="62"/>
      <c r="BYY2" s="62"/>
      <c r="BYZ2" s="62"/>
      <c r="BZA2" s="62"/>
      <c r="BZB2" s="62"/>
      <c r="BZC2" s="62"/>
      <c r="BZD2" s="62"/>
      <c r="BZE2" s="62"/>
      <c r="BZF2" s="62"/>
      <c r="BZG2" s="62"/>
      <c r="BZH2" s="62"/>
      <c r="BZI2" s="62"/>
      <c r="BZJ2" s="62"/>
      <c r="BZK2" s="62"/>
      <c r="BZL2" s="62"/>
      <c r="BZM2" s="62"/>
      <c r="BZN2" s="62"/>
      <c r="BZO2" s="62"/>
      <c r="BZP2" s="62"/>
      <c r="BZQ2" s="62"/>
      <c r="BZR2" s="62"/>
      <c r="BZS2" s="62"/>
      <c r="BZT2" s="62"/>
      <c r="BZU2" s="62"/>
      <c r="BZV2" s="62"/>
      <c r="BZW2" s="62"/>
      <c r="BZX2" s="62"/>
      <c r="BZY2" s="62"/>
      <c r="BZZ2" s="62"/>
      <c r="CAA2" s="62"/>
      <c r="CAB2" s="62"/>
      <c r="CAC2" s="62"/>
      <c r="CAD2" s="62"/>
      <c r="CAE2" s="62"/>
      <c r="CAF2" s="62"/>
      <c r="CAG2" s="62"/>
      <c r="CAH2" s="62"/>
      <c r="CAI2" s="62"/>
      <c r="CAJ2" s="62"/>
      <c r="CAK2" s="62"/>
      <c r="CAL2" s="62"/>
      <c r="CAM2" s="62"/>
      <c r="CAN2" s="62"/>
      <c r="CAO2" s="62"/>
      <c r="CAP2" s="62"/>
      <c r="CAQ2" s="62"/>
      <c r="CAR2" s="62"/>
      <c r="CAS2" s="62"/>
      <c r="CAT2" s="62"/>
      <c r="CAU2" s="62"/>
      <c r="CAV2" s="62"/>
      <c r="CAW2" s="62"/>
      <c r="CAX2" s="62"/>
      <c r="CAY2" s="62"/>
      <c r="CAZ2" s="62"/>
      <c r="CBA2" s="62"/>
      <c r="CBB2" s="62"/>
      <c r="CBC2" s="62"/>
      <c r="CBD2" s="62"/>
      <c r="CBE2" s="62"/>
      <c r="CBF2" s="62"/>
      <c r="CBG2" s="62"/>
      <c r="CBH2" s="62"/>
      <c r="CBI2" s="62"/>
      <c r="CBJ2" s="62"/>
      <c r="CBK2" s="62"/>
      <c r="CBL2" s="62"/>
      <c r="CBM2" s="62"/>
      <c r="CBN2" s="62"/>
      <c r="CBO2" s="62"/>
      <c r="CBP2" s="62"/>
      <c r="CBQ2" s="62"/>
      <c r="CBR2" s="62"/>
      <c r="CBS2" s="62"/>
      <c r="CBT2" s="62"/>
      <c r="CBU2" s="62"/>
      <c r="CBV2" s="62"/>
      <c r="CBW2" s="62"/>
      <c r="CBX2" s="62"/>
      <c r="CBY2" s="62"/>
      <c r="CBZ2" s="62"/>
      <c r="CCA2" s="62"/>
      <c r="CCB2" s="62"/>
      <c r="CCC2" s="62"/>
      <c r="CCD2" s="62"/>
      <c r="CCE2" s="62"/>
      <c r="CCF2" s="62"/>
      <c r="CCG2" s="62"/>
      <c r="CCH2" s="62"/>
      <c r="CCI2" s="62"/>
      <c r="CCJ2" s="62"/>
      <c r="CCK2" s="62"/>
      <c r="CCL2" s="62"/>
      <c r="CCM2" s="62"/>
      <c r="CCN2" s="62"/>
      <c r="CCO2" s="62"/>
      <c r="CCP2" s="62"/>
      <c r="CCQ2" s="62"/>
      <c r="CCR2" s="62"/>
      <c r="CCS2" s="62"/>
      <c r="CCT2" s="62"/>
      <c r="CCU2" s="62"/>
      <c r="CCV2" s="62"/>
      <c r="CCW2" s="62"/>
      <c r="CCX2" s="62"/>
      <c r="CCY2" s="62"/>
      <c r="CCZ2" s="62"/>
      <c r="CDA2" s="62"/>
      <c r="CDB2" s="62"/>
      <c r="CDC2" s="62"/>
      <c r="CDD2" s="62"/>
      <c r="CDE2" s="62"/>
      <c r="CDF2" s="62"/>
      <c r="CDG2" s="62"/>
      <c r="CDH2" s="62"/>
      <c r="CDI2" s="62"/>
      <c r="CDJ2" s="62"/>
      <c r="CDK2" s="62"/>
      <c r="CDL2" s="62"/>
      <c r="CDM2" s="62"/>
      <c r="CDN2" s="62"/>
      <c r="CDO2" s="62"/>
      <c r="CDP2" s="62"/>
      <c r="CDQ2" s="62"/>
      <c r="CDR2" s="62"/>
      <c r="CDS2" s="62"/>
      <c r="CDT2" s="62"/>
      <c r="CDU2" s="62"/>
      <c r="CDV2" s="62"/>
      <c r="CDW2" s="62"/>
      <c r="CDX2" s="62"/>
      <c r="CDY2" s="62"/>
      <c r="CDZ2" s="62"/>
      <c r="CEA2" s="62"/>
      <c r="CEB2" s="62"/>
      <c r="CEC2" s="62"/>
      <c r="CED2" s="62"/>
      <c r="CEE2" s="62"/>
      <c r="CEF2" s="62"/>
      <c r="CEG2" s="62"/>
      <c r="CEH2" s="62"/>
      <c r="CEI2" s="62"/>
      <c r="CEJ2" s="62"/>
      <c r="CEK2" s="62"/>
      <c r="CEL2" s="62"/>
      <c r="CEM2" s="62"/>
      <c r="CEN2" s="62"/>
      <c r="CEO2" s="62"/>
      <c r="CEP2" s="62"/>
      <c r="CEQ2" s="62"/>
      <c r="CER2" s="62"/>
      <c r="CES2" s="62"/>
      <c r="CET2" s="62"/>
      <c r="CEU2" s="62"/>
      <c r="CEV2" s="62"/>
      <c r="CEW2" s="62"/>
      <c r="CEX2" s="62"/>
      <c r="CEY2" s="62"/>
      <c r="CEZ2" s="62"/>
      <c r="CFA2" s="62"/>
      <c r="CFB2" s="62"/>
      <c r="CFC2" s="62"/>
      <c r="CFD2" s="62"/>
      <c r="CFE2" s="62"/>
      <c r="CFF2" s="62"/>
      <c r="CFG2" s="62"/>
      <c r="CFH2" s="62"/>
      <c r="CFI2" s="62"/>
      <c r="CFJ2" s="62"/>
      <c r="CFK2" s="62"/>
      <c r="CFL2" s="62"/>
      <c r="CFM2" s="62"/>
      <c r="CFN2" s="62"/>
      <c r="CFO2" s="62"/>
      <c r="CFP2" s="62"/>
      <c r="CFQ2" s="62"/>
      <c r="CFR2" s="62"/>
      <c r="CFS2" s="62"/>
      <c r="CFT2" s="62"/>
      <c r="CFU2" s="62"/>
      <c r="CFV2" s="62"/>
      <c r="CFW2" s="62"/>
      <c r="CFX2" s="62"/>
      <c r="CFY2" s="62"/>
      <c r="CFZ2" s="62"/>
      <c r="CGA2" s="62"/>
      <c r="CGB2" s="62"/>
      <c r="CGC2" s="62"/>
      <c r="CGD2" s="62"/>
      <c r="CGE2" s="62"/>
      <c r="CGF2" s="62"/>
      <c r="CGG2" s="62"/>
      <c r="CGH2" s="62"/>
      <c r="CGI2" s="62"/>
      <c r="CGJ2" s="62"/>
      <c r="CGK2" s="62"/>
      <c r="CGL2" s="62"/>
      <c r="CGM2" s="62"/>
      <c r="CGN2" s="62"/>
      <c r="CGO2" s="62"/>
      <c r="CGP2" s="62"/>
      <c r="CGQ2" s="62"/>
      <c r="CGR2" s="62"/>
      <c r="CGS2" s="62"/>
      <c r="CGT2" s="62"/>
      <c r="CGU2" s="62"/>
      <c r="CGV2" s="62"/>
      <c r="CGW2" s="62"/>
      <c r="CGX2" s="62"/>
      <c r="CGY2" s="62"/>
      <c r="CGZ2" s="62"/>
      <c r="CHA2" s="62"/>
      <c r="CHB2" s="62"/>
      <c r="CHC2" s="62"/>
      <c r="CHD2" s="62"/>
      <c r="CHE2" s="62"/>
      <c r="CHF2" s="62"/>
      <c r="CHG2" s="62"/>
      <c r="CHH2" s="62"/>
      <c r="CHI2" s="62"/>
      <c r="CHJ2" s="62"/>
      <c r="CHK2" s="62"/>
      <c r="CHL2" s="62"/>
      <c r="CHM2" s="62"/>
      <c r="CHN2" s="62"/>
      <c r="CHO2" s="62"/>
      <c r="CHP2" s="62"/>
      <c r="CHQ2" s="62"/>
      <c r="CHR2" s="62"/>
      <c r="CHS2" s="62"/>
      <c r="CHT2" s="62"/>
      <c r="CHU2" s="62"/>
      <c r="CHV2" s="62"/>
      <c r="CHW2" s="62"/>
      <c r="CHX2" s="62"/>
      <c r="CHY2" s="62"/>
      <c r="CHZ2" s="62"/>
      <c r="CIA2" s="62"/>
      <c r="CIB2" s="62"/>
      <c r="CIC2" s="62"/>
      <c r="CID2" s="62"/>
      <c r="CIE2" s="62"/>
      <c r="CIF2" s="62"/>
      <c r="CIG2" s="62"/>
      <c r="CIH2" s="62"/>
      <c r="CII2" s="62"/>
      <c r="CIJ2" s="62"/>
      <c r="CIK2" s="62"/>
      <c r="CIL2" s="62"/>
      <c r="CIM2" s="62"/>
      <c r="CIN2" s="62"/>
      <c r="CIO2" s="62"/>
      <c r="CIP2" s="62"/>
      <c r="CIQ2" s="62"/>
      <c r="CIR2" s="62"/>
      <c r="CIS2" s="62"/>
      <c r="CIT2" s="62"/>
      <c r="CIU2" s="62"/>
      <c r="CIV2" s="62"/>
      <c r="CIW2" s="62"/>
      <c r="CIX2" s="62"/>
      <c r="CIY2" s="62"/>
      <c r="CIZ2" s="62"/>
      <c r="CJA2" s="62"/>
      <c r="CJB2" s="62"/>
      <c r="CJC2" s="62"/>
      <c r="CJD2" s="62"/>
      <c r="CJE2" s="62"/>
      <c r="CJF2" s="62"/>
      <c r="CJG2" s="62"/>
      <c r="CJH2" s="62"/>
      <c r="CJI2" s="62"/>
      <c r="CJJ2" s="62"/>
      <c r="CJK2" s="62"/>
      <c r="CJL2" s="62"/>
      <c r="CJM2" s="62"/>
      <c r="CJN2" s="62"/>
      <c r="CJO2" s="62"/>
      <c r="CJP2" s="62"/>
      <c r="CJQ2" s="62"/>
      <c r="CJR2" s="62"/>
      <c r="CJS2" s="62"/>
      <c r="CJT2" s="62"/>
      <c r="CJU2" s="62"/>
      <c r="CJV2" s="62"/>
      <c r="CJW2" s="62"/>
      <c r="CJX2" s="62"/>
      <c r="CJY2" s="62"/>
      <c r="CJZ2" s="62"/>
      <c r="CKA2" s="62"/>
      <c r="CKB2" s="62"/>
      <c r="CKC2" s="62"/>
      <c r="CKD2" s="62"/>
      <c r="CKE2" s="62"/>
      <c r="CKF2" s="62"/>
      <c r="CKG2" s="62"/>
      <c r="CKH2" s="62"/>
      <c r="CKI2" s="62"/>
      <c r="CKJ2" s="62"/>
      <c r="CKK2" s="62"/>
      <c r="CKL2" s="62"/>
      <c r="CKM2" s="62"/>
      <c r="CKN2" s="62"/>
      <c r="CKO2" s="62"/>
      <c r="CKP2" s="62"/>
      <c r="CKQ2" s="62"/>
      <c r="CKR2" s="62"/>
      <c r="CKS2" s="62"/>
      <c r="CKT2" s="62"/>
      <c r="CKU2" s="62"/>
      <c r="CKV2" s="62"/>
      <c r="CKW2" s="62"/>
      <c r="CKX2" s="62"/>
      <c r="CKY2" s="62"/>
      <c r="CKZ2" s="62"/>
      <c r="CLA2" s="62"/>
      <c r="CLB2" s="62"/>
      <c r="CLC2" s="62"/>
      <c r="CLD2" s="62"/>
      <c r="CLE2" s="62"/>
      <c r="CLF2" s="62"/>
      <c r="CLG2" s="62"/>
      <c r="CLH2" s="62"/>
      <c r="CLI2" s="62"/>
      <c r="CLJ2" s="62"/>
      <c r="CLK2" s="62"/>
      <c r="CLL2" s="62"/>
      <c r="CLM2" s="62"/>
      <c r="CLN2" s="62"/>
      <c r="CLO2" s="62"/>
      <c r="CLP2" s="62"/>
      <c r="CLQ2" s="62"/>
      <c r="CLR2" s="62"/>
      <c r="CLS2" s="62"/>
      <c r="CLT2" s="62"/>
      <c r="CLU2" s="62"/>
      <c r="CLV2" s="62"/>
      <c r="CLW2" s="62"/>
      <c r="CLX2" s="62"/>
      <c r="CLY2" s="62"/>
      <c r="CLZ2" s="62"/>
      <c r="CMA2" s="62"/>
      <c r="CMB2" s="62"/>
      <c r="CMC2" s="62"/>
      <c r="CMD2" s="62"/>
      <c r="CME2" s="62"/>
      <c r="CMF2" s="62"/>
      <c r="CMG2" s="62"/>
      <c r="CMH2" s="62"/>
      <c r="CMI2" s="62"/>
      <c r="CMJ2" s="62"/>
      <c r="CMK2" s="62"/>
      <c r="CML2" s="62"/>
      <c r="CMM2" s="62"/>
      <c r="CMN2" s="62"/>
      <c r="CMO2" s="62"/>
      <c r="CMP2" s="62"/>
      <c r="CMQ2" s="62"/>
      <c r="CMR2" s="62"/>
      <c r="CMS2" s="62"/>
      <c r="CMT2" s="62"/>
      <c r="CMU2" s="62"/>
      <c r="CMV2" s="62"/>
      <c r="CMW2" s="62"/>
      <c r="CMX2" s="62"/>
      <c r="CMY2" s="62"/>
      <c r="CMZ2" s="62"/>
      <c r="CNA2" s="62"/>
      <c r="CNB2" s="62"/>
      <c r="CNC2" s="62"/>
      <c r="CND2" s="62"/>
      <c r="CNE2" s="62"/>
      <c r="CNF2" s="62"/>
      <c r="CNG2" s="62"/>
      <c r="CNH2" s="62"/>
      <c r="CNI2" s="62"/>
      <c r="CNJ2" s="62"/>
      <c r="CNK2" s="62"/>
      <c r="CNL2" s="62"/>
      <c r="CNM2" s="62"/>
      <c r="CNN2" s="62"/>
      <c r="CNO2" s="62"/>
      <c r="CNP2" s="62"/>
      <c r="CNQ2" s="62"/>
      <c r="CNR2" s="62"/>
      <c r="CNS2" s="62"/>
      <c r="CNT2" s="62"/>
      <c r="CNU2" s="62"/>
      <c r="CNV2" s="62"/>
      <c r="CNW2" s="62"/>
      <c r="CNX2" s="62"/>
      <c r="CNY2" s="62"/>
      <c r="CNZ2" s="62"/>
      <c r="COA2" s="62"/>
      <c r="COB2" s="62"/>
      <c r="COC2" s="62"/>
      <c r="COD2" s="62"/>
      <c r="COE2" s="62"/>
      <c r="COF2" s="62"/>
      <c r="COG2" s="62"/>
      <c r="COH2" s="62"/>
      <c r="COI2" s="62"/>
      <c r="COJ2" s="62"/>
      <c r="COK2" s="62"/>
      <c r="COL2" s="62"/>
      <c r="COM2" s="62"/>
      <c r="CON2" s="62"/>
      <c r="COO2" s="62"/>
      <c r="COP2" s="62"/>
      <c r="COQ2" s="62"/>
      <c r="COR2" s="62"/>
      <c r="COS2" s="62"/>
      <c r="COT2" s="62"/>
      <c r="COU2" s="62"/>
      <c r="COV2" s="62"/>
      <c r="COW2" s="62"/>
      <c r="COX2" s="62"/>
      <c r="COY2" s="62"/>
      <c r="COZ2" s="62"/>
      <c r="CPA2" s="62"/>
      <c r="CPB2" s="62"/>
      <c r="CPC2" s="62"/>
      <c r="CPD2" s="62"/>
      <c r="CPE2" s="62"/>
      <c r="CPF2" s="62"/>
      <c r="CPG2" s="62"/>
      <c r="CPH2" s="62"/>
      <c r="CPI2" s="62"/>
      <c r="CPJ2" s="62"/>
      <c r="CPK2" s="62"/>
      <c r="CPL2" s="62"/>
      <c r="CPM2" s="62"/>
      <c r="CPN2" s="62"/>
      <c r="CPO2" s="62"/>
      <c r="CPP2" s="62"/>
      <c r="CPQ2" s="62"/>
      <c r="CPR2" s="62"/>
      <c r="CPS2" s="62"/>
      <c r="CPT2" s="62"/>
      <c r="CPU2" s="62"/>
      <c r="CPV2" s="62"/>
      <c r="CPW2" s="62"/>
      <c r="CPX2" s="62"/>
      <c r="CPY2" s="62"/>
      <c r="CPZ2" s="62"/>
      <c r="CQA2" s="62"/>
      <c r="CQB2" s="62"/>
      <c r="CQC2" s="62"/>
      <c r="CQD2" s="62"/>
      <c r="CQE2" s="62"/>
      <c r="CQF2" s="62"/>
      <c r="CQG2" s="62"/>
      <c r="CQH2" s="62"/>
      <c r="CQI2" s="62"/>
      <c r="CQJ2" s="62"/>
      <c r="CQK2" s="62"/>
      <c r="CQL2" s="62"/>
      <c r="CQM2" s="62"/>
      <c r="CQN2" s="62"/>
      <c r="CQO2" s="62"/>
      <c r="CQP2" s="62"/>
      <c r="CQQ2" s="62"/>
      <c r="CQR2" s="62"/>
      <c r="CQS2" s="62"/>
      <c r="CQT2" s="62"/>
      <c r="CQU2" s="62"/>
      <c r="CQV2" s="62"/>
      <c r="CQW2" s="62"/>
      <c r="CQX2" s="62"/>
      <c r="CQY2" s="62"/>
      <c r="CQZ2" s="62"/>
      <c r="CRA2" s="62"/>
      <c r="CRB2" s="62"/>
      <c r="CRC2" s="62"/>
      <c r="CRD2" s="62"/>
      <c r="CRE2" s="62"/>
      <c r="CRF2" s="62"/>
      <c r="CRG2" s="62"/>
      <c r="CRH2" s="62"/>
      <c r="CRI2" s="62"/>
      <c r="CRJ2" s="62"/>
      <c r="CRK2" s="62"/>
      <c r="CRL2" s="62"/>
      <c r="CRM2" s="62"/>
      <c r="CRN2" s="62"/>
      <c r="CRO2" s="62"/>
      <c r="CRP2" s="62"/>
      <c r="CRQ2" s="62"/>
      <c r="CRR2" s="62"/>
      <c r="CRS2" s="62"/>
      <c r="CRT2" s="62"/>
      <c r="CRU2" s="62"/>
      <c r="CRV2" s="62"/>
      <c r="CRW2" s="62"/>
      <c r="CRX2" s="62"/>
      <c r="CRY2" s="62"/>
      <c r="CRZ2" s="62"/>
      <c r="CSA2" s="62"/>
      <c r="CSB2" s="62"/>
      <c r="CSC2" s="62"/>
      <c r="CSD2" s="62"/>
      <c r="CSE2" s="62"/>
      <c r="CSF2" s="62"/>
      <c r="CSG2" s="62"/>
      <c r="CSH2" s="62"/>
      <c r="CSI2" s="62"/>
      <c r="CSJ2" s="62"/>
      <c r="CSK2" s="62"/>
      <c r="CSL2" s="62"/>
      <c r="CSM2" s="62"/>
      <c r="CSN2" s="62"/>
      <c r="CSO2" s="62"/>
      <c r="CSP2" s="62"/>
      <c r="CSQ2" s="62"/>
      <c r="CSR2" s="62"/>
      <c r="CSS2" s="62"/>
      <c r="CST2" s="62"/>
      <c r="CSU2" s="62"/>
      <c r="CSV2" s="62"/>
      <c r="CSW2" s="62"/>
      <c r="CSX2" s="62"/>
      <c r="CSY2" s="62"/>
      <c r="CSZ2" s="62"/>
      <c r="CTA2" s="62"/>
      <c r="CTB2" s="62"/>
      <c r="CTC2" s="62"/>
      <c r="CTD2" s="62"/>
      <c r="CTE2" s="62"/>
      <c r="CTF2" s="62"/>
      <c r="CTG2" s="62"/>
      <c r="CTH2" s="62"/>
      <c r="CTI2" s="62"/>
      <c r="CTJ2" s="62"/>
      <c r="CTK2" s="62"/>
      <c r="CTL2" s="62"/>
      <c r="CTM2" s="62"/>
      <c r="CTN2" s="62"/>
      <c r="CTO2" s="62"/>
      <c r="CTP2" s="62"/>
      <c r="CTQ2" s="62"/>
      <c r="CTR2" s="62"/>
      <c r="CTS2" s="62"/>
      <c r="CTT2" s="62"/>
      <c r="CTU2" s="62"/>
      <c r="CTV2" s="62"/>
      <c r="CTW2" s="62"/>
      <c r="CTX2" s="62"/>
      <c r="CTY2" s="62"/>
      <c r="CTZ2" s="62"/>
      <c r="CUA2" s="62"/>
      <c r="CUB2" s="62"/>
      <c r="CUC2" s="62"/>
      <c r="CUD2" s="62"/>
      <c r="CUE2" s="62"/>
      <c r="CUF2" s="62"/>
      <c r="CUG2" s="62"/>
      <c r="CUH2" s="62"/>
      <c r="CUI2" s="62"/>
      <c r="CUJ2" s="62"/>
      <c r="CUK2" s="62"/>
      <c r="CUL2" s="62"/>
      <c r="CUM2" s="62"/>
      <c r="CUN2" s="62"/>
      <c r="CUO2" s="62"/>
      <c r="CUP2" s="62"/>
      <c r="CUQ2" s="62"/>
      <c r="CUR2" s="62"/>
      <c r="CUS2" s="62"/>
      <c r="CUT2" s="62"/>
      <c r="CUU2" s="62"/>
      <c r="CUV2" s="62"/>
      <c r="CUW2" s="62"/>
      <c r="CUX2" s="62"/>
      <c r="CUY2" s="62"/>
      <c r="CUZ2" s="62"/>
      <c r="CVA2" s="62"/>
      <c r="CVB2" s="62"/>
      <c r="CVC2" s="62"/>
      <c r="CVD2" s="62"/>
      <c r="CVE2" s="62"/>
      <c r="CVF2" s="62"/>
      <c r="CVG2" s="62"/>
      <c r="CVH2" s="62"/>
      <c r="CVI2" s="62"/>
      <c r="CVJ2" s="62"/>
      <c r="CVK2" s="62"/>
      <c r="CVL2" s="62"/>
      <c r="CVM2" s="62"/>
      <c r="CVN2" s="62"/>
      <c r="CVO2" s="62"/>
      <c r="CVP2" s="62"/>
      <c r="CVQ2" s="62"/>
      <c r="CVR2" s="62"/>
      <c r="CVS2" s="62"/>
      <c r="CVT2" s="62"/>
      <c r="CVU2" s="62"/>
      <c r="CVV2" s="62"/>
      <c r="CVW2" s="62"/>
      <c r="CVX2" s="62"/>
      <c r="CVY2" s="62"/>
      <c r="CVZ2" s="62"/>
      <c r="CWA2" s="62"/>
      <c r="CWB2" s="62"/>
      <c r="CWC2" s="62"/>
      <c r="CWD2" s="62"/>
      <c r="CWE2" s="62"/>
      <c r="CWF2" s="62"/>
      <c r="CWG2" s="62"/>
      <c r="CWH2" s="62"/>
      <c r="CWI2" s="62"/>
      <c r="CWJ2" s="62"/>
      <c r="CWK2" s="62"/>
      <c r="CWL2" s="62"/>
      <c r="CWM2" s="62"/>
      <c r="CWN2" s="62"/>
      <c r="CWO2" s="62"/>
      <c r="CWP2" s="62"/>
      <c r="CWQ2" s="62"/>
      <c r="CWR2" s="62"/>
      <c r="CWS2" s="62"/>
      <c r="CWT2" s="62"/>
      <c r="CWU2" s="62"/>
      <c r="CWV2" s="62"/>
      <c r="CWW2" s="62"/>
      <c r="CWX2" s="62"/>
      <c r="CWY2" s="62"/>
      <c r="CWZ2" s="62"/>
      <c r="CXA2" s="62"/>
      <c r="CXB2" s="62"/>
      <c r="CXC2" s="62"/>
      <c r="CXD2" s="62"/>
      <c r="CXE2" s="62"/>
      <c r="CXF2" s="62"/>
      <c r="CXG2" s="62"/>
      <c r="CXH2" s="62"/>
      <c r="CXI2" s="62"/>
      <c r="CXJ2" s="62"/>
      <c r="CXK2" s="62"/>
      <c r="CXL2" s="62"/>
      <c r="CXM2" s="62"/>
      <c r="CXN2" s="62"/>
      <c r="CXO2" s="62"/>
      <c r="CXP2" s="62"/>
      <c r="CXQ2" s="62"/>
      <c r="CXR2" s="62"/>
      <c r="CXS2" s="62"/>
      <c r="CXT2" s="62"/>
      <c r="CXU2" s="62"/>
      <c r="CXV2" s="62"/>
      <c r="CXW2" s="62"/>
      <c r="CXX2" s="62"/>
      <c r="CXY2" s="62"/>
      <c r="CXZ2" s="62"/>
      <c r="CYA2" s="62"/>
      <c r="CYB2" s="62"/>
      <c r="CYC2" s="62"/>
      <c r="CYD2" s="62"/>
      <c r="CYE2" s="62"/>
      <c r="CYF2" s="62"/>
      <c r="CYG2" s="62"/>
      <c r="CYH2" s="62"/>
      <c r="CYI2" s="62"/>
      <c r="CYJ2" s="62"/>
      <c r="CYK2" s="62"/>
      <c r="CYL2" s="62"/>
      <c r="CYM2" s="62"/>
      <c r="CYN2" s="62"/>
      <c r="CYO2" s="62"/>
      <c r="CYP2" s="62"/>
      <c r="CYQ2" s="62"/>
      <c r="CYR2" s="62"/>
      <c r="CYS2" s="62"/>
      <c r="CYT2" s="62"/>
      <c r="CYU2" s="62"/>
      <c r="CYV2" s="62"/>
      <c r="CYW2" s="62"/>
      <c r="CYX2" s="62"/>
      <c r="CYY2" s="62"/>
      <c r="CYZ2" s="62"/>
      <c r="CZA2" s="62"/>
      <c r="CZB2" s="62"/>
      <c r="CZC2" s="62"/>
      <c r="CZD2" s="62"/>
      <c r="CZE2" s="62"/>
      <c r="CZF2" s="62"/>
      <c r="CZG2" s="62"/>
      <c r="CZH2" s="62"/>
      <c r="CZI2" s="62"/>
      <c r="CZJ2" s="62"/>
      <c r="CZK2" s="62"/>
      <c r="CZL2" s="62"/>
      <c r="CZM2" s="62"/>
      <c r="CZN2" s="62"/>
      <c r="CZO2" s="62"/>
      <c r="CZP2" s="62"/>
      <c r="CZQ2" s="62"/>
      <c r="CZR2" s="62"/>
      <c r="CZS2" s="62"/>
      <c r="CZT2" s="62"/>
      <c r="CZU2" s="62"/>
      <c r="CZV2" s="62"/>
      <c r="CZW2" s="62"/>
      <c r="CZX2" s="62"/>
      <c r="CZY2" s="62"/>
      <c r="CZZ2" s="62"/>
      <c r="DAA2" s="62"/>
      <c r="DAB2" s="62"/>
      <c r="DAC2" s="62"/>
      <c r="DAD2" s="62"/>
      <c r="DAE2" s="62"/>
      <c r="DAF2" s="62"/>
      <c r="DAG2" s="62"/>
      <c r="DAH2" s="62"/>
      <c r="DAI2" s="62"/>
      <c r="DAJ2" s="62"/>
      <c r="DAK2" s="62"/>
      <c r="DAL2" s="62"/>
      <c r="DAM2" s="62"/>
      <c r="DAN2" s="62"/>
      <c r="DAO2" s="62"/>
      <c r="DAP2" s="62"/>
      <c r="DAQ2" s="62"/>
      <c r="DAR2" s="62"/>
      <c r="DAS2" s="62"/>
      <c r="DAT2" s="62"/>
      <c r="DAU2" s="62"/>
      <c r="DAV2" s="62"/>
      <c r="DAW2" s="62"/>
      <c r="DAX2" s="62"/>
      <c r="DAY2" s="62"/>
      <c r="DAZ2" s="62"/>
      <c r="DBA2" s="62"/>
      <c r="DBB2" s="62"/>
      <c r="DBC2" s="62"/>
      <c r="DBD2" s="62"/>
      <c r="DBE2" s="62"/>
      <c r="DBF2" s="62"/>
      <c r="DBG2" s="62"/>
      <c r="DBH2" s="62"/>
      <c r="DBI2" s="62"/>
      <c r="DBJ2" s="62"/>
      <c r="DBK2" s="62"/>
      <c r="DBL2" s="62"/>
      <c r="DBM2" s="62"/>
      <c r="DBN2" s="62"/>
      <c r="DBO2" s="62"/>
      <c r="DBP2" s="62"/>
      <c r="DBQ2" s="62"/>
      <c r="DBR2" s="62"/>
      <c r="DBS2" s="62"/>
      <c r="DBT2" s="62"/>
      <c r="DBU2" s="62"/>
      <c r="DBV2" s="62"/>
      <c r="DBW2" s="62"/>
      <c r="DBX2" s="62"/>
      <c r="DBY2" s="62"/>
      <c r="DBZ2" s="62"/>
      <c r="DCA2" s="62"/>
      <c r="DCB2" s="62"/>
      <c r="DCC2" s="62"/>
      <c r="DCD2" s="62"/>
      <c r="DCE2" s="62"/>
      <c r="DCF2" s="62"/>
      <c r="DCG2" s="62"/>
      <c r="DCH2" s="62"/>
      <c r="DCI2" s="62"/>
      <c r="DCJ2" s="62"/>
      <c r="DCK2" s="62"/>
      <c r="DCL2" s="62"/>
      <c r="DCM2" s="62"/>
      <c r="DCN2" s="62"/>
      <c r="DCO2" s="62"/>
      <c r="DCP2" s="62"/>
      <c r="DCQ2" s="62"/>
      <c r="DCR2" s="62"/>
      <c r="DCS2" s="62"/>
      <c r="DCT2" s="62"/>
      <c r="DCU2" s="62"/>
      <c r="DCV2" s="62"/>
      <c r="DCW2" s="62"/>
      <c r="DCX2" s="62"/>
      <c r="DCY2" s="62"/>
      <c r="DCZ2" s="62"/>
      <c r="DDA2" s="62"/>
      <c r="DDB2" s="62"/>
      <c r="DDC2" s="62"/>
      <c r="DDD2" s="62"/>
      <c r="DDE2" s="62"/>
      <c r="DDF2" s="62"/>
      <c r="DDG2" s="62"/>
      <c r="DDH2" s="62"/>
      <c r="DDI2" s="62"/>
      <c r="DDJ2" s="62"/>
      <c r="DDK2" s="62"/>
      <c r="DDL2" s="62"/>
      <c r="DDM2" s="62"/>
      <c r="DDN2" s="62"/>
      <c r="DDO2" s="62"/>
      <c r="DDP2" s="62"/>
      <c r="DDQ2" s="62"/>
      <c r="DDR2" s="62"/>
      <c r="DDS2" s="62"/>
      <c r="DDT2" s="62"/>
      <c r="DDU2" s="62"/>
      <c r="DDV2" s="62"/>
      <c r="DDW2" s="62"/>
      <c r="DDX2" s="62"/>
      <c r="DDY2" s="62"/>
      <c r="DDZ2" s="62"/>
      <c r="DEA2" s="62"/>
      <c r="DEB2" s="62"/>
      <c r="DEC2" s="62"/>
      <c r="DED2" s="62"/>
      <c r="DEE2" s="62"/>
      <c r="DEF2" s="62"/>
      <c r="DEG2" s="62"/>
      <c r="DEH2" s="62"/>
      <c r="DEI2" s="62"/>
      <c r="DEJ2" s="62"/>
      <c r="DEK2" s="62"/>
      <c r="DEL2" s="62"/>
      <c r="DEM2" s="62"/>
      <c r="DEN2" s="62"/>
      <c r="DEO2" s="62"/>
      <c r="DEP2" s="62"/>
      <c r="DEQ2" s="62"/>
      <c r="DER2" s="62"/>
      <c r="DES2" s="62"/>
      <c r="DET2" s="62"/>
      <c r="DEU2" s="62"/>
      <c r="DEV2" s="62"/>
      <c r="DEW2" s="62"/>
      <c r="DEX2" s="62"/>
      <c r="DEY2" s="62"/>
      <c r="DEZ2" s="62"/>
      <c r="DFA2" s="62"/>
      <c r="DFB2" s="62"/>
      <c r="DFC2" s="62"/>
      <c r="DFD2" s="62"/>
      <c r="DFE2" s="62"/>
      <c r="DFF2" s="62"/>
      <c r="DFG2" s="62"/>
      <c r="DFH2" s="62"/>
      <c r="DFI2" s="62"/>
      <c r="DFJ2" s="62"/>
      <c r="DFK2" s="62"/>
      <c r="DFL2" s="62"/>
      <c r="DFM2" s="62"/>
      <c r="DFN2" s="62"/>
      <c r="DFO2" s="62"/>
      <c r="DFP2" s="62"/>
      <c r="DFQ2" s="62"/>
      <c r="DFR2" s="62"/>
      <c r="DFS2" s="62"/>
      <c r="DFT2" s="62"/>
      <c r="DFU2" s="62"/>
      <c r="DFV2" s="62"/>
      <c r="DFW2" s="62"/>
      <c r="DFX2" s="62"/>
      <c r="DFY2" s="62"/>
      <c r="DFZ2" s="62"/>
      <c r="DGA2" s="62"/>
      <c r="DGB2" s="62"/>
      <c r="DGC2" s="62"/>
      <c r="DGD2" s="62"/>
      <c r="DGE2" s="62"/>
      <c r="DGF2" s="62"/>
      <c r="DGG2" s="62"/>
      <c r="DGH2" s="62"/>
      <c r="DGI2" s="62"/>
      <c r="DGJ2" s="62"/>
      <c r="DGK2" s="62"/>
      <c r="DGL2" s="62"/>
      <c r="DGM2" s="62"/>
      <c r="DGN2" s="62"/>
      <c r="DGO2" s="62"/>
      <c r="DGP2" s="62"/>
      <c r="DGQ2" s="62"/>
      <c r="DGR2" s="62"/>
      <c r="DGS2" s="62"/>
      <c r="DGT2" s="62"/>
      <c r="DGU2" s="62"/>
      <c r="DGV2" s="62"/>
      <c r="DGW2" s="62"/>
      <c r="DGX2" s="62"/>
      <c r="DGY2" s="62"/>
      <c r="DGZ2" s="62"/>
      <c r="DHA2" s="62"/>
      <c r="DHB2" s="62"/>
      <c r="DHC2" s="62"/>
      <c r="DHD2" s="62"/>
      <c r="DHE2" s="62"/>
      <c r="DHF2" s="62"/>
      <c r="DHG2" s="62"/>
      <c r="DHH2" s="62"/>
      <c r="DHI2" s="62"/>
      <c r="DHJ2" s="62"/>
      <c r="DHK2" s="62"/>
      <c r="DHL2" s="62"/>
      <c r="DHM2" s="62"/>
      <c r="DHN2" s="62"/>
      <c r="DHO2" s="62"/>
      <c r="DHP2" s="62"/>
      <c r="DHQ2" s="62"/>
      <c r="DHR2" s="62"/>
      <c r="DHS2" s="62"/>
      <c r="DHT2" s="62"/>
      <c r="DHU2" s="62"/>
      <c r="DHV2" s="62"/>
      <c r="DHW2" s="62"/>
      <c r="DHX2" s="62"/>
      <c r="DHY2" s="62"/>
      <c r="DHZ2" s="62"/>
      <c r="DIA2" s="62"/>
      <c r="DIB2" s="62"/>
      <c r="DIC2" s="62"/>
      <c r="DID2" s="62"/>
      <c r="DIE2" s="62"/>
      <c r="DIF2" s="62"/>
      <c r="DIG2" s="62"/>
      <c r="DIH2" s="62"/>
      <c r="DII2" s="62"/>
      <c r="DIJ2" s="62"/>
      <c r="DIK2" s="62"/>
      <c r="DIL2" s="62"/>
      <c r="DIM2" s="62"/>
      <c r="DIN2" s="62"/>
      <c r="DIO2" s="62"/>
      <c r="DIP2" s="62"/>
      <c r="DIQ2" s="62"/>
      <c r="DIR2" s="62"/>
      <c r="DIS2" s="62"/>
      <c r="DIT2" s="62"/>
      <c r="DIU2" s="62"/>
      <c r="DIV2" s="62"/>
      <c r="DIW2" s="62"/>
      <c r="DIX2" s="62"/>
      <c r="DIY2" s="62"/>
      <c r="DIZ2" s="62"/>
      <c r="DJA2" s="62"/>
      <c r="DJB2" s="62"/>
      <c r="DJC2" s="62"/>
      <c r="DJD2" s="62"/>
      <c r="DJE2" s="62"/>
      <c r="DJF2" s="62"/>
      <c r="DJG2" s="62"/>
      <c r="DJH2" s="62"/>
      <c r="DJI2" s="62"/>
      <c r="DJJ2" s="62"/>
      <c r="DJK2" s="62"/>
      <c r="DJL2" s="62"/>
      <c r="DJM2" s="62"/>
      <c r="DJN2" s="62"/>
      <c r="DJO2" s="62"/>
      <c r="DJP2" s="62"/>
      <c r="DJQ2" s="62"/>
      <c r="DJR2" s="62"/>
      <c r="DJS2" s="62"/>
      <c r="DJT2" s="62"/>
      <c r="DJU2" s="62"/>
      <c r="DJV2" s="62"/>
      <c r="DJW2" s="62"/>
      <c r="DJX2" s="62"/>
      <c r="DJY2" s="62"/>
      <c r="DJZ2" s="62"/>
      <c r="DKA2" s="62"/>
      <c r="DKB2" s="62"/>
      <c r="DKC2" s="62"/>
      <c r="DKD2" s="62"/>
      <c r="DKE2" s="62"/>
      <c r="DKF2" s="62"/>
      <c r="DKG2" s="62"/>
      <c r="DKH2" s="62"/>
      <c r="DKI2" s="62"/>
      <c r="DKJ2" s="62"/>
      <c r="DKK2" s="62"/>
      <c r="DKL2" s="62"/>
      <c r="DKM2" s="62"/>
      <c r="DKN2" s="62"/>
      <c r="DKO2" s="62"/>
      <c r="DKP2" s="62"/>
      <c r="DKQ2" s="62"/>
      <c r="DKR2" s="62"/>
      <c r="DKS2" s="62"/>
      <c r="DKT2" s="62"/>
      <c r="DKU2" s="62"/>
      <c r="DKV2" s="62"/>
      <c r="DKW2" s="62"/>
      <c r="DKX2" s="62"/>
      <c r="DKY2" s="62"/>
      <c r="DKZ2" s="62"/>
      <c r="DLA2" s="62"/>
      <c r="DLB2" s="62"/>
      <c r="DLC2" s="62"/>
      <c r="DLD2" s="62"/>
      <c r="DLE2" s="62"/>
      <c r="DLF2" s="62"/>
      <c r="DLG2" s="62"/>
      <c r="DLH2" s="62"/>
      <c r="DLI2" s="62"/>
      <c r="DLJ2" s="62"/>
      <c r="DLK2" s="62"/>
      <c r="DLL2" s="62"/>
      <c r="DLM2" s="62"/>
      <c r="DLN2" s="62"/>
      <c r="DLO2" s="62"/>
      <c r="DLP2" s="62"/>
      <c r="DLQ2" s="62"/>
      <c r="DLR2" s="62"/>
      <c r="DLS2" s="62"/>
      <c r="DLT2" s="62"/>
      <c r="DLU2" s="62"/>
      <c r="DLV2" s="62"/>
      <c r="DLW2" s="62"/>
      <c r="DLX2" s="62"/>
      <c r="DLY2" s="62"/>
      <c r="DLZ2" s="62"/>
      <c r="DMA2" s="62"/>
      <c r="DMB2" s="62"/>
      <c r="DMC2" s="62"/>
      <c r="DMD2" s="62"/>
      <c r="DME2" s="62"/>
      <c r="DMF2" s="62"/>
      <c r="DMG2" s="62"/>
      <c r="DMH2" s="62"/>
      <c r="DMI2" s="62"/>
      <c r="DMJ2" s="62"/>
      <c r="DMK2" s="62"/>
      <c r="DML2" s="62"/>
      <c r="DMM2" s="62"/>
      <c r="DMN2" s="62"/>
      <c r="DMO2" s="62"/>
      <c r="DMP2" s="62"/>
      <c r="DMQ2" s="62"/>
      <c r="DMR2" s="62"/>
      <c r="DMS2" s="62"/>
      <c r="DMT2" s="62"/>
      <c r="DMU2" s="62"/>
      <c r="DMV2" s="62"/>
      <c r="DMW2" s="62"/>
      <c r="DMX2" s="62"/>
      <c r="DMY2" s="62"/>
      <c r="DMZ2" s="62"/>
      <c r="DNA2" s="62"/>
      <c r="DNB2" s="62"/>
      <c r="DNC2" s="62"/>
      <c r="DND2" s="62"/>
      <c r="DNE2" s="62"/>
      <c r="DNF2" s="62"/>
      <c r="DNG2" s="62"/>
      <c r="DNH2" s="62"/>
      <c r="DNI2" s="62"/>
      <c r="DNJ2" s="62"/>
      <c r="DNK2" s="62"/>
      <c r="DNL2" s="62"/>
      <c r="DNM2" s="62"/>
      <c r="DNN2" s="62"/>
      <c r="DNO2" s="62"/>
      <c r="DNP2" s="62"/>
      <c r="DNQ2" s="62"/>
      <c r="DNR2" s="62"/>
      <c r="DNS2" s="62"/>
      <c r="DNT2" s="62"/>
      <c r="DNU2" s="62"/>
      <c r="DNV2" s="62"/>
      <c r="DNW2" s="62"/>
      <c r="DNX2" s="62"/>
      <c r="DNY2" s="62"/>
      <c r="DNZ2" s="62"/>
      <c r="DOA2" s="62"/>
      <c r="DOB2" s="62"/>
      <c r="DOC2" s="62"/>
      <c r="DOD2" s="62"/>
      <c r="DOE2" s="62"/>
      <c r="DOF2" s="62"/>
      <c r="DOG2" s="62"/>
      <c r="DOH2" s="62"/>
      <c r="DOI2" s="62"/>
      <c r="DOJ2" s="62"/>
      <c r="DOK2" s="62"/>
      <c r="DOL2" s="62"/>
      <c r="DOM2" s="62"/>
      <c r="DON2" s="62"/>
      <c r="DOO2" s="62"/>
      <c r="DOP2" s="62"/>
      <c r="DOQ2" s="62"/>
      <c r="DOR2" s="62"/>
      <c r="DOS2" s="62"/>
      <c r="DOT2" s="62"/>
      <c r="DOU2" s="62"/>
      <c r="DOV2" s="62"/>
      <c r="DOW2" s="62"/>
      <c r="DOX2" s="62"/>
      <c r="DOY2" s="62"/>
      <c r="DOZ2" s="62"/>
      <c r="DPA2" s="62"/>
      <c r="DPB2" s="62"/>
      <c r="DPC2" s="62"/>
      <c r="DPD2" s="62"/>
      <c r="DPE2" s="62"/>
      <c r="DPF2" s="62"/>
      <c r="DPG2" s="62"/>
      <c r="DPH2" s="62"/>
      <c r="DPI2" s="62"/>
      <c r="DPJ2" s="62"/>
      <c r="DPK2" s="62"/>
      <c r="DPL2" s="62"/>
      <c r="DPM2" s="62"/>
      <c r="DPN2" s="62"/>
      <c r="DPO2" s="62"/>
      <c r="DPP2" s="62"/>
      <c r="DPQ2" s="62"/>
      <c r="DPR2" s="62"/>
      <c r="DPS2" s="62"/>
      <c r="DPT2" s="62"/>
      <c r="DPU2" s="62"/>
      <c r="DPV2" s="62"/>
      <c r="DPW2" s="62"/>
      <c r="DPX2" s="62"/>
      <c r="DPY2" s="62"/>
      <c r="DPZ2" s="62"/>
      <c r="DQA2" s="62"/>
      <c r="DQB2" s="62"/>
      <c r="DQC2" s="62"/>
      <c r="DQD2" s="62"/>
      <c r="DQE2" s="62"/>
      <c r="DQF2" s="62"/>
      <c r="DQG2" s="62"/>
      <c r="DQH2" s="62"/>
      <c r="DQI2" s="62"/>
      <c r="DQJ2" s="62"/>
      <c r="DQK2" s="62"/>
      <c r="DQL2" s="62"/>
      <c r="DQM2" s="62"/>
      <c r="DQN2" s="62"/>
      <c r="DQO2" s="62"/>
      <c r="DQP2" s="62"/>
      <c r="DQQ2" s="62"/>
      <c r="DQR2" s="62"/>
      <c r="DQS2" s="62"/>
      <c r="DQT2" s="62"/>
      <c r="DQU2" s="62"/>
      <c r="DQV2" s="62"/>
      <c r="DQW2" s="62"/>
      <c r="DQX2" s="62"/>
      <c r="DQY2" s="62"/>
      <c r="DQZ2" s="62"/>
      <c r="DRA2" s="62"/>
      <c r="DRB2" s="62"/>
      <c r="DRC2" s="62"/>
      <c r="DRD2" s="62"/>
      <c r="DRE2" s="62"/>
      <c r="DRF2" s="62"/>
      <c r="DRG2" s="62"/>
      <c r="DRH2" s="62"/>
      <c r="DRI2" s="62"/>
      <c r="DRJ2" s="62"/>
      <c r="DRK2" s="62"/>
      <c r="DRL2" s="62"/>
      <c r="DRM2" s="62"/>
      <c r="DRN2" s="62"/>
      <c r="DRO2" s="62"/>
      <c r="DRP2" s="62"/>
      <c r="DRQ2" s="62"/>
      <c r="DRR2" s="62"/>
      <c r="DRS2" s="62"/>
      <c r="DRT2" s="62"/>
      <c r="DRU2" s="62"/>
      <c r="DRV2" s="62"/>
      <c r="DRW2" s="62"/>
      <c r="DRX2" s="62"/>
      <c r="DRY2" s="62"/>
      <c r="DRZ2" s="62"/>
      <c r="DSA2" s="62"/>
      <c r="DSB2" s="62"/>
      <c r="DSC2" s="62"/>
      <c r="DSD2" s="62"/>
      <c r="DSE2" s="62"/>
      <c r="DSF2" s="62"/>
      <c r="DSG2" s="62"/>
      <c r="DSH2" s="62"/>
      <c r="DSI2" s="62"/>
      <c r="DSJ2" s="62"/>
      <c r="DSK2" s="62"/>
      <c r="DSL2" s="62"/>
      <c r="DSM2" s="62"/>
      <c r="DSN2" s="62"/>
      <c r="DSO2" s="62"/>
      <c r="DSP2" s="62"/>
      <c r="DSQ2" s="62"/>
      <c r="DSR2" s="62"/>
      <c r="DSS2" s="62"/>
      <c r="DST2" s="62"/>
      <c r="DSU2" s="62"/>
      <c r="DSV2" s="62"/>
      <c r="DSW2" s="62"/>
      <c r="DSX2" s="62"/>
      <c r="DSY2" s="62"/>
      <c r="DSZ2" s="62"/>
      <c r="DTA2" s="62"/>
      <c r="DTB2" s="62"/>
      <c r="DTC2" s="62"/>
      <c r="DTD2" s="62"/>
      <c r="DTE2" s="62"/>
      <c r="DTF2" s="62"/>
      <c r="DTG2" s="62"/>
      <c r="DTH2" s="62"/>
      <c r="DTI2" s="62"/>
      <c r="DTJ2" s="62"/>
      <c r="DTK2" s="62"/>
      <c r="DTL2" s="62"/>
      <c r="DTM2" s="62"/>
      <c r="DTN2" s="62"/>
      <c r="DTO2" s="62"/>
      <c r="DTP2" s="62"/>
      <c r="DTQ2" s="62"/>
      <c r="DTR2" s="62"/>
      <c r="DTS2" s="62"/>
      <c r="DTT2" s="62"/>
      <c r="DTU2" s="62"/>
      <c r="DTV2" s="62"/>
      <c r="DTW2" s="62"/>
      <c r="DTX2" s="62"/>
      <c r="DTY2" s="62"/>
      <c r="DTZ2" s="62"/>
      <c r="DUA2" s="62"/>
      <c r="DUB2" s="62"/>
      <c r="DUC2" s="62"/>
      <c r="DUD2" s="62"/>
      <c r="DUE2" s="62"/>
      <c r="DUF2" s="62"/>
      <c r="DUG2" s="62"/>
      <c r="DUH2" s="62"/>
      <c r="DUI2" s="62"/>
      <c r="DUJ2" s="62"/>
      <c r="DUK2" s="62"/>
      <c r="DUL2" s="62"/>
      <c r="DUM2" s="62"/>
      <c r="DUN2" s="62"/>
      <c r="DUO2" s="62"/>
      <c r="DUP2" s="62"/>
      <c r="DUQ2" s="62"/>
      <c r="DUR2" s="62"/>
      <c r="DUS2" s="62"/>
      <c r="DUT2" s="62"/>
      <c r="DUU2" s="62"/>
      <c r="DUV2" s="62"/>
      <c r="DUW2" s="62"/>
      <c r="DUX2" s="62"/>
      <c r="DUY2" s="62"/>
      <c r="DUZ2" s="62"/>
      <c r="DVA2" s="62"/>
      <c r="DVB2" s="62"/>
      <c r="DVC2" s="62"/>
      <c r="DVD2" s="62"/>
      <c r="DVE2" s="62"/>
      <c r="DVF2" s="62"/>
      <c r="DVG2" s="62"/>
      <c r="DVH2" s="62"/>
      <c r="DVI2" s="62"/>
      <c r="DVJ2" s="62"/>
      <c r="DVK2" s="62"/>
      <c r="DVL2" s="62"/>
      <c r="DVM2" s="62"/>
      <c r="DVN2" s="62"/>
      <c r="DVO2" s="62"/>
      <c r="DVP2" s="62"/>
      <c r="DVQ2" s="62"/>
      <c r="DVR2" s="62"/>
      <c r="DVS2" s="62"/>
      <c r="DVT2" s="62"/>
      <c r="DVU2" s="62"/>
      <c r="DVV2" s="62"/>
      <c r="DVW2" s="62"/>
      <c r="DVX2" s="62"/>
      <c r="DVY2" s="62"/>
      <c r="DVZ2" s="62"/>
      <c r="DWA2" s="62"/>
      <c r="DWB2" s="62"/>
      <c r="DWC2" s="62"/>
      <c r="DWD2" s="62"/>
      <c r="DWE2" s="62"/>
      <c r="DWF2" s="62"/>
      <c r="DWG2" s="62"/>
      <c r="DWH2" s="62"/>
      <c r="DWI2" s="62"/>
      <c r="DWJ2" s="62"/>
      <c r="DWK2" s="62"/>
      <c r="DWL2" s="62"/>
      <c r="DWM2" s="62"/>
      <c r="DWN2" s="62"/>
      <c r="DWO2" s="62"/>
      <c r="DWP2" s="62"/>
      <c r="DWQ2" s="62"/>
      <c r="DWR2" s="62"/>
      <c r="DWS2" s="62"/>
      <c r="DWT2" s="62"/>
      <c r="DWU2" s="62"/>
      <c r="DWV2" s="62"/>
      <c r="DWW2" s="62"/>
      <c r="DWX2" s="62"/>
      <c r="DWY2" s="62"/>
      <c r="DWZ2" s="62"/>
      <c r="DXA2" s="62"/>
      <c r="DXB2" s="62"/>
      <c r="DXC2" s="62"/>
      <c r="DXD2" s="62"/>
      <c r="DXE2" s="62"/>
      <c r="DXF2" s="62"/>
      <c r="DXG2" s="62"/>
      <c r="DXH2" s="62"/>
      <c r="DXI2" s="62"/>
      <c r="DXJ2" s="62"/>
      <c r="DXK2" s="62"/>
      <c r="DXL2" s="62"/>
      <c r="DXM2" s="62"/>
      <c r="DXN2" s="62"/>
      <c r="DXO2" s="62"/>
      <c r="DXP2" s="62"/>
      <c r="DXQ2" s="62"/>
      <c r="DXR2" s="62"/>
      <c r="DXS2" s="62"/>
      <c r="DXT2" s="62"/>
      <c r="DXU2" s="62"/>
      <c r="DXV2" s="62"/>
      <c r="DXW2" s="62"/>
      <c r="DXX2" s="62"/>
      <c r="DXY2" s="62"/>
      <c r="DXZ2" s="62"/>
      <c r="DYA2" s="62"/>
      <c r="DYB2" s="62"/>
      <c r="DYC2" s="62"/>
      <c r="DYD2" s="62"/>
      <c r="DYE2" s="62"/>
      <c r="DYF2" s="62"/>
      <c r="DYG2" s="62"/>
      <c r="DYH2" s="62"/>
      <c r="DYI2" s="62"/>
      <c r="DYJ2" s="62"/>
      <c r="DYK2" s="62"/>
      <c r="DYL2" s="62"/>
      <c r="DYM2" s="62"/>
      <c r="DYN2" s="62"/>
      <c r="DYO2" s="62"/>
      <c r="DYP2" s="62"/>
      <c r="DYQ2" s="62"/>
      <c r="DYR2" s="62"/>
      <c r="DYS2" s="62"/>
      <c r="DYT2" s="62"/>
      <c r="DYU2" s="62"/>
      <c r="DYV2" s="62"/>
      <c r="DYW2" s="62"/>
      <c r="DYX2" s="62"/>
      <c r="DYY2" s="62"/>
      <c r="DYZ2" s="62"/>
      <c r="DZA2" s="62"/>
      <c r="DZB2" s="62"/>
      <c r="DZC2" s="62"/>
      <c r="DZD2" s="62"/>
      <c r="DZE2" s="62"/>
      <c r="DZF2" s="62"/>
      <c r="DZG2" s="62"/>
      <c r="DZH2" s="62"/>
      <c r="DZI2" s="62"/>
      <c r="DZJ2" s="62"/>
      <c r="DZK2" s="62"/>
      <c r="DZL2" s="62"/>
      <c r="DZM2" s="62"/>
      <c r="DZN2" s="62"/>
      <c r="DZO2" s="62"/>
      <c r="DZP2" s="62"/>
      <c r="DZQ2" s="62"/>
      <c r="DZR2" s="62"/>
      <c r="DZS2" s="62"/>
      <c r="DZT2" s="62"/>
      <c r="DZU2" s="62"/>
      <c r="DZV2" s="62"/>
      <c r="DZW2" s="62"/>
      <c r="DZX2" s="62"/>
      <c r="DZY2" s="62"/>
      <c r="DZZ2" s="62"/>
      <c r="EAA2" s="62"/>
      <c r="EAB2" s="62"/>
      <c r="EAC2" s="62"/>
      <c r="EAD2" s="62"/>
      <c r="EAE2" s="62"/>
      <c r="EAF2" s="62"/>
      <c r="EAG2" s="62"/>
      <c r="EAH2" s="62"/>
      <c r="EAI2" s="62"/>
      <c r="EAJ2" s="62"/>
      <c r="EAK2" s="62"/>
      <c r="EAL2" s="62"/>
      <c r="EAM2" s="62"/>
      <c r="EAN2" s="62"/>
      <c r="EAO2" s="62"/>
      <c r="EAP2" s="62"/>
      <c r="EAQ2" s="62"/>
      <c r="EAR2" s="62"/>
      <c r="EAS2" s="62"/>
      <c r="EAT2" s="62"/>
      <c r="EAU2" s="62"/>
      <c r="EAV2" s="62"/>
      <c r="EAW2" s="62"/>
      <c r="EAX2" s="62"/>
      <c r="EAY2" s="62"/>
      <c r="EAZ2" s="62"/>
      <c r="EBA2" s="62"/>
      <c r="EBB2" s="62"/>
      <c r="EBC2" s="62"/>
      <c r="EBD2" s="62"/>
      <c r="EBE2" s="62"/>
      <c r="EBF2" s="62"/>
      <c r="EBG2" s="62"/>
      <c r="EBH2" s="62"/>
      <c r="EBI2" s="62"/>
      <c r="EBJ2" s="62"/>
      <c r="EBK2" s="62"/>
      <c r="EBL2" s="62"/>
      <c r="EBM2" s="62"/>
      <c r="EBN2" s="62"/>
      <c r="EBO2" s="62"/>
      <c r="EBP2" s="62"/>
      <c r="EBQ2" s="62"/>
      <c r="EBR2" s="62"/>
      <c r="EBS2" s="62"/>
      <c r="EBT2" s="62"/>
      <c r="EBU2" s="62"/>
      <c r="EBV2" s="62"/>
      <c r="EBW2" s="62"/>
      <c r="EBX2" s="62"/>
      <c r="EBY2" s="62"/>
      <c r="EBZ2" s="62"/>
      <c r="ECA2" s="62"/>
      <c r="ECB2" s="62"/>
      <c r="ECC2" s="62"/>
      <c r="ECD2" s="62"/>
      <c r="ECE2" s="62"/>
      <c r="ECF2" s="62"/>
      <c r="ECG2" s="62"/>
      <c r="ECH2" s="62"/>
      <c r="ECI2" s="62"/>
      <c r="ECJ2" s="62"/>
      <c r="ECK2" s="62"/>
      <c r="ECL2" s="62"/>
      <c r="ECM2" s="62"/>
      <c r="ECN2" s="62"/>
      <c r="ECO2" s="62"/>
      <c r="ECP2" s="62"/>
      <c r="ECQ2" s="62"/>
      <c r="ECR2" s="62"/>
      <c r="ECS2" s="62"/>
      <c r="ECT2" s="62"/>
      <c r="ECU2" s="62"/>
      <c r="ECV2" s="62"/>
      <c r="ECW2" s="62"/>
      <c r="ECX2" s="62"/>
      <c r="ECY2" s="62"/>
      <c r="ECZ2" s="62"/>
      <c r="EDA2" s="62"/>
      <c r="EDB2" s="62"/>
      <c r="EDC2" s="62"/>
      <c r="EDD2" s="62"/>
      <c r="EDE2" s="62"/>
      <c r="EDF2" s="62"/>
      <c r="EDG2" s="62"/>
      <c r="EDH2" s="62"/>
      <c r="EDI2" s="62"/>
      <c r="EDJ2" s="62"/>
      <c r="EDK2" s="62"/>
      <c r="EDL2" s="62"/>
      <c r="EDM2" s="62"/>
      <c r="EDN2" s="62"/>
      <c r="EDO2" s="62"/>
      <c r="EDP2" s="62"/>
      <c r="EDQ2" s="62"/>
      <c r="EDR2" s="62"/>
      <c r="EDS2" s="62"/>
      <c r="EDT2" s="62"/>
      <c r="EDU2" s="62"/>
      <c r="EDV2" s="62"/>
      <c r="EDW2" s="62"/>
      <c r="EDX2" s="62"/>
      <c r="EDY2" s="62"/>
      <c r="EDZ2" s="62"/>
      <c r="EEA2" s="62"/>
      <c r="EEB2" s="62"/>
      <c r="EEC2" s="62"/>
      <c r="EED2" s="62"/>
      <c r="EEE2" s="62"/>
      <c r="EEF2" s="62"/>
      <c r="EEG2" s="62"/>
      <c r="EEH2" s="62"/>
      <c r="EEI2" s="62"/>
      <c r="EEJ2" s="62"/>
      <c r="EEK2" s="62"/>
      <c r="EEL2" s="62"/>
      <c r="EEM2" s="62"/>
      <c r="EEN2" s="62"/>
      <c r="EEO2" s="62"/>
      <c r="EEP2" s="62"/>
      <c r="EEQ2" s="62"/>
      <c r="EER2" s="62"/>
      <c r="EES2" s="62"/>
      <c r="EET2" s="62"/>
      <c r="EEU2" s="62"/>
      <c r="EEV2" s="62"/>
      <c r="EEW2" s="62"/>
      <c r="EEX2" s="62"/>
      <c r="EEY2" s="62"/>
      <c r="EEZ2" s="62"/>
      <c r="EFA2" s="62"/>
      <c r="EFB2" s="62"/>
      <c r="EFC2" s="62"/>
      <c r="EFD2" s="62"/>
      <c r="EFE2" s="62"/>
      <c r="EFF2" s="62"/>
      <c r="EFG2" s="62"/>
      <c r="EFH2" s="62"/>
      <c r="EFI2" s="62"/>
      <c r="EFJ2" s="62"/>
      <c r="EFK2" s="62"/>
      <c r="EFL2" s="62"/>
      <c r="EFM2" s="62"/>
      <c r="EFN2" s="62"/>
      <c r="EFO2" s="62"/>
      <c r="EFP2" s="62"/>
      <c r="EFQ2" s="62"/>
      <c r="EFR2" s="62"/>
      <c r="EFS2" s="62"/>
      <c r="EFT2" s="62"/>
      <c r="EFU2" s="62"/>
      <c r="EFV2" s="62"/>
      <c r="EFW2" s="62"/>
      <c r="EFX2" s="62"/>
      <c r="EFY2" s="62"/>
      <c r="EFZ2" s="62"/>
      <c r="EGA2" s="62"/>
      <c r="EGB2" s="62"/>
      <c r="EGC2" s="62"/>
      <c r="EGD2" s="62"/>
      <c r="EGE2" s="62"/>
      <c r="EGF2" s="62"/>
      <c r="EGG2" s="62"/>
      <c r="EGH2" s="62"/>
      <c r="EGI2" s="62"/>
      <c r="EGJ2" s="62"/>
      <c r="EGK2" s="62"/>
      <c r="EGL2" s="62"/>
      <c r="EGM2" s="62"/>
      <c r="EGN2" s="62"/>
      <c r="EGO2" s="62"/>
      <c r="EGP2" s="62"/>
      <c r="EGQ2" s="62"/>
      <c r="EGR2" s="62"/>
      <c r="EGS2" s="62"/>
      <c r="EGT2" s="62"/>
      <c r="EGU2" s="62"/>
      <c r="EGV2" s="62"/>
      <c r="EGW2" s="62"/>
      <c r="EGX2" s="62"/>
      <c r="EGY2" s="62"/>
      <c r="EGZ2" s="62"/>
      <c r="EHA2" s="62"/>
      <c r="EHB2" s="62"/>
      <c r="EHC2" s="62"/>
      <c r="EHD2" s="62"/>
      <c r="EHE2" s="62"/>
      <c r="EHF2" s="62"/>
      <c r="EHG2" s="62"/>
      <c r="EHH2" s="62"/>
      <c r="EHI2" s="62"/>
      <c r="EHJ2" s="62"/>
      <c r="EHK2" s="62"/>
      <c r="EHL2" s="62"/>
      <c r="EHM2" s="62"/>
      <c r="EHN2" s="62"/>
      <c r="EHO2" s="62"/>
      <c r="EHP2" s="62"/>
      <c r="EHQ2" s="62"/>
      <c r="EHR2" s="62"/>
      <c r="EHS2" s="62"/>
      <c r="EHT2" s="62"/>
      <c r="EHU2" s="62"/>
      <c r="EHV2" s="62"/>
      <c r="EHW2" s="62"/>
      <c r="EHX2" s="62"/>
      <c r="EHY2" s="62"/>
      <c r="EHZ2" s="62"/>
      <c r="EIA2" s="62"/>
      <c r="EIB2" s="62"/>
      <c r="EIC2" s="62"/>
      <c r="EID2" s="62"/>
      <c r="EIE2" s="62"/>
      <c r="EIF2" s="62"/>
      <c r="EIG2" s="62"/>
      <c r="EIH2" s="62"/>
      <c r="EII2" s="62"/>
      <c r="EIJ2" s="62"/>
      <c r="EIK2" s="62"/>
      <c r="EIL2" s="62"/>
      <c r="EIM2" s="62"/>
      <c r="EIN2" s="62"/>
      <c r="EIO2" s="62"/>
      <c r="EIP2" s="62"/>
      <c r="EIQ2" s="62"/>
      <c r="EIR2" s="62"/>
      <c r="EIS2" s="62"/>
      <c r="EIT2" s="62"/>
      <c r="EIU2" s="62"/>
      <c r="EIV2" s="62"/>
      <c r="EIW2" s="62"/>
      <c r="EIX2" s="62"/>
      <c r="EIY2" s="62"/>
      <c r="EIZ2" s="62"/>
      <c r="EJA2" s="62"/>
      <c r="EJB2" s="62"/>
      <c r="EJC2" s="62"/>
      <c r="EJD2" s="62"/>
      <c r="EJE2" s="62"/>
      <c r="EJF2" s="62"/>
      <c r="EJG2" s="62"/>
      <c r="EJH2" s="62"/>
      <c r="EJI2" s="62"/>
      <c r="EJJ2" s="62"/>
      <c r="EJK2" s="62"/>
      <c r="EJL2" s="62"/>
      <c r="EJM2" s="62"/>
      <c r="EJN2" s="62"/>
      <c r="EJO2" s="62"/>
      <c r="EJP2" s="62"/>
      <c r="EJQ2" s="62"/>
      <c r="EJR2" s="62"/>
      <c r="EJS2" s="62"/>
      <c r="EJT2" s="62"/>
      <c r="EJU2" s="62"/>
      <c r="EJV2" s="62"/>
      <c r="EJW2" s="62"/>
      <c r="EJX2" s="62"/>
      <c r="EJY2" s="62"/>
      <c r="EJZ2" s="62"/>
      <c r="EKA2" s="62"/>
      <c r="EKB2" s="62"/>
      <c r="EKC2" s="62"/>
      <c r="EKD2" s="62"/>
      <c r="EKE2" s="62"/>
      <c r="EKF2" s="62"/>
      <c r="EKG2" s="62"/>
      <c r="EKH2" s="62"/>
      <c r="EKI2" s="62"/>
      <c r="EKJ2" s="62"/>
      <c r="EKK2" s="62"/>
      <c r="EKL2" s="62"/>
      <c r="EKM2" s="62"/>
      <c r="EKN2" s="62"/>
      <c r="EKO2" s="62"/>
      <c r="EKP2" s="62"/>
      <c r="EKQ2" s="62"/>
      <c r="EKR2" s="62"/>
      <c r="EKS2" s="62"/>
      <c r="EKT2" s="62"/>
      <c r="EKU2" s="62"/>
      <c r="EKV2" s="62"/>
      <c r="EKW2" s="62"/>
      <c r="EKX2" s="62"/>
      <c r="EKY2" s="62"/>
      <c r="EKZ2" s="62"/>
      <c r="ELA2" s="62"/>
      <c r="ELB2" s="62"/>
      <c r="ELC2" s="62"/>
      <c r="ELD2" s="62"/>
      <c r="ELE2" s="62"/>
      <c r="ELF2" s="62"/>
      <c r="ELG2" s="62"/>
      <c r="ELH2" s="62"/>
      <c r="ELI2" s="62"/>
      <c r="ELJ2" s="62"/>
      <c r="ELK2" s="62"/>
      <c r="ELL2" s="62"/>
      <c r="ELM2" s="62"/>
      <c r="ELN2" s="62"/>
      <c r="ELO2" s="62"/>
      <c r="ELP2" s="62"/>
      <c r="ELQ2" s="62"/>
      <c r="ELR2" s="62"/>
      <c r="ELS2" s="62"/>
      <c r="ELT2" s="62"/>
      <c r="ELU2" s="62"/>
      <c r="ELV2" s="62"/>
      <c r="ELW2" s="62"/>
      <c r="ELX2" s="62"/>
      <c r="ELY2" s="62"/>
      <c r="ELZ2" s="62"/>
      <c r="EMA2" s="62"/>
      <c r="EMB2" s="62"/>
      <c r="EMC2" s="62"/>
      <c r="EMD2" s="62"/>
      <c r="EME2" s="62"/>
      <c r="EMF2" s="62"/>
      <c r="EMG2" s="62"/>
      <c r="EMH2" s="62"/>
      <c r="EMI2" s="62"/>
      <c r="EMJ2" s="62"/>
      <c r="EMK2" s="62"/>
      <c r="EML2" s="62"/>
      <c r="EMM2" s="62"/>
      <c r="EMN2" s="62"/>
      <c r="EMO2" s="62"/>
      <c r="EMP2" s="62"/>
      <c r="EMQ2" s="62"/>
      <c r="EMR2" s="62"/>
      <c r="EMS2" s="62"/>
      <c r="EMT2" s="62"/>
      <c r="EMU2" s="62"/>
      <c r="EMV2" s="62"/>
      <c r="EMW2" s="62"/>
      <c r="EMX2" s="62"/>
      <c r="EMY2" s="62"/>
      <c r="EMZ2" s="62"/>
      <c r="ENA2" s="62"/>
      <c r="ENB2" s="62"/>
      <c r="ENC2" s="62"/>
      <c r="END2" s="62"/>
      <c r="ENE2" s="62"/>
      <c r="ENF2" s="62"/>
      <c r="ENG2" s="62"/>
      <c r="ENH2" s="62"/>
      <c r="ENI2" s="62"/>
      <c r="ENJ2" s="62"/>
      <c r="ENK2" s="62"/>
      <c r="ENL2" s="62"/>
      <c r="ENM2" s="62"/>
      <c r="ENN2" s="62"/>
      <c r="ENO2" s="62"/>
      <c r="ENP2" s="62"/>
      <c r="ENQ2" s="62"/>
      <c r="ENR2" s="62"/>
      <c r="ENS2" s="62"/>
      <c r="ENT2" s="62"/>
      <c r="ENU2" s="62"/>
      <c r="ENV2" s="62"/>
      <c r="ENW2" s="62"/>
      <c r="ENX2" s="62"/>
      <c r="ENY2" s="62"/>
      <c r="ENZ2" s="62"/>
      <c r="EOA2" s="62"/>
      <c r="EOB2" s="62"/>
      <c r="EOC2" s="62"/>
      <c r="EOD2" s="62"/>
      <c r="EOE2" s="62"/>
      <c r="EOF2" s="62"/>
      <c r="EOG2" s="62"/>
      <c r="EOH2" s="62"/>
      <c r="EOI2" s="62"/>
      <c r="EOJ2" s="62"/>
      <c r="EOK2" s="62"/>
      <c r="EOL2" s="62"/>
      <c r="EOM2" s="62"/>
      <c r="EON2" s="62"/>
      <c r="EOO2" s="62"/>
      <c r="EOP2" s="62"/>
      <c r="EOQ2" s="62"/>
      <c r="EOR2" s="62"/>
      <c r="EOS2" s="62"/>
      <c r="EOT2" s="62"/>
      <c r="EOU2" s="62"/>
      <c r="EOV2" s="62"/>
      <c r="EOW2" s="62"/>
      <c r="EOX2" s="62"/>
      <c r="EOY2" s="62"/>
      <c r="EOZ2" s="62"/>
      <c r="EPA2" s="62"/>
      <c r="EPB2" s="62"/>
      <c r="EPC2" s="62"/>
      <c r="EPD2" s="62"/>
      <c r="EPE2" s="62"/>
      <c r="EPF2" s="62"/>
      <c r="EPG2" s="62"/>
      <c r="EPH2" s="62"/>
      <c r="EPI2" s="62"/>
      <c r="EPJ2" s="62"/>
      <c r="EPK2" s="62"/>
      <c r="EPL2" s="62"/>
      <c r="EPM2" s="62"/>
      <c r="EPN2" s="62"/>
      <c r="EPO2" s="62"/>
      <c r="EPP2" s="62"/>
      <c r="EPQ2" s="62"/>
      <c r="EPR2" s="62"/>
      <c r="EPS2" s="62"/>
      <c r="EPT2" s="62"/>
      <c r="EPU2" s="62"/>
      <c r="EPV2" s="62"/>
      <c r="EPW2" s="62"/>
      <c r="EPX2" s="62"/>
      <c r="EPY2" s="62"/>
      <c r="EPZ2" s="62"/>
      <c r="EQA2" s="62"/>
      <c r="EQB2" s="62"/>
      <c r="EQC2" s="62"/>
      <c r="EQD2" s="62"/>
      <c r="EQE2" s="62"/>
      <c r="EQF2" s="62"/>
      <c r="EQG2" s="62"/>
      <c r="EQH2" s="62"/>
      <c r="EQI2" s="62"/>
      <c r="EQJ2" s="62"/>
      <c r="EQK2" s="62"/>
      <c r="EQL2" s="62"/>
      <c r="EQM2" s="62"/>
      <c r="EQN2" s="62"/>
      <c r="EQO2" s="62"/>
      <c r="EQP2" s="62"/>
      <c r="EQQ2" s="62"/>
      <c r="EQR2" s="62"/>
      <c r="EQS2" s="62"/>
      <c r="EQT2" s="62"/>
      <c r="EQU2" s="62"/>
      <c r="EQV2" s="62"/>
      <c r="EQW2" s="62"/>
      <c r="EQX2" s="62"/>
      <c r="EQY2" s="62"/>
      <c r="EQZ2" s="62"/>
      <c r="ERA2" s="62"/>
      <c r="ERB2" s="62"/>
      <c r="ERC2" s="62"/>
      <c r="ERD2" s="62"/>
      <c r="ERE2" s="62"/>
      <c r="ERF2" s="62"/>
      <c r="ERG2" s="62"/>
      <c r="ERH2" s="62"/>
      <c r="ERI2" s="62"/>
      <c r="ERJ2" s="62"/>
      <c r="ERK2" s="62"/>
      <c r="ERL2" s="62"/>
      <c r="ERM2" s="62"/>
      <c r="ERN2" s="62"/>
      <c r="ERO2" s="62"/>
      <c r="ERP2" s="62"/>
      <c r="ERQ2" s="62"/>
      <c r="ERR2" s="62"/>
      <c r="ERS2" s="62"/>
      <c r="ERT2" s="62"/>
      <c r="ERU2" s="62"/>
      <c r="ERV2" s="62"/>
      <c r="ERW2" s="62"/>
      <c r="ERX2" s="62"/>
      <c r="ERY2" s="62"/>
      <c r="ERZ2" s="62"/>
      <c r="ESA2" s="62"/>
      <c r="ESB2" s="62"/>
      <c r="ESC2" s="62"/>
      <c r="ESD2" s="62"/>
      <c r="ESE2" s="62"/>
      <c r="ESF2" s="62"/>
      <c r="ESG2" s="62"/>
      <c r="ESH2" s="62"/>
      <c r="ESI2" s="62"/>
      <c r="ESJ2" s="62"/>
      <c r="ESK2" s="62"/>
      <c r="ESL2" s="62"/>
      <c r="ESM2" s="62"/>
      <c r="ESN2" s="62"/>
      <c r="ESO2" s="62"/>
      <c r="ESP2" s="62"/>
      <c r="ESQ2" s="62"/>
      <c r="ESR2" s="62"/>
      <c r="ESS2" s="62"/>
      <c r="EST2" s="62"/>
      <c r="ESU2" s="62"/>
      <c r="ESV2" s="62"/>
      <c r="ESW2" s="62"/>
      <c r="ESX2" s="62"/>
      <c r="ESY2" s="62"/>
      <c r="ESZ2" s="62"/>
      <c r="ETA2" s="62"/>
      <c r="ETB2" s="62"/>
      <c r="ETC2" s="62"/>
      <c r="ETD2" s="62"/>
      <c r="ETE2" s="62"/>
      <c r="ETF2" s="62"/>
      <c r="ETG2" s="62"/>
      <c r="ETH2" s="62"/>
      <c r="ETI2" s="62"/>
      <c r="ETJ2" s="62"/>
      <c r="ETK2" s="62"/>
      <c r="ETL2" s="62"/>
      <c r="ETM2" s="62"/>
      <c r="ETN2" s="62"/>
      <c r="ETO2" s="62"/>
      <c r="ETP2" s="62"/>
      <c r="ETQ2" s="62"/>
      <c r="ETR2" s="62"/>
      <c r="ETS2" s="62"/>
      <c r="ETT2" s="62"/>
      <c r="ETU2" s="62"/>
      <c r="ETV2" s="62"/>
      <c r="ETW2" s="62"/>
      <c r="ETX2" s="62"/>
      <c r="ETY2" s="62"/>
      <c r="ETZ2" s="62"/>
      <c r="EUA2" s="62"/>
      <c r="EUB2" s="62"/>
      <c r="EUC2" s="62"/>
      <c r="EUD2" s="62"/>
      <c r="EUE2" s="62"/>
      <c r="EUF2" s="62"/>
      <c r="EUG2" s="62"/>
      <c r="EUH2" s="62"/>
      <c r="EUI2" s="62"/>
      <c r="EUJ2" s="62"/>
      <c r="EUK2" s="62"/>
      <c r="EUL2" s="62"/>
      <c r="EUM2" s="62"/>
      <c r="EUN2" s="62"/>
      <c r="EUO2" s="62"/>
      <c r="EUP2" s="62"/>
      <c r="EUQ2" s="62"/>
      <c r="EUR2" s="62"/>
      <c r="EUS2" s="62"/>
      <c r="EUT2" s="62"/>
      <c r="EUU2" s="62"/>
      <c r="EUV2" s="62"/>
      <c r="EUW2" s="62"/>
      <c r="EUX2" s="62"/>
      <c r="EUY2" s="62"/>
      <c r="EUZ2" s="62"/>
      <c r="EVA2" s="62"/>
      <c r="EVB2" s="62"/>
      <c r="EVC2" s="62"/>
      <c r="EVD2" s="62"/>
      <c r="EVE2" s="62"/>
      <c r="EVF2" s="62"/>
      <c r="EVG2" s="62"/>
      <c r="EVH2" s="62"/>
      <c r="EVI2" s="62"/>
      <c r="EVJ2" s="62"/>
      <c r="EVK2" s="62"/>
      <c r="EVL2" s="62"/>
      <c r="EVM2" s="62"/>
      <c r="EVN2" s="62"/>
      <c r="EVO2" s="62"/>
      <c r="EVP2" s="62"/>
      <c r="EVQ2" s="62"/>
      <c r="EVR2" s="62"/>
      <c r="EVS2" s="62"/>
      <c r="EVT2" s="62"/>
      <c r="EVU2" s="62"/>
      <c r="EVV2" s="62"/>
      <c r="EVW2" s="62"/>
      <c r="EVX2" s="62"/>
      <c r="EVY2" s="62"/>
      <c r="EVZ2" s="62"/>
      <c r="EWA2" s="62"/>
      <c r="EWB2" s="62"/>
      <c r="EWC2" s="62"/>
      <c r="EWD2" s="62"/>
      <c r="EWE2" s="62"/>
      <c r="EWF2" s="62"/>
      <c r="EWG2" s="62"/>
      <c r="EWH2" s="62"/>
      <c r="EWI2" s="62"/>
      <c r="EWJ2" s="62"/>
      <c r="EWK2" s="62"/>
      <c r="EWL2" s="62"/>
      <c r="EWM2" s="62"/>
      <c r="EWN2" s="62"/>
      <c r="EWO2" s="62"/>
      <c r="EWP2" s="62"/>
      <c r="EWQ2" s="62"/>
      <c r="EWR2" s="62"/>
      <c r="EWS2" s="62"/>
      <c r="EWT2" s="62"/>
      <c r="EWU2" s="62"/>
      <c r="EWV2" s="62"/>
      <c r="EWW2" s="62"/>
      <c r="EWX2" s="62"/>
      <c r="EWY2" s="62"/>
      <c r="EWZ2" s="62"/>
      <c r="EXA2" s="62"/>
      <c r="EXB2" s="62"/>
      <c r="EXC2" s="62"/>
      <c r="EXD2" s="62"/>
      <c r="EXE2" s="62"/>
      <c r="EXF2" s="62"/>
      <c r="EXG2" s="62"/>
      <c r="EXH2" s="62"/>
      <c r="EXI2" s="62"/>
      <c r="EXJ2" s="62"/>
      <c r="EXK2" s="62"/>
      <c r="EXL2" s="62"/>
      <c r="EXM2" s="62"/>
      <c r="EXN2" s="62"/>
      <c r="EXO2" s="62"/>
      <c r="EXP2" s="62"/>
      <c r="EXQ2" s="62"/>
      <c r="EXR2" s="62"/>
      <c r="EXS2" s="62"/>
      <c r="EXT2" s="62"/>
      <c r="EXU2" s="62"/>
      <c r="EXV2" s="62"/>
      <c r="EXW2" s="62"/>
      <c r="EXX2" s="62"/>
      <c r="EXY2" s="62"/>
      <c r="EXZ2" s="62"/>
      <c r="EYA2" s="62"/>
      <c r="EYB2" s="62"/>
      <c r="EYC2" s="62"/>
      <c r="EYD2" s="62"/>
      <c r="EYE2" s="62"/>
      <c r="EYF2" s="62"/>
      <c r="EYG2" s="62"/>
      <c r="EYH2" s="62"/>
      <c r="EYI2" s="62"/>
      <c r="EYJ2" s="62"/>
      <c r="EYK2" s="62"/>
      <c r="EYL2" s="62"/>
      <c r="EYM2" s="62"/>
      <c r="EYN2" s="62"/>
      <c r="EYO2" s="62"/>
      <c r="EYP2" s="62"/>
      <c r="EYQ2" s="62"/>
      <c r="EYR2" s="62"/>
      <c r="EYS2" s="62"/>
      <c r="EYT2" s="62"/>
      <c r="EYU2" s="62"/>
      <c r="EYV2" s="62"/>
      <c r="EYW2" s="62"/>
      <c r="EYX2" s="62"/>
      <c r="EYY2" s="62"/>
      <c r="EYZ2" s="62"/>
      <c r="EZA2" s="62"/>
      <c r="EZB2" s="62"/>
      <c r="EZC2" s="62"/>
      <c r="EZD2" s="62"/>
      <c r="EZE2" s="62"/>
      <c r="EZF2" s="62"/>
      <c r="EZG2" s="62"/>
      <c r="EZH2" s="62"/>
      <c r="EZI2" s="62"/>
      <c r="EZJ2" s="62"/>
      <c r="EZK2" s="62"/>
      <c r="EZL2" s="62"/>
      <c r="EZM2" s="62"/>
      <c r="EZN2" s="62"/>
      <c r="EZO2" s="62"/>
      <c r="EZP2" s="62"/>
      <c r="EZQ2" s="62"/>
      <c r="EZR2" s="62"/>
      <c r="EZS2" s="62"/>
      <c r="EZT2" s="62"/>
      <c r="EZU2" s="62"/>
      <c r="EZV2" s="62"/>
      <c r="EZW2" s="62"/>
      <c r="EZX2" s="62"/>
      <c r="EZY2" s="62"/>
      <c r="EZZ2" s="62"/>
      <c r="FAA2" s="62"/>
      <c r="FAB2" s="62"/>
      <c r="FAC2" s="62"/>
      <c r="FAD2" s="62"/>
      <c r="FAE2" s="62"/>
      <c r="FAF2" s="62"/>
      <c r="FAG2" s="62"/>
      <c r="FAH2" s="62"/>
      <c r="FAI2" s="62"/>
      <c r="FAJ2" s="62"/>
      <c r="FAK2" s="62"/>
      <c r="FAL2" s="62"/>
      <c r="FAM2" s="62"/>
      <c r="FAN2" s="62"/>
      <c r="FAO2" s="62"/>
      <c r="FAP2" s="62"/>
      <c r="FAQ2" s="62"/>
      <c r="FAR2" s="62"/>
      <c r="FAS2" s="62"/>
      <c r="FAT2" s="62"/>
      <c r="FAU2" s="62"/>
      <c r="FAV2" s="62"/>
      <c r="FAW2" s="62"/>
      <c r="FAX2" s="62"/>
      <c r="FAY2" s="62"/>
      <c r="FAZ2" s="62"/>
      <c r="FBA2" s="62"/>
      <c r="FBB2" s="62"/>
      <c r="FBC2" s="62"/>
      <c r="FBD2" s="62"/>
      <c r="FBE2" s="62"/>
      <c r="FBF2" s="62"/>
      <c r="FBG2" s="62"/>
      <c r="FBH2" s="62"/>
      <c r="FBI2" s="62"/>
      <c r="FBJ2" s="62"/>
      <c r="FBK2" s="62"/>
      <c r="FBL2" s="62"/>
      <c r="FBM2" s="62"/>
      <c r="FBN2" s="62"/>
      <c r="FBO2" s="62"/>
      <c r="FBP2" s="62"/>
      <c r="FBQ2" s="62"/>
      <c r="FBR2" s="62"/>
      <c r="FBS2" s="62"/>
      <c r="FBT2" s="62"/>
      <c r="FBU2" s="62"/>
      <c r="FBV2" s="62"/>
      <c r="FBW2" s="62"/>
      <c r="FBX2" s="62"/>
      <c r="FBY2" s="62"/>
      <c r="FBZ2" s="62"/>
      <c r="FCA2" s="62"/>
      <c r="FCB2" s="62"/>
      <c r="FCC2" s="62"/>
      <c r="FCD2" s="62"/>
      <c r="FCE2" s="62"/>
      <c r="FCF2" s="62"/>
      <c r="FCG2" s="62"/>
      <c r="FCH2" s="62"/>
      <c r="FCI2" s="62"/>
      <c r="FCJ2" s="62"/>
      <c r="FCK2" s="62"/>
      <c r="FCL2" s="62"/>
      <c r="FCM2" s="62"/>
      <c r="FCN2" s="62"/>
      <c r="FCO2" s="62"/>
      <c r="FCP2" s="62"/>
      <c r="FCQ2" s="62"/>
      <c r="FCR2" s="62"/>
      <c r="FCS2" s="62"/>
      <c r="FCT2" s="62"/>
      <c r="FCU2" s="62"/>
      <c r="FCV2" s="62"/>
      <c r="FCW2" s="62"/>
      <c r="FCX2" s="62"/>
      <c r="FCY2" s="62"/>
      <c r="FCZ2" s="62"/>
      <c r="FDA2" s="62"/>
      <c r="FDB2" s="62"/>
      <c r="FDC2" s="62"/>
      <c r="FDD2" s="62"/>
      <c r="FDE2" s="62"/>
      <c r="FDF2" s="62"/>
      <c r="FDG2" s="62"/>
      <c r="FDH2" s="62"/>
      <c r="FDI2" s="62"/>
      <c r="FDJ2" s="62"/>
      <c r="FDK2" s="62"/>
      <c r="FDL2" s="62"/>
      <c r="FDM2" s="62"/>
      <c r="FDN2" s="62"/>
      <c r="FDO2" s="62"/>
      <c r="FDP2" s="62"/>
      <c r="FDQ2" s="62"/>
      <c r="FDR2" s="62"/>
      <c r="FDS2" s="62"/>
      <c r="FDT2" s="62"/>
      <c r="FDU2" s="62"/>
      <c r="FDV2" s="62"/>
      <c r="FDW2" s="62"/>
      <c r="FDX2" s="62"/>
      <c r="FDY2" s="62"/>
      <c r="FDZ2" s="62"/>
      <c r="FEA2" s="62"/>
      <c r="FEB2" s="62"/>
      <c r="FEC2" s="62"/>
      <c r="FED2" s="62"/>
      <c r="FEE2" s="62"/>
      <c r="FEF2" s="62"/>
      <c r="FEG2" s="62"/>
      <c r="FEH2" s="62"/>
      <c r="FEI2" s="62"/>
      <c r="FEJ2" s="62"/>
      <c r="FEK2" s="62"/>
      <c r="FEL2" s="62"/>
      <c r="FEM2" s="62"/>
      <c r="FEN2" s="62"/>
      <c r="FEO2" s="62"/>
      <c r="FEP2" s="62"/>
      <c r="FEQ2" s="62"/>
      <c r="FER2" s="62"/>
      <c r="FES2" s="62"/>
      <c r="FET2" s="62"/>
      <c r="FEU2" s="62"/>
      <c r="FEV2" s="62"/>
      <c r="FEW2" s="62"/>
      <c r="FEX2" s="62"/>
      <c r="FEY2" s="62"/>
      <c r="FEZ2" s="62"/>
      <c r="FFA2" s="62"/>
      <c r="FFB2" s="62"/>
      <c r="FFC2" s="62"/>
      <c r="FFD2" s="62"/>
      <c r="FFE2" s="62"/>
      <c r="FFF2" s="62"/>
      <c r="FFG2" s="62"/>
      <c r="FFH2" s="62"/>
      <c r="FFI2" s="62"/>
      <c r="FFJ2" s="62"/>
      <c r="FFK2" s="62"/>
      <c r="FFL2" s="62"/>
      <c r="FFM2" s="62"/>
      <c r="FFN2" s="62"/>
      <c r="FFO2" s="62"/>
      <c r="FFP2" s="62"/>
      <c r="FFQ2" s="62"/>
      <c r="FFR2" s="62"/>
      <c r="FFS2" s="62"/>
      <c r="FFT2" s="62"/>
      <c r="FFU2" s="62"/>
      <c r="FFV2" s="62"/>
      <c r="FFW2" s="62"/>
      <c r="FFX2" s="62"/>
      <c r="FFY2" s="62"/>
      <c r="FFZ2" s="62"/>
      <c r="FGA2" s="62"/>
      <c r="FGB2" s="62"/>
      <c r="FGC2" s="62"/>
      <c r="FGD2" s="62"/>
      <c r="FGE2" s="62"/>
      <c r="FGF2" s="62"/>
      <c r="FGG2" s="62"/>
      <c r="FGH2" s="62"/>
      <c r="FGI2" s="62"/>
      <c r="FGJ2" s="62"/>
      <c r="FGK2" s="62"/>
      <c r="FGL2" s="62"/>
      <c r="FGM2" s="62"/>
      <c r="FGN2" s="62"/>
      <c r="FGO2" s="62"/>
      <c r="FGP2" s="62"/>
      <c r="FGQ2" s="62"/>
      <c r="FGR2" s="62"/>
      <c r="FGS2" s="62"/>
      <c r="FGT2" s="62"/>
      <c r="FGU2" s="62"/>
      <c r="FGV2" s="62"/>
      <c r="FGW2" s="62"/>
      <c r="FGX2" s="62"/>
      <c r="FGY2" s="62"/>
      <c r="FGZ2" s="62"/>
      <c r="FHA2" s="62"/>
      <c r="FHB2" s="62"/>
      <c r="FHC2" s="62"/>
      <c r="FHD2" s="62"/>
      <c r="FHE2" s="62"/>
      <c r="FHF2" s="62"/>
      <c r="FHG2" s="62"/>
      <c r="FHH2" s="62"/>
      <c r="FHI2" s="62"/>
      <c r="FHJ2" s="62"/>
      <c r="FHK2" s="62"/>
      <c r="FHL2" s="62"/>
      <c r="FHM2" s="62"/>
      <c r="FHN2" s="62"/>
      <c r="FHO2" s="62"/>
      <c r="FHP2" s="62"/>
      <c r="FHQ2" s="62"/>
      <c r="FHR2" s="62"/>
      <c r="FHS2" s="62"/>
      <c r="FHT2" s="62"/>
      <c r="FHU2" s="62"/>
      <c r="FHV2" s="62"/>
      <c r="FHW2" s="62"/>
      <c r="FHX2" s="62"/>
      <c r="FHY2" s="62"/>
      <c r="FHZ2" s="62"/>
      <c r="FIA2" s="62"/>
      <c r="FIB2" s="62"/>
      <c r="FIC2" s="62"/>
      <c r="FID2" s="62"/>
      <c r="FIE2" s="62"/>
      <c r="FIF2" s="62"/>
      <c r="FIG2" s="62"/>
      <c r="FIH2" s="62"/>
      <c r="FII2" s="62"/>
      <c r="FIJ2" s="62"/>
      <c r="FIK2" s="62"/>
      <c r="FIL2" s="62"/>
      <c r="FIM2" s="62"/>
      <c r="FIN2" s="62"/>
      <c r="FIO2" s="62"/>
      <c r="FIP2" s="62"/>
      <c r="FIQ2" s="62"/>
      <c r="FIR2" s="62"/>
      <c r="FIS2" s="62"/>
      <c r="FIT2" s="62"/>
      <c r="FIU2" s="62"/>
      <c r="FIV2" s="62"/>
      <c r="FIW2" s="62"/>
      <c r="FIX2" s="62"/>
      <c r="FIY2" s="62"/>
      <c r="FIZ2" s="62"/>
      <c r="FJA2" s="62"/>
      <c r="FJB2" s="62"/>
      <c r="FJC2" s="62"/>
      <c r="FJD2" s="62"/>
      <c r="FJE2" s="62"/>
      <c r="FJF2" s="62"/>
      <c r="FJG2" s="62"/>
      <c r="FJH2" s="62"/>
      <c r="FJI2" s="62"/>
      <c r="FJJ2" s="62"/>
      <c r="FJK2" s="62"/>
      <c r="FJL2" s="62"/>
      <c r="FJM2" s="62"/>
      <c r="FJN2" s="62"/>
      <c r="FJO2" s="62"/>
      <c r="FJP2" s="62"/>
      <c r="FJQ2" s="62"/>
      <c r="FJR2" s="62"/>
      <c r="FJS2" s="62"/>
      <c r="FJT2" s="62"/>
      <c r="FJU2" s="62"/>
      <c r="FJV2" s="62"/>
      <c r="FJW2" s="62"/>
      <c r="FJX2" s="62"/>
      <c r="FJY2" s="62"/>
      <c r="FJZ2" s="62"/>
      <c r="FKA2" s="62"/>
      <c r="FKB2" s="62"/>
      <c r="FKC2" s="62"/>
      <c r="FKD2" s="62"/>
      <c r="FKE2" s="62"/>
      <c r="FKF2" s="62"/>
      <c r="FKG2" s="62"/>
      <c r="FKH2" s="62"/>
      <c r="FKI2" s="62"/>
      <c r="FKJ2" s="62"/>
      <c r="FKK2" s="62"/>
      <c r="FKL2" s="62"/>
      <c r="FKM2" s="62"/>
      <c r="FKN2" s="62"/>
      <c r="FKO2" s="62"/>
      <c r="FKP2" s="62"/>
      <c r="FKQ2" s="62"/>
      <c r="FKR2" s="62"/>
      <c r="FKS2" s="62"/>
      <c r="FKT2" s="62"/>
      <c r="FKU2" s="62"/>
      <c r="FKV2" s="62"/>
      <c r="FKW2" s="62"/>
      <c r="FKX2" s="62"/>
      <c r="FKY2" s="62"/>
      <c r="FKZ2" s="62"/>
      <c r="FLA2" s="62"/>
      <c r="FLB2" s="62"/>
      <c r="FLC2" s="62"/>
      <c r="FLD2" s="62"/>
      <c r="FLE2" s="62"/>
      <c r="FLF2" s="62"/>
      <c r="FLG2" s="62"/>
      <c r="FLH2" s="62"/>
      <c r="FLI2" s="62"/>
      <c r="FLJ2" s="62"/>
      <c r="FLK2" s="62"/>
      <c r="FLL2" s="62"/>
      <c r="FLM2" s="62"/>
      <c r="FLN2" s="62"/>
      <c r="FLO2" s="62"/>
      <c r="FLP2" s="62"/>
      <c r="FLQ2" s="62"/>
      <c r="FLR2" s="62"/>
      <c r="FLS2" s="62"/>
      <c r="FLT2" s="62"/>
      <c r="FLU2" s="62"/>
      <c r="FLV2" s="62"/>
      <c r="FLW2" s="62"/>
      <c r="FLX2" s="62"/>
      <c r="FLY2" s="62"/>
      <c r="FLZ2" s="62"/>
      <c r="FMA2" s="62"/>
      <c r="FMB2" s="62"/>
      <c r="FMC2" s="62"/>
      <c r="FMD2" s="62"/>
      <c r="FME2" s="62"/>
      <c r="FMF2" s="62"/>
      <c r="FMG2" s="62"/>
      <c r="FMH2" s="62"/>
      <c r="FMI2" s="62"/>
      <c r="FMJ2" s="62"/>
      <c r="FMK2" s="62"/>
      <c r="FML2" s="62"/>
      <c r="FMM2" s="62"/>
      <c r="FMN2" s="62"/>
      <c r="FMO2" s="62"/>
      <c r="FMP2" s="62"/>
      <c r="FMQ2" s="62"/>
      <c r="FMR2" s="62"/>
      <c r="FMS2" s="62"/>
      <c r="FMT2" s="62"/>
      <c r="FMU2" s="62"/>
      <c r="FMV2" s="62"/>
      <c r="FMW2" s="62"/>
      <c r="FMX2" s="62"/>
      <c r="FMY2" s="62"/>
      <c r="FMZ2" s="62"/>
      <c r="FNA2" s="62"/>
      <c r="FNB2" s="62"/>
      <c r="FNC2" s="62"/>
      <c r="FND2" s="62"/>
      <c r="FNE2" s="62"/>
      <c r="FNF2" s="62"/>
      <c r="FNG2" s="62"/>
      <c r="FNH2" s="62"/>
      <c r="FNI2" s="62"/>
      <c r="FNJ2" s="62"/>
      <c r="FNK2" s="62"/>
      <c r="FNL2" s="62"/>
      <c r="FNM2" s="62"/>
      <c r="FNN2" s="62"/>
      <c r="FNO2" s="62"/>
      <c r="FNP2" s="62"/>
      <c r="FNQ2" s="62"/>
      <c r="FNR2" s="62"/>
      <c r="FNS2" s="62"/>
      <c r="FNT2" s="62"/>
      <c r="FNU2" s="62"/>
      <c r="FNV2" s="62"/>
      <c r="FNW2" s="62"/>
      <c r="FNX2" s="62"/>
      <c r="FNY2" s="62"/>
      <c r="FNZ2" s="62"/>
      <c r="FOA2" s="62"/>
      <c r="FOB2" s="62"/>
      <c r="FOC2" s="62"/>
      <c r="FOD2" s="62"/>
      <c r="FOE2" s="62"/>
      <c r="FOF2" s="62"/>
      <c r="FOG2" s="62"/>
      <c r="FOH2" s="62"/>
      <c r="FOI2" s="62"/>
      <c r="FOJ2" s="62"/>
      <c r="FOK2" s="62"/>
      <c r="FOL2" s="62"/>
      <c r="FOM2" s="62"/>
      <c r="FON2" s="62"/>
      <c r="FOO2" s="62"/>
      <c r="FOP2" s="62"/>
      <c r="FOQ2" s="62"/>
      <c r="FOR2" s="62"/>
      <c r="FOS2" s="62"/>
      <c r="FOT2" s="62"/>
      <c r="FOU2" s="62"/>
      <c r="FOV2" s="62"/>
      <c r="FOW2" s="62"/>
      <c r="FOX2" s="62"/>
      <c r="FOY2" s="62"/>
      <c r="FOZ2" s="62"/>
      <c r="FPA2" s="62"/>
      <c r="FPB2" s="62"/>
      <c r="FPC2" s="62"/>
      <c r="FPD2" s="62"/>
      <c r="FPE2" s="62"/>
      <c r="FPF2" s="62"/>
      <c r="FPG2" s="62"/>
      <c r="FPH2" s="62"/>
      <c r="FPI2" s="62"/>
      <c r="FPJ2" s="62"/>
      <c r="FPK2" s="62"/>
      <c r="FPL2" s="62"/>
      <c r="FPM2" s="62"/>
      <c r="FPN2" s="62"/>
      <c r="FPO2" s="62"/>
      <c r="FPP2" s="62"/>
      <c r="FPQ2" s="62"/>
      <c r="FPR2" s="62"/>
      <c r="FPS2" s="62"/>
      <c r="FPT2" s="62"/>
      <c r="FPU2" s="62"/>
      <c r="FPV2" s="62"/>
      <c r="FPW2" s="62"/>
      <c r="FPX2" s="62"/>
      <c r="FPY2" s="62"/>
      <c r="FPZ2" s="62"/>
      <c r="FQA2" s="62"/>
      <c r="FQB2" s="62"/>
      <c r="FQC2" s="62"/>
      <c r="FQD2" s="62"/>
      <c r="FQE2" s="62"/>
      <c r="FQF2" s="62"/>
      <c r="FQG2" s="62"/>
      <c r="FQH2" s="62"/>
      <c r="FQI2" s="62"/>
      <c r="FQJ2" s="62"/>
      <c r="FQK2" s="62"/>
      <c r="FQL2" s="62"/>
      <c r="FQM2" s="62"/>
      <c r="FQN2" s="62"/>
      <c r="FQO2" s="62"/>
      <c r="FQP2" s="62"/>
      <c r="FQQ2" s="62"/>
      <c r="FQR2" s="62"/>
      <c r="FQS2" s="62"/>
      <c r="FQT2" s="62"/>
      <c r="FQU2" s="62"/>
      <c r="FQV2" s="62"/>
      <c r="FQW2" s="62"/>
      <c r="FQX2" s="62"/>
      <c r="FQY2" s="62"/>
      <c r="FQZ2" s="62"/>
      <c r="FRA2" s="62"/>
      <c r="FRB2" s="62"/>
      <c r="FRC2" s="62"/>
      <c r="FRD2" s="62"/>
      <c r="FRE2" s="62"/>
      <c r="FRF2" s="62"/>
      <c r="FRG2" s="62"/>
      <c r="FRH2" s="62"/>
      <c r="FRI2" s="62"/>
      <c r="FRJ2" s="62"/>
      <c r="FRK2" s="62"/>
      <c r="FRL2" s="62"/>
      <c r="FRM2" s="62"/>
      <c r="FRN2" s="62"/>
      <c r="FRO2" s="62"/>
      <c r="FRP2" s="62"/>
      <c r="FRQ2" s="62"/>
      <c r="FRR2" s="62"/>
      <c r="FRS2" s="62"/>
      <c r="FRT2" s="62"/>
      <c r="FRU2" s="62"/>
      <c r="FRV2" s="62"/>
      <c r="FRW2" s="62"/>
      <c r="FRX2" s="62"/>
      <c r="FRY2" s="62"/>
      <c r="FRZ2" s="62"/>
      <c r="FSA2" s="62"/>
      <c r="FSB2" s="62"/>
      <c r="FSC2" s="62"/>
      <c r="FSD2" s="62"/>
      <c r="FSE2" s="62"/>
      <c r="FSF2" s="62"/>
      <c r="FSG2" s="62"/>
      <c r="FSH2" s="62"/>
      <c r="FSI2" s="62"/>
      <c r="FSJ2" s="62"/>
      <c r="FSK2" s="62"/>
      <c r="FSL2" s="62"/>
      <c r="FSM2" s="62"/>
      <c r="FSN2" s="62"/>
      <c r="FSO2" s="62"/>
      <c r="FSP2" s="62"/>
      <c r="FSQ2" s="62"/>
      <c r="FSR2" s="62"/>
      <c r="FSS2" s="62"/>
      <c r="FST2" s="62"/>
      <c r="FSU2" s="62"/>
      <c r="FSV2" s="62"/>
      <c r="FSW2" s="62"/>
      <c r="FSX2" s="62"/>
      <c r="FSY2" s="62"/>
      <c r="FSZ2" s="62"/>
      <c r="FTA2" s="62"/>
      <c r="FTB2" s="62"/>
      <c r="FTC2" s="62"/>
      <c r="FTD2" s="62"/>
      <c r="FTE2" s="62"/>
      <c r="FTF2" s="62"/>
      <c r="FTG2" s="62"/>
      <c r="FTH2" s="62"/>
      <c r="FTI2" s="62"/>
      <c r="FTJ2" s="62"/>
      <c r="FTK2" s="62"/>
      <c r="FTL2" s="62"/>
      <c r="FTM2" s="62"/>
      <c r="FTN2" s="62"/>
      <c r="FTO2" s="62"/>
      <c r="FTP2" s="62"/>
      <c r="FTQ2" s="62"/>
      <c r="FTR2" s="62"/>
      <c r="FTS2" s="62"/>
      <c r="FTT2" s="62"/>
      <c r="FTU2" s="62"/>
      <c r="FTV2" s="62"/>
      <c r="FTW2" s="62"/>
      <c r="FTX2" s="62"/>
      <c r="FTY2" s="62"/>
      <c r="FTZ2" s="62"/>
      <c r="FUA2" s="62"/>
      <c r="FUB2" s="62"/>
      <c r="FUC2" s="62"/>
      <c r="FUD2" s="62"/>
      <c r="FUE2" s="62"/>
      <c r="FUF2" s="62"/>
      <c r="FUG2" s="62"/>
      <c r="FUH2" s="62"/>
      <c r="FUI2" s="62"/>
      <c r="FUJ2" s="62"/>
      <c r="FUK2" s="62"/>
      <c r="FUL2" s="62"/>
      <c r="FUM2" s="62"/>
      <c r="FUN2" s="62"/>
      <c r="FUO2" s="62"/>
      <c r="FUP2" s="62"/>
      <c r="FUQ2" s="62"/>
      <c r="FUR2" s="62"/>
      <c r="FUS2" s="62"/>
      <c r="FUT2" s="62"/>
      <c r="FUU2" s="62"/>
      <c r="FUV2" s="62"/>
      <c r="FUW2" s="62"/>
      <c r="FUX2" s="62"/>
      <c r="FUY2" s="62"/>
      <c r="FUZ2" s="62"/>
      <c r="FVA2" s="62"/>
      <c r="FVB2" s="62"/>
      <c r="FVC2" s="62"/>
      <c r="FVD2" s="62"/>
      <c r="FVE2" s="62"/>
      <c r="FVF2" s="62"/>
      <c r="FVG2" s="62"/>
      <c r="FVH2" s="62"/>
      <c r="FVI2" s="62"/>
      <c r="FVJ2" s="62"/>
      <c r="FVK2" s="62"/>
      <c r="FVL2" s="62"/>
      <c r="FVM2" s="62"/>
      <c r="FVN2" s="62"/>
      <c r="FVO2" s="62"/>
      <c r="FVP2" s="62"/>
      <c r="FVQ2" s="62"/>
      <c r="FVR2" s="62"/>
      <c r="FVS2" s="62"/>
      <c r="FVT2" s="62"/>
      <c r="FVU2" s="62"/>
      <c r="FVV2" s="62"/>
      <c r="FVW2" s="62"/>
      <c r="FVX2" s="62"/>
      <c r="FVY2" s="62"/>
      <c r="FVZ2" s="62"/>
      <c r="FWA2" s="62"/>
      <c r="FWB2" s="62"/>
      <c r="FWC2" s="62"/>
      <c r="FWD2" s="62"/>
      <c r="FWE2" s="62"/>
      <c r="FWF2" s="62"/>
      <c r="FWG2" s="62"/>
      <c r="FWH2" s="62"/>
      <c r="FWI2" s="62"/>
      <c r="FWJ2" s="62"/>
      <c r="FWK2" s="62"/>
      <c r="FWL2" s="62"/>
      <c r="FWM2" s="62"/>
      <c r="FWN2" s="62"/>
      <c r="FWO2" s="62"/>
      <c r="FWP2" s="62"/>
      <c r="FWQ2" s="62"/>
      <c r="FWR2" s="62"/>
      <c r="FWS2" s="62"/>
      <c r="FWT2" s="62"/>
      <c r="FWU2" s="62"/>
      <c r="FWV2" s="62"/>
      <c r="FWW2" s="62"/>
      <c r="FWX2" s="62"/>
      <c r="FWY2" s="62"/>
      <c r="FWZ2" s="62"/>
      <c r="FXA2" s="62"/>
      <c r="FXB2" s="62"/>
      <c r="FXC2" s="62"/>
      <c r="FXD2" s="62"/>
      <c r="FXE2" s="62"/>
      <c r="FXF2" s="62"/>
      <c r="FXG2" s="62"/>
      <c r="FXH2" s="62"/>
      <c r="FXI2" s="62"/>
      <c r="FXJ2" s="62"/>
      <c r="FXK2" s="62"/>
      <c r="FXL2" s="62"/>
      <c r="FXM2" s="62"/>
      <c r="FXN2" s="62"/>
      <c r="FXO2" s="62"/>
      <c r="FXP2" s="62"/>
      <c r="FXQ2" s="62"/>
      <c r="FXR2" s="62"/>
      <c r="FXS2" s="62"/>
      <c r="FXT2" s="62"/>
      <c r="FXU2" s="62"/>
      <c r="FXV2" s="62"/>
      <c r="FXW2" s="62"/>
      <c r="FXX2" s="62"/>
      <c r="FXY2" s="62"/>
      <c r="FXZ2" s="62"/>
      <c r="FYA2" s="62"/>
      <c r="FYB2" s="62"/>
      <c r="FYC2" s="62"/>
      <c r="FYD2" s="62"/>
      <c r="FYE2" s="62"/>
      <c r="FYF2" s="62"/>
      <c r="FYG2" s="62"/>
      <c r="FYH2" s="62"/>
      <c r="FYI2" s="62"/>
      <c r="FYJ2" s="62"/>
      <c r="FYK2" s="62"/>
      <c r="FYL2" s="62"/>
      <c r="FYM2" s="62"/>
      <c r="FYN2" s="62"/>
      <c r="FYO2" s="62"/>
      <c r="FYP2" s="62"/>
      <c r="FYQ2" s="62"/>
      <c r="FYR2" s="62"/>
      <c r="FYS2" s="62"/>
      <c r="FYT2" s="62"/>
      <c r="FYU2" s="62"/>
      <c r="FYV2" s="62"/>
      <c r="FYW2" s="62"/>
      <c r="FYX2" s="62"/>
      <c r="FYY2" s="62"/>
      <c r="FYZ2" s="62"/>
      <c r="FZA2" s="62"/>
      <c r="FZB2" s="62"/>
      <c r="FZC2" s="62"/>
      <c r="FZD2" s="62"/>
      <c r="FZE2" s="62"/>
      <c r="FZF2" s="62"/>
      <c r="FZG2" s="62"/>
      <c r="FZH2" s="62"/>
      <c r="FZI2" s="62"/>
      <c r="FZJ2" s="62"/>
      <c r="FZK2" s="62"/>
      <c r="FZL2" s="62"/>
      <c r="FZM2" s="62"/>
      <c r="FZN2" s="62"/>
      <c r="FZO2" s="62"/>
      <c r="FZP2" s="62"/>
      <c r="FZQ2" s="62"/>
      <c r="FZR2" s="62"/>
      <c r="FZS2" s="62"/>
      <c r="FZT2" s="62"/>
      <c r="FZU2" s="62"/>
      <c r="FZV2" s="62"/>
      <c r="FZW2" s="62"/>
      <c r="FZX2" s="62"/>
      <c r="FZY2" s="62"/>
      <c r="FZZ2" s="62"/>
      <c r="GAA2" s="62"/>
      <c r="GAB2" s="62"/>
      <c r="GAC2" s="62"/>
      <c r="GAD2" s="62"/>
      <c r="GAE2" s="62"/>
      <c r="GAF2" s="62"/>
      <c r="GAG2" s="62"/>
      <c r="GAH2" s="62"/>
      <c r="GAI2" s="62"/>
      <c r="GAJ2" s="62"/>
      <c r="GAK2" s="62"/>
      <c r="GAL2" s="62"/>
      <c r="GAM2" s="62"/>
      <c r="GAN2" s="62"/>
      <c r="GAO2" s="62"/>
      <c r="GAP2" s="62"/>
      <c r="GAQ2" s="62"/>
      <c r="GAR2" s="62"/>
      <c r="GAS2" s="62"/>
      <c r="GAT2" s="62"/>
      <c r="GAU2" s="62"/>
      <c r="GAV2" s="62"/>
      <c r="GAW2" s="62"/>
      <c r="GAX2" s="62"/>
      <c r="GAY2" s="62"/>
      <c r="GAZ2" s="62"/>
      <c r="GBA2" s="62"/>
      <c r="GBB2" s="62"/>
      <c r="GBC2" s="62"/>
      <c r="GBD2" s="62"/>
      <c r="GBE2" s="62"/>
      <c r="GBF2" s="62"/>
      <c r="GBG2" s="62"/>
      <c r="GBH2" s="62"/>
      <c r="GBI2" s="62"/>
      <c r="GBJ2" s="62"/>
      <c r="GBK2" s="62"/>
      <c r="GBL2" s="62"/>
      <c r="GBM2" s="62"/>
      <c r="GBN2" s="62"/>
      <c r="GBO2" s="62"/>
      <c r="GBP2" s="62"/>
      <c r="GBQ2" s="62"/>
      <c r="GBR2" s="62"/>
      <c r="GBS2" s="62"/>
      <c r="GBT2" s="62"/>
      <c r="GBU2" s="62"/>
      <c r="GBV2" s="62"/>
      <c r="GBW2" s="62"/>
      <c r="GBX2" s="62"/>
      <c r="GBY2" s="62"/>
      <c r="GBZ2" s="62"/>
      <c r="GCA2" s="62"/>
      <c r="GCB2" s="62"/>
      <c r="GCC2" s="62"/>
      <c r="GCD2" s="62"/>
      <c r="GCE2" s="62"/>
      <c r="GCF2" s="62"/>
      <c r="GCG2" s="62"/>
      <c r="GCH2" s="62"/>
      <c r="GCI2" s="62"/>
      <c r="GCJ2" s="62"/>
      <c r="GCK2" s="62"/>
      <c r="GCL2" s="62"/>
      <c r="GCM2" s="62"/>
      <c r="GCN2" s="62"/>
      <c r="GCO2" s="62"/>
      <c r="GCP2" s="62"/>
      <c r="GCQ2" s="62"/>
      <c r="GCR2" s="62"/>
      <c r="GCS2" s="62"/>
      <c r="GCT2" s="62"/>
      <c r="GCU2" s="62"/>
      <c r="GCV2" s="62"/>
      <c r="GCW2" s="62"/>
      <c r="GCX2" s="62"/>
      <c r="GCY2" s="62"/>
      <c r="GCZ2" s="62"/>
      <c r="GDA2" s="62"/>
      <c r="GDB2" s="62"/>
      <c r="GDC2" s="62"/>
      <c r="GDD2" s="62"/>
      <c r="GDE2" s="62"/>
      <c r="GDF2" s="62"/>
      <c r="GDG2" s="62"/>
      <c r="GDH2" s="62"/>
      <c r="GDI2" s="62"/>
      <c r="GDJ2" s="62"/>
      <c r="GDK2" s="62"/>
      <c r="GDL2" s="62"/>
      <c r="GDM2" s="62"/>
      <c r="GDN2" s="62"/>
      <c r="GDO2" s="62"/>
      <c r="GDP2" s="62"/>
      <c r="GDQ2" s="62"/>
      <c r="GDR2" s="62"/>
      <c r="GDS2" s="62"/>
      <c r="GDT2" s="62"/>
      <c r="GDU2" s="62"/>
      <c r="GDV2" s="62"/>
      <c r="GDW2" s="62"/>
      <c r="GDX2" s="62"/>
      <c r="GDY2" s="62"/>
      <c r="GDZ2" s="62"/>
      <c r="GEA2" s="62"/>
      <c r="GEB2" s="62"/>
      <c r="GEC2" s="62"/>
      <c r="GED2" s="62"/>
      <c r="GEE2" s="62"/>
      <c r="GEF2" s="62"/>
      <c r="GEG2" s="62"/>
      <c r="GEH2" s="62"/>
      <c r="GEI2" s="62"/>
      <c r="GEJ2" s="62"/>
      <c r="GEK2" s="62"/>
      <c r="GEL2" s="62"/>
      <c r="GEM2" s="62"/>
      <c r="GEN2" s="62"/>
      <c r="GEO2" s="62"/>
      <c r="GEP2" s="62"/>
      <c r="GEQ2" s="62"/>
      <c r="GER2" s="62"/>
      <c r="GES2" s="62"/>
      <c r="GET2" s="62"/>
      <c r="GEU2" s="62"/>
      <c r="GEV2" s="62"/>
      <c r="GEW2" s="62"/>
      <c r="GEX2" s="62"/>
      <c r="GEY2" s="62"/>
      <c r="GEZ2" s="62"/>
      <c r="GFA2" s="62"/>
      <c r="GFB2" s="62"/>
      <c r="GFC2" s="62"/>
      <c r="GFD2" s="62"/>
      <c r="GFE2" s="62"/>
      <c r="GFF2" s="62"/>
      <c r="GFG2" s="62"/>
      <c r="GFH2" s="62"/>
      <c r="GFI2" s="62"/>
      <c r="GFJ2" s="62"/>
      <c r="GFK2" s="62"/>
      <c r="GFL2" s="62"/>
      <c r="GFM2" s="62"/>
      <c r="GFN2" s="62"/>
      <c r="GFO2" s="62"/>
      <c r="GFP2" s="62"/>
      <c r="GFQ2" s="62"/>
      <c r="GFR2" s="62"/>
      <c r="GFS2" s="62"/>
      <c r="GFT2" s="62"/>
      <c r="GFU2" s="62"/>
      <c r="GFV2" s="62"/>
      <c r="GFW2" s="62"/>
      <c r="GFX2" s="62"/>
      <c r="GFY2" s="62"/>
      <c r="GFZ2" s="62"/>
      <c r="GGA2" s="62"/>
      <c r="GGB2" s="62"/>
      <c r="GGC2" s="62"/>
      <c r="GGD2" s="62"/>
      <c r="GGE2" s="62"/>
      <c r="GGF2" s="62"/>
      <c r="GGG2" s="62"/>
      <c r="GGH2" s="62"/>
      <c r="GGI2" s="62"/>
      <c r="GGJ2" s="62"/>
      <c r="GGK2" s="62"/>
      <c r="GGL2" s="62"/>
      <c r="GGM2" s="62"/>
      <c r="GGN2" s="62"/>
      <c r="GGO2" s="62"/>
      <c r="GGP2" s="62"/>
      <c r="GGQ2" s="62"/>
      <c r="GGR2" s="62"/>
      <c r="GGS2" s="62"/>
      <c r="GGT2" s="62"/>
      <c r="GGU2" s="62"/>
      <c r="GGV2" s="62"/>
      <c r="GGW2" s="62"/>
      <c r="GGX2" s="62"/>
      <c r="GGY2" s="62"/>
      <c r="GGZ2" s="62"/>
      <c r="GHA2" s="62"/>
      <c r="GHB2" s="62"/>
      <c r="GHC2" s="62"/>
      <c r="GHD2" s="62"/>
      <c r="GHE2" s="62"/>
      <c r="GHF2" s="62"/>
      <c r="GHG2" s="62"/>
      <c r="GHH2" s="62"/>
      <c r="GHI2" s="62"/>
      <c r="GHJ2" s="62"/>
      <c r="GHK2" s="62"/>
      <c r="GHL2" s="62"/>
      <c r="GHM2" s="62"/>
      <c r="GHN2" s="62"/>
      <c r="GHO2" s="62"/>
      <c r="GHP2" s="62"/>
      <c r="GHQ2" s="62"/>
      <c r="GHR2" s="62"/>
      <c r="GHS2" s="62"/>
      <c r="GHT2" s="62"/>
      <c r="GHU2" s="62"/>
      <c r="GHV2" s="62"/>
      <c r="GHW2" s="62"/>
      <c r="GHX2" s="62"/>
      <c r="GHY2" s="62"/>
      <c r="GHZ2" s="62"/>
      <c r="GIA2" s="62"/>
      <c r="GIB2" s="62"/>
      <c r="GIC2" s="62"/>
      <c r="GID2" s="62"/>
      <c r="GIE2" s="62"/>
      <c r="GIF2" s="62"/>
      <c r="GIG2" s="62"/>
      <c r="GIH2" s="62"/>
      <c r="GII2" s="62"/>
      <c r="GIJ2" s="62"/>
      <c r="GIK2" s="62"/>
      <c r="GIL2" s="62"/>
      <c r="GIM2" s="62"/>
      <c r="GIN2" s="62"/>
      <c r="GIO2" s="62"/>
      <c r="GIP2" s="62"/>
      <c r="GIQ2" s="62"/>
      <c r="GIR2" s="62"/>
      <c r="GIS2" s="62"/>
      <c r="GIT2" s="62"/>
      <c r="GIU2" s="62"/>
      <c r="GIV2" s="62"/>
      <c r="GIW2" s="62"/>
      <c r="GIX2" s="62"/>
      <c r="GIY2" s="62"/>
      <c r="GIZ2" s="62"/>
      <c r="GJA2" s="62"/>
      <c r="GJB2" s="62"/>
      <c r="GJC2" s="62"/>
      <c r="GJD2" s="62"/>
      <c r="GJE2" s="62"/>
      <c r="GJF2" s="62"/>
      <c r="GJG2" s="62"/>
      <c r="GJH2" s="62"/>
      <c r="GJI2" s="62"/>
      <c r="GJJ2" s="62"/>
      <c r="GJK2" s="62"/>
      <c r="GJL2" s="62"/>
      <c r="GJM2" s="62"/>
      <c r="GJN2" s="62"/>
      <c r="GJO2" s="62"/>
      <c r="GJP2" s="62"/>
      <c r="GJQ2" s="62"/>
      <c r="GJR2" s="62"/>
      <c r="GJS2" s="62"/>
      <c r="GJT2" s="62"/>
      <c r="GJU2" s="62"/>
      <c r="GJV2" s="62"/>
      <c r="GJW2" s="62"/>
      <c r="GJX2" s="62"/>
      <c r="GJY2" s="62"/>
      <c r="GJZ2" s="62"/>
      <c r="GKA2" s="62"/>
      <c r="GKB2" s="62"/>
      <c r="GKC2" s="62"/>
      <c r="GKD2" s="62"/>
      <c r="GKE2" s="62"/>
      <c r="GKF2" s="62"/>
      <c r="GKG2" s="62"/>
      <c r="GKH2" s="62"/>
      <c r="GKI2" s="62"/>
      <c r="GKJ2" s="62"/>
      <c r="GKK2" s="62"/>
      <c r="GKL2" s="62"/>
      <c r="GKM2" s="62"/>
      <c r="GKN2" s="62"/>
      <c r="GKO2" s="62"/>
      <c r="GKP2" s="62"/>
      <c r="GKQ2" s="62"/>
      <c r="GKR2" s="62"/>
      <c r="GKS2" s="62"/>
      <c r="GKT2" s="62"/>
      <c r="GKU2" s="62"/>
      <c r="GKV2" s="62"/>
      <c r="GKW2" s="62"/>
      <c r="GKX2" s="62"/>
      <c r="GKY2" s="62"/>
      <c r="GKZ2" s="62"/>
      <c r="GLA2" s="62"/>
      <c r="GLB2" s="62"/>
      <c r="GLC2" s="62"/>
      <c r="GLD2" s="62"/>
      <c r="GLE2" s="62"/>
      <c r="GLF2" s="62"/>
      <c r="GLG2" s="62"/>
      <c r="GLH2" s="62"/>
      <c r="GLI2" s="62"/>
      <c r="GLJ2" s="62"/>
      <c r="GLK2" s="62"/>
      <c r="GLL2" s="62"/>
      <c r="GLM2" s="62"/>
      <c r="GLN2" s="62"/>
      <c r="GLO2" s="62"/>
      <c r="GLP2" s="62"/>
      <c r="GLQ2" s="62"/>
      <c r="GLR2" s="62"/>
      <c r="GLS2" s="62"/>
      <c r="GLT2" s="62"/>
      <c r="GLU2" s="62"/>
      <c r="GLV2" s="62"/>
      <c r="GLW2" s="62"/>
      <c r="GLX2" s="62"/>
      <c r="GLY2" s="62"/>
      <c r="GLZ2" s="62"/>
      <c r="GMA2" s="62"/>
      <c r="GMB2" s="62"/>
      <c r="GMC2" s="62"/>
      <c r="GMD2" s="62"/>
      <c r="GME2" s="62"/>
      <c r="GMF2" s="62"/>
      <c r="GMG2" s="62"/>
      <c r="GMH2" s="62"/>
      <c r="GMI2" s="62"/>
      <c r="GMJ2" s="62"/>
      <c r="GMK2" s="62"/>
      <c r="GML2" s="62"/>
      <c r="GMM2" s="62"/>
      <c r="GMN2" s="62"/>
      <c r="GMO2" s="62"/>
      <c r="GMP2" s="62"/>
      <c r="GMQ2" s="62"/>
      <c r="GMR2" s="62"/>
      <c r="GMS2" s="62"/>
      <c r="GMT2" s="62"/>
      <c r="GMU2" s="62"/>
      <c r="GMV2" s="62"/>
      <c r="GMW2" s="62"/>
      <c r="GMX2" s="62"/>
      <c r="GMY2" s="62"/>
      <c r="GMZ2" s="62"/>
      <c r="GNA2" s="62"/>
      <c r="GNB2" s="62"/>
      <c r="GNC2" s="62"/>
      <c r="GND2" s="62"/>
      <c r="GNE2" s="62"/>
      <c r="GNF2" s="62"/>
      <c r="GNG2" s="62"/>
      <c r="GNH2" s="62"/>
      <c r="GNI2" s="62"/>
      <c r="GNJ2" s="62"/>
      <c r="GNK2" s="62"/>
      <c r="GNL2" s="62"/>
      <c r="GNM2" s="62"/>
      <c r="GNN2" s="62"/>
      <c r="GNO2" s="62"/>
      <c r="GNP2" s="62"/>
      <c r="GNQ2" s="62"/>
      <c r="GNR2" s="62"/>
      <c r="GNS2" s="62"/>
      <c r="GNT2" s="62"/>
      <c r="GNU2" s="62"/>
      <c r="GNV2" s="62"/>
      <c r="GNW2" s="62"/>
      <c r="GNX2" s="62"/>
      <c r="GNY2" s="62"/>
      <c r="GNZ2" s="62"/>
      <c r="GOA2" s="62"/>
      <c r="GOB2" s="62"/>
      <c r="GOC2" s="62"/>
      <c r="GOD2" s="62"/>
      <c r="GOE2" s="62"/>
      <c r="GOF2" s="62"/>
      <c r="GOG2" s="62"/>
      <c r="GOH2" s="62"/>
      <c r="GOI2" s="62"/>
      <c r="GOJ2" s="62"/>
      <c r="GOK2" s="62"/>
      <c r="GOL2" s="62"/>
      <c r="GOM2" s="62"/>
      <c r="GON2" s="62"/>
      <c r="GOO2" s="62"/>
      <c r="GOP2" s="62"/>
      <c r="GOQ2" s="62"/>
      <c r="GOR2" s="62"/>
      <c r="GOS2" s="62"/>
      <c r="GOT2" s="62"/>
      <c r="GOU2" s="62"/>
      <c r="GOV2" s="62"/>
      <c r="GOW2" s="62"/>
      <c r="GOX2" s="62"/>
      <c r="GOY2" s="62"/>
      <c r="GOZ2" s="62"/>
      <c r="GPA2" s="62"/>
      <c r="GPB2" s="62"/>
      <c r="GPC2" s="62"/>
      <c r="GPD2" s="62"/>
      <c r="GPE2" s="62"/>
      <c r="GPF2" s="62"/>
      <c r="GPG2" s="62"/>
      <c r="GPH2" s="62"/>
      <c r="GPI2" s="62"/>
      <c r="GPJ2" s="62"/>
      <c r="GPK2" s="62"/>
      <c r="GPL2" s="62"/>
      <c r="GPM2" s="62"/>
      <c r="GPN2" s="62"/>
      <c r="GPO2" s="62"/>
      <c r="GPP2" s="62"/>
      <c r="GPQ2" s="62"/>
      <c r="GPR2" s="62"/>
      <c r="GPS2" s="62"/>
      <c r="GPT2" s="62"/>
      <c r="GPU2" s="62"/>
      <c r="GPV2" s="62"/>
      <c r="GPW2" s="62"/>
      <c r="GPX2" s="62"/>
      <c r="GPY2" s="62"/>
      <c r="GPZ2" s="62"/>
      <c r="GQA2" s="62"/>
      <c r="GQB2" s="62"/>
      <c r="GQC2" s="62"/>
      <c r="GQD2" s="62"/>
      <c r="GQE2" s="62"/>
      <c r="GQF2" s="62"/>
      <c r="GQG2" s="62"/>
      <c r="GQH2" s="62"/>
      <c r="GQI2" s="62"/>
      <c r="GQJ2" s="62"/>
      <c r="GQK2" s="62"/>
      <c r="GQL2" s="62"/>
      <c r="GQM2" s="62"/>
      <c r="GQN2" s="62"/>
      <c r="GQO2" s="62"/>
      <c r="GQP2" s="62"/>
      <c r="GQQ2" s="62"/>
      <c r="GQR2" s="62"/>
      <c r="GQS2" s="62"/>
      <c r="GQT2" s="62"/>
      <c r="GQU2" s="62"/>
      <c r="GQV2" s="62"/>
      <c r="GQW2" s="62"/>
      <c r="GQX2" s="62"/>
      <c r="GQY2" s="62"/>
      <c r="GQZ2" s="62"/>
      <c r="GRA2" s="62"/>
      <c r="GRB2" s="62"/>
      <c r="GRC2" s="62"/>
      <c r="GRD2" s="62"/>
      <c r="GRE2" s="62"/>
      <c r="GRF2" s="62"/>
      <c r="GRG2" s="62"/>
      <c r="GRH2" s="62"/>
      <c r="GRI2" s="62"/>
      <c r="GRJ2" s="62"/>
      <c r="GRK2" s="62"/>
      <c r="GRL2" s="62"/>
      <c r="GRM2" s="62"/>
      <c r="GRN2" s="62"/>
      <c r="GRO2" s="62"/>
      <c r="GRP2" s="62"/>
      <c r="GRQ2" s="62"/>
      <c r="GRR2" s="62"/>
      <c r="GRS2" s="62"/>
      <c r="GRT2" s="62"/>
      <c r="GRU2" s="62"/>
      <c r="GRV2" s="62"/>
      <c r="GRW2" s="62"/>
      <c r="GRX2" s="62"/>
      <c r="GRY2" s="62"/>
      <c r="GRZ2" s="62"/>
      <c r="GSA2" s="62"/>
      <c r="GSB2" s="62"/>
      <c r="GSC2" s="62"/>
      <c r="GSD2" s="62"/>
      <c r="GSE2" s="62"/>
      <c r="GSF2" s="62"/>
      <c r="GSG2" s="62"/>
      <c r="GSH2" s="62"/>
      <c r="GSI2" s="62"/>
      <c r="GSJ2" s="62"/>
      <c r="GSK2" s="62"/>
      <c r="GSL2" s="62"/>
      <c r="GSM2" s="62"/>
      <c r="GSN2" s="62"/>
      <c r="GSO2" s="62"/>
      <c r="GSP2" s="62"/>
      <c r="GSQ2" s="62"/>
      <c r="GSR2" s="62"/>
      <c r="GSS2" s="62"/>
      <c r="GST2" s="62"/>
      <c r="GSU2" s="62"/>
      <c r="GSV2" s="62"/>
      <c r="GSW2" s="62"/>
      <c r="GSX2" s="62"/>
      <c r="GSY2" s="62"/>
      <c r="GSZ2" s="62"/>
      <c r="GTA2" s="62"/>
      <c r="GTB2" s="62"/>
      <c r="GTC2" s="62"/>
      <c r="GTD2" s="62"/>
      <c r="GTE2" s="62"/>
      <c r="GTF2" s="62"/>
      <c r="GTG2" s="62"/>
      <c r="GTH2" s="62"/>
      <c r="GTI2" s="62"/>
      <c r="GTJ2" s="62"/>
      <c r="GTK2" s="62"/>
      <c r="GTL2" s="62"/>
      <c r="GTM2" s="62"/>
      <c r="GTN2" s="62"/>
      <c r="GTO2" s="62"/>
      <c r="GTP2" s="62"/>
      <c r="GTQ2" s="62"/>
      <c r="GTR2" s="62"/>
      <c r="GTS2" s="62"/>
      <c r="GTT2" s="62"/>
      <c r="GTU2" s="62"/>
      <c r="GTV2" s="62"/>
      <c r="GTW2" s="62"/>
      <c r="GTX2" s="62"/>
      <c r="GTY2" s="62"/>
      <c r="GTZ2" s="62"/>
      <c r="GUA2" s="62"/>
      <c r="GUB2" s="62"/>
      <c r="GUC2" s="62"/>
      <c r="GUD2" s="62"/>
      <c r="GUE2" s="62"/>
      <c r="GUF2" s="62"/>
      <c r="GUG2" s="62"/>
      <c r="GUH2" s="62"/>
      <c r="GUI2" s="62"/>
      <c r="GUJ2" s="62"/>
      <c r="GUK2" s="62"/>
      <c r="GUL2" s="62"/>
      <c r="GUM2" s="62"/>
      <c r="GUN2" s="62"/>
      <c r="GUO2" s="62"/>
      <c r="GUP2" s="62"/>
      <c r="GUQ2" s="62"/>
      <c r="GUR2" s="62"/>
      <c r="GUS2" s="62"/>
      <c r="GUT2" s="62"/>
      <c r="GUU2" s="62"/>
      <c r="GUV2" s="62"/>
      <c r="GUW2" s="62"/>
      <c r="GUX2" s="62"/>
      <c r="GUY2" s="62"/>
      <c r="GUZ2" s="62"/>
      <c r="GVA2" s="62"/>
      <c r="GVB2" s="62"/>
      <c r="GVC2" s="62"/>
      <c r="GVD2" s="62"/>
      <c r="GVE2" s="62"/>
      <c r="GVF2" s="62"/>
      <c r="GVG2" s="62"/>
      <c r="GVH2" s="62"/>
      <c r="GVI2" s="62"/>
      <c r="GVJ2" s="62"/>
      <c r="GVK2" s="62"/>
      <c r="GVL2" s="62"/>
      <c r="GVM2" s="62"/>
      <c r="GVN2" s="62"/>
      <c r="GVO2" s="62"/>
      <c r="GVP2" s="62"/>
      <c r="GVQ2" s="62"/>
      <c r="GVR2" s="62"/>
      <c r="GVS2" s="62"/>
      <c r="GVT2" s="62"/>
      <c r="GVU2" s="62"/>
      <c r="GVV2" s="62"/>
      <c r="GVW2" s="62"/>
      <c r="GVX2" s="62"/>
      <c r="GVY2" s="62"/>
      <c r="GVZ2" s="62"/>
      <c r="GWA2" s="62"/>
      <c r="GWB2" s="62"/>
      <c r="GWC2" s="62"/>
      <c r="GWD2" s="62"/>
      <c r="GWE2" s="62"/>
      <c r="GWF2" s="62"/>
      <c r="GWG2" s="62"/>
      <c r="GWH2" s="62"/>
      <c r="GWI2" s="62"/>
      <c r="GWJ2" s="62"/>
      <c r="GWK2" s="62"/>
      <c r="GWL2" s="62"/>
      <c r="GWM2" s="62"/>
      <c r="GWN2" s="62"/>
      <c r="GWO2" s="62"/>
      <c r="GWP2" s="62"/>
      <c r="GWQ2" s="62"/>
      <c r="GWR2" s="62"/>
      <c r="GWS2" s="62"/>
      <c r="GWT2" s="62"/>
      <c r="GWU2" s="62"/>
      <c r="GWV2" s="62"/>
      <c r="GWW2" s="62"/>
      <c r="GWX2" s="62"/>
      <c r="GWY2" s="62"/>
      <c r="GWZ2" s="62"/>
      <c r="GXA2" s="62"/>
      <c r="GXB2" s="62"/>
      <c r="GXC2" s="62"/>
      <c r="GXD2" s="62"/>
      <c r="GXE2" s="62"/>
      <c r="GXF2" s="62"/>
      <c r="GXG2" s="62"/>
      <c r="GXH2" s="62"/>
      <c r="GXI2" s="62"/>
      <c r="GXJ2" s="62"/>
      <c r="GXK2" s="62"/>
      <c r="GXL2" s="62"/>
      <c r="GXM2" s="62"/>
      <c r="GXN2" s="62"/>
      <c r="GXO2" s="62"/>
      <c r="GXP2" s="62"/>
      <c r="GXQ2" s="62"/>
      <c r="GXR2" s="62"/>
      <c r="GXS2" s="62"/>
      <c r="GXT2" s="62"/>
      <c r="GXU2" s="62"/>
      <c r="GXV2" s="62"/>
      <c r="GXW2" s="62"/>
      <c r="GXX2" s="62"/>
      <c r="GXY2" s="62"/>
      <c r="GXZ2" s="62"/>
      <c r="GYA2" s="62"/>
      <c r="GYB2" s="62"/>
      <c r="GYC2" s="62"/>
      <c r="GYD2" s="62"/>
      <c r="GYE2" s="62"/>
      <c r="GYF2" s="62"/>
      <c r="GYG2" s="62"/>
      <c r="GYH2" s="62"/>
      <c r="GYI2" s="62"/>
      <c r="GYJ2" s="62"/>
      <c r="GYK2" s="62"/>
      <c r="GYL2" s="62"/>
      <c r="GYM2" s="62"/>
      <c r="GYN2" s="62"/>
      <c r="GYO2" s="62"/>
      <c r="GYP2" s="62"/>
      <c r="GYQ2" s="62"/>
      <c r="GYR2" s="62"/>
      <c r="GYS2" s="62"/>
      <c r="GYT2" s="62"/>
      <c r="GYU2" s="62"/>
      <c r="GYV2" s="62"/>
      <c r="GYW2" s="62"/>
      <c r="GYX2" s="62"/>
      <c r="GYY2" s="62"/>
      <c r="GYZ2" s="62"/>
      <c r="GZA2" s="62"/>
      <c r="GZB2" s="62"/>
      <c r="GZC2" s="62"/>
      <c r="GZD2" s="62"/>
      <c r="GZE2" s="62"/>
      <c r="GZF2" s="62"/>
      <c r="GZG2" s="62"/>
      <c r="GZH2" s="62"/>
      <c r="GZI2" s="62"/>
      <c r="GZJ2" s="62"/>
      <c r="GZK2" s="62"/>
      <c r="GZL2" s="62"/>
      <c r="GZM2" s="62"/>
      <c r="GZN2" s="62"/>
      <c r="GZO2" s="62"/>
      <c r="GZP2" s="62"/>
      <c r="GZQ2" s="62"/>
      <c r="GZR2" s="62"/>
      <c r="GZS2" s="62"/>
      <c r="GZT2" s="62"/>
      <c r="GZU2" s="62"/>
      <c r="GZV2" s="62"/>
      <c r="GZW2" s="62"/>
      <c r="GZX2" s="62"/>
      <c r="GZY2" s="62"/>
      <c r="GZZ2" s="62"/>
      <c r="HAA2" s="62"/>
      <c r="HAB2" s="62"/>
      <c r="HAC2" s="62"/>
      <c r="HAD2" s="62"/>
      <c r="HAE2" s="62"/>
      <c r="HAF2" s="62"/>
      <c r="HAG2" s="62"/>
      <c r="HAH2" s="62"/>
      <c r="HAI2" s="62"/>
      <c r="HAJ2" s="62"/>
      <c r="HAK2" s="62"/>
      <c r="HAL2" s="62"/>
      <c r="HAM2" s="62"/>
      <c r="HAN2" s="62"/>
      <c r="HAO2" s="62"/>
      <c r="HAP2" s="62"/>
      <c r="HAQ2" s="62"/>
      <c r="HAR2" s="62"/>
      <c r="HAS2" s="62"/>
      <c r="HAT2" s="62"/>
      <c r="HAU2" s="62"/>
      <c r="HAV2" s="62"/>
      <c r="HAW2" s="62"/>
      <c r="HAX2" s="62"/>
      <c r="HAY2" s="62"/>
      <c r="HAZ2" s="62"/>
      <c r="HBA2" s="62"/>
      <c r="HBB2" s="62"/>
      <c r="HBC2" s="62"/>
      <c r="HBD2" s="62"/>
      <c r="HBE2" s="62"/>
      <c r="HBF2" s="62"/>
      <c r="HBG2" s="62"/>
      <c r="HBH2" s="62"/>
      <c r="HBI2" s="62"/>
      <c r="HBJ2" s="62"/>
      <c r="HBK2" s="62"/>
      <c r="HBL2" s="62"/>
      <c r="HBM2" s="62"/>
      <c r="HBN2" s="62"/>
      <c r="HBO2" s="62"/>
      <c r="HBP2" s="62"/>
      <c r="HBQ2" s="62"/>
      <c r="HBR2" s="62"/>
      <c r="HBS2" s="62"/>
      <c r="HBT2" s="62"/>
      <c r="HBU2" s="62"/>
      <c r="HBV2" s="62"/>
      <c r="HBW2" s="62"/>
      <c r="HBX2" s="62"/>
      <c r="HBY2" s="62"/>
      <c r="HBZ2" s="62"/>
      <c r="HCA2" s="62"/>
      <c r="HCB2" s="62"/>
      <c r="HCC2" s="62"/>
      <c r="HCD2" s="62"/>
      <c r="HCE2" s="62"/>
      <c r="HCF2" s="62"/>
      <c r="HCG2" s="62"/>
      <c r="HCH2" s="62"/>
      <c r="HCI2" s="62"/>
      <c r="HCJ2" s="62"/>
      <c r="HCK2" s="62"/>
      <c r="HCL2" s="62"/>
      <c r="HCM2" s="62"/>
      <c r="HCN2" s="62"/>
      <c r="HCO2" s="62"/>
      <c r="HCP2" s="62"/>
      <c r="HCQ2" s="62"/>
      <c r="HCR2" s="62"/>
      <c r="HCS2" s="62"/>
      <c r="HCT2" s="62"/>
      <c r="HCU2" s="62"/>
      <c r="HCV2" s="62"/>
      <c r="HCW2" s="62"/>
      <c r="HCX2" s="62"/>
      <c r="HCY2" s="62"/>
      <c r="HCZ2" s="62"/>
      <c r="HDA2" s="62"/>
      <c r="HDB2" s="62"/>
      <c r="HDC2" s="62"/>
      <c r="HDD2" s="62"/>
      <c r="HDE2" s="62"/>
      <c r="HDF2" s="62"/>
      <c r="HDG2" s="62"/>
      <c r="HDH2" s="62"/>
      <c r="HDI2" s="62"/>
      <c r="HDJ2" s="62"/>
      <c r="HDK2" s="62"/>
      <c r="HDL2" s="62"/>
      <c r="HDM2" s="62"/>
      <c r="HDN2" s="62"/>
      <c r="HDO2" s="62"/>
      <c r="HDP2" s="62"/>
      <c r="HDQ2" s="62"/>
      <c r="HDR2" s="62"/>
      <c r="HDS2" s="62"/>
      <c r="HDT2" s="62"/>
      <c r="HDU2" s="62"/>
      <c r="HDV2" s="62"/>
      <c r="HDW2" s="62"/>
      <c r="HDX2" s="62"/>
      <c r="HDY2" s="62"/>
      <c r="HDZ2" s="62"/>
      <c r="HEA2" s="62"/>
      <c r="HEB2" s="62"/>
      <c r="HEC2" s="62"/>
      <c r="HED2" s="62"/>
      <c r="HEE2" s="62"/>
      <c r="HEF2" s="62"/>
      <c r="HEG2" s="62"/>
      <c r="HEH2" s="62"/>
      <c r="HEI2" s="62"/>
      <c r="HEJ2" s="62"/>
      <c r="HEK2" s="62"/>
      <c r="HEL2" s="62"/>
      <c r="HEM2" s="62"/>
      <c r="HEN2" s="62"/>
      <c r="HEO2" s="62"/>
      <c r="HEP2" s="62"/>
      <c r="HEQ2" s="62"/>
      <c r="HER2" s="62"/>
      <c r="HES2" s="62"/>
      <c r="HET2" s="62"/>
      <c r="HEU2" s="62"/>
      <c r="HEV2" s="62"/>
      <c r="HEW2" s="62"/>
      <c r="HEX2" s="62"/>
      <c r="HEY2" s="62"/>
      <c r="HEZ2" s="62"/>
      <c r="HFA2" s="62"/>
      <c r="HFB2" s="62"/>
      <c r="HFC2" s="62"/>
      <c r="HFD2" s="62"/>
      <c r="HFE2" s="62"/>
      <c r="HFF2" s="62"/>
      <c r="HFG2" s="62"/>
      <c r="HFH2" s="62"/>
      <c r="HFI2" s="62"/>
      <c r="HFJ2" s="62"/>
      <c r="HFK2" s="62"/>
      <c r="HFL2" s="62"/>
      <c r="HFM2" s="62"/>
      <c r="HFN2" s="62"/>
      <c r="HFO2" s="62"/>
      <c r="HFP2" s="62"/>
      <c r="HFQ2" s="62"/>
      <c r="HFR2" s="62"/>
      <c r="HFS2" s="62"/>
      <c r="HFT2" s="62"/>
      <c r="HFU2" s="62"/>
      <c r="HFV2" s="62"/>
      <c r="HFW2" s="62"/>
      <c r="HFX2" s="62"/>
      <c r="HFY2" s="62"/>
      <c r="HFZ2" s="62"/>
      <c r="HGA2" s="62"/>
      <c r="HGB2" s="62"/>
      <c r="HGC2" s="62"/>
      <c r="HGD2" s="62"/>
      <c r="HGE2" s="62"/>
      <c r="HGF2" s="62"/>
      <c r="HGG2" s="62"/>
      <c r="HGH2" s="62"/>
      <c r="HGI2" s="62"/>
      <c r="HGJ2" s="62"/>
      <c r="HGK2" s="62"/>
      <c r="HGL2" s="62"/>
      <c r="HGM2" s="62"/>
      <c r="HGN2" s="62"/>
      <c r="HGO2" s="62"/>
      <c r="HGP2" s="62"/>
      <c r="HGQ2" s="62"/>
      <c r="HGR2" s="62"/>
      <c r="HGS2" s="62"/>
      <c r="HGT2" s="62"/>
      <c r="HGU2" s="62"/>
      <c r="HGV2" s="62"/>
      <c r="HGW2" s="62"/>
      <c r="HGX2" s="62"/>
      <c r="HGY2" s="62"/>
      <c r="HGZ2" s="62"/>
      <c r="HHA2" s="62"/>
      <c r="HHB2" s="62"/>
      <c r="HHC2" s="62"/>
      <c r="HHD2" s="62"/>
      <c r="HHE2" s="62"/>
      <c r="HHF2" s="62"/>
      <c r="HHG2" s="62"/>
      <c r="HHH2" s="62"/>
      <c r="HHI2" s="62"/>
      <c r="HHJ2" s="62"/>
      <c r="HHK2" s="62"/>
      <c r="HHL2" s="62"/>
      <c r="HHM2" s="62"/>
      <c r="HHN2" s="62"/>
      <c r="HHO2" s="62"/>
      <c r="HHP2" s="62"/>
      <c r="HHQ2" s="62"/>
      <c r="HHR2" s="62"/>
      <c r="HHS2" s="62"/>
      <c r="HHT2" s="62"/>
      <c r="HHU2" s="62"/>
      <c r="HHV2" s="62"/>
      <c r="HHW2" s="62"/>
      <c r="HHX2" s="62"/>
      <c r="HHY2" s="62"/>
      <c r="HHZ2" s="62"/>
      <c r="HIA2" s="62"/>
      <c r="HIB2" s="62"/>
      <c r="HIC2" s="62"/>
      <c r="HID2" s="62"/>
      <c r="HIE2" s="62"/>
      <c r="HIF2" s="62"/>
      <c r="HIG2" s="62"/>
      <c r="HIH2" s="62"/>
      <c r="HII2" s="62"/>
      <c r="HIJ2" s="62"/>
      <c r="HIK2" s="62"/>
      <c r="HIL2" s="62"/>
      <c r="HIM2" s="62"/>
      <c r="HIN2" s="62"/>
      <c r="HIO2" s="62"/>
      <c r="HIP2" s="62"/>
      <c r="HIQ2" s="62"/>
      <c r="HIR2" s="62"/>
      <c r="HIS2" s="62"/>
      <c r="HIT2" s="62"/>
      <c r="HIU2" s="62"/>
      <c r="HIV2" s="62"/>
      <c r="HIW2" s="62"/>
      <c r="HIX2" s="62"/>
      <c r="HIY2" s="62"/>
      <c r="HIZ2" s="62"/>
      <c r="HJA2" s="62"/>
      <c r="HJB2" s="62"/>
      <c r="HJC2" s="62"/>
      <c r="HJD2" s="62"/>
      <c r="HJE2" s="62"/>
      <c r="HJF2" s="62"/>
      <c r="HJG2" s="62"/>
      <c r="HJH2" s="62"/>
      <c r="HJI2" s="62"/>
      <c r="HJJ2" s="62"/>
      <c r="HJK2" s="62"/>
      <c r="HJL2" s="62"/>
      <c r="HJM2" s="62"/>
      <c r="HJN2" s="62"/>
      <c r="HJO2" s="62"/>
      <c r="HJP2" s="62"/>
      <c r="HJQ2" s="62"/>
      <c r="HJR2" s="62"/>
      <c r="HJS2" s="62"/>
      <c r="HJT2" s="62"/>
      <c r="HJU2" s="62"/>
      <c r="HJV2" s="62"/>
      <c r="HJW2" s="62"/>
      <c r="HJX2" s="62"/>
      <c r="HJY2" s="62"/>
      <c r="HJZ2" s="62"/>
      <c r="HKA2" s="62"/>
      <c r="HKB2" s="62"/>
      <c r="HKC2" s="62"/>
      <c r="HKD2" s="62"/>
      <c r="HKE2" s="62"/>
      <c r="HKF2" s="62"/>
      <c r="HKG2" s="62"/>
      <c r="HKH2" s="62"/>
      <c r="HKI2" s="62"/>
      <c r="HKJ2" s="62"/>
      <c r="HKK2" s="62"/>
      <c r="HKL2" s="62"/>
      <c r="HKM2" s="62"/>
      <c r="HKN2" s="62"/>
      <c r="HKO2" s="62"/>
      <c r="HKP2" s="62"/>
      <c r="HKQ2" s="62"/>
      <c r="HKR2" s="62"/>
      <c r="HKS2" s="62"/>
      <c r="HKT2" s="62"/>
      <c r="HKU2" s="62"/>
      <c r="HKV2" s="62"/>
      <c r="HKW2" s="62"/>
      <c r="HKX2" s="62"/>
      <c r="HKY2" s="62"/>
      <c r="HKZ2" s="62"/>
      <c r="HLA2" s="62"/>
      <c r="HLB2" s="62"/>
      <c r="HLC2" s="62"/>
      <c r="HLD2" s="62"/>
      <c r="HLE2" s="62"/>
      <c r="HLF2" s="62"/>
      <c r="HLG2" s="62"/>
      <c r="HLH2" s="62"/>
      <c r="HLI2" s="62"/>
      <c r="HLJ2" s="62"/>
      <c r="HLK2" s="62"/>
      <c r="HLL2" s="62"/>
      <c r="HLM2" s="62"/>
      <c r="HLN2" s="62"/>
      <c r="HLO2" s="62"/>
      <c r="HLP2" s="62"/>
      <c r="HLQ2" s="62"/>
      <c r="HLR2" s="62"/>
      <c r="HLS2" s="62"/>
      <c r="HLT2" s="62"/>
      <c r="HLU2" s="62"/>
      <c r="HLV2" s="62"/>
      <c r="HLW2" s="62"/>
      <c r="HLX2" s="62"/>
      <c r="HLY2" s="62"/>
      <c r="HLZ2" s="62"/>
      <c r="HMA2" s="62"/>
      <c r="HMB2" s="62"/>
      <c r="HMC2" s="62"/>
      <c r="HMD2" s="62"/>
      <c r="HME2" s="62"/>
      <c r="HMF2" s="62"/>
      <c r="HMG2" s="62"/>
      <c r="HMH2" s="62"/>
      <c r="HMI2" s="62"/>
      <c r="HMJ2" s="62"/>
      <c r="HMK2" s="62"/>
      <c r="HML2" s="62"/>
      <c r="HMM2" s="62"/>
      <c r="HMN2" s="62"/>
      <c r="HMO2" s="62"/>
      <c r="HMP2" s="62"/>
      <c r="HMQ2" s="62"/>
      <c r="HMR2" s="62"/>
      <c r="HMS2" s="62"/>
      <c r="HMT2" s="62"/>
      <c r="HMU2" s="62"/>
      <c r="HMV2" s="62"/>
      <c r="HMW2" s="62"/>
      <c r="HMX2" s="62"/>
      <c r="HMY2" s="62"/>
      <c r="HMZ2" s="62"/>
      <c r="HNA2" s="62"/>
      <c r="HNB2" s="62"/>
      <c r="HNC2" s="62"/>
      <c r="HND2" s="62"/>
      <c r="HNE2" s="62"/>
      <c r="HNF2" s="62"/>
      <c r="HNG2" s="62"/>
      <c r="HNH2" s="62"/>
      <c r="HNI2" s="62"/>
      <c r="HNJ2" s="62"/>
      <c r="HNK2" s="62"/>
      <c r="HNL2" s="62"/>
      <c r="HNM2" s="62"/>
      <c r="HNN2" s="62"/>
      <c r="HNO2" s="62"/>
      <c r="HNP2" s="62"/>
      <c r="HNQ2" s="62"/>
      <c r="HNR2" s="62"/>
      <c r="HNS2" s="62"/>
      <c r="HNT2" s="62"/>
      <c r="HNU2" s="62"/>
      <c r="HNV2" s="62"/>
      <c r="HNW2" s="62"/>
      <c r="HNX2" s="62"/>
      <c r="HNY2" s="62"/>
      <c r="HNZ2" s="62"/>
      <c r="HOA2" s="62"/>
      <c r="HOB2" s="62"/>
      <c r="HOC2" s="62"/>
      <c r="HOD2" s="62"/>
      <c r="HOE2" s="62"/>
      <c r="HOF2" s="62"/>
      <c r="HOG2" s="62"/>
      <c r="HOH2" s="62"/>
      <c r="HOI2" s="62"/>
      <c r="HOJ2" s="62"/>
      <c r="HOK2" s="62"/>
      <c r="HOL2" s="62"/>
      <c r="HOM2" s="62"/>
      <c r="HON2" s="62"/>
      <c r="HOO2" s="62"/>
      <c r="HOP2" s="62"/>
      <c r="HOQ2" s="62"/>
      <c r="HOR2" s="62"/>
      <c r="HOS2" s="62"/>
      <c r="HOT2" s="62"/>
      <c r="HOU2" s="62"/>
      <c r="HOV2" s="62"/>
      <c r="HOW2" s="62"/>
      <c r="HOX2" s="62"/>
      <c r="HOY2" s="62"/>
      <c r="HOZ2" s="62"/>
      <c r="HPA2" s="62"/>
      <c r="HPB2" s="62"/>
      <c r="HPC2" s="62"/>
      <c r="HPD2" s="62"/>
      <c r="HPE2" s="62"/>
      <c r="HPF2" s="62"/>
      <c r="HPG2" s="62"/>
      <c r="HPH2" s="62"/>
      <c r="HPI2" s="62"/>
      <c r="HPJ2" s="62"/>
      <c r="HPK2" s="62"/>
      <c r="HPL2" s="62"/>
      <c r="HPM2" s="62"/>
      <c r="HPN2" s="62"/>
      <c r="HPO2" s="62"/>
      <c r="HPP2" s="62"/>
      <c r="HPQ2" s="62"/>
      <c r="HPR2" s="62"/>
      <c r="HPS2" s="62"/>
      <c r="HPT2" s="62"/>
      <c r="HPU2" s="62"/>
      <c r="HPV2" s="62"/>
      <c r="HPW2" s="62"/>
      <c r="HPX2" s="62"/>
      <c r="HPY2" s="62"/>
      <c r="HPZ2" s="62"/>
      <c r="HQA2" s="62"/>
      <c r="HQB2" s="62"/>
      <c r="HQC2" s="62"/>
      <c r="HQD2" s="62"/>
      <c r="HQE2" s="62"/>
      <c r="HQF2" s="62"/>
      <c r="HQG2" s="62"/>
      <c r="HQH2" s="62"/>
      <c r="HQI2" s="62"/>
      <c r="HQJ2" s="62"/>
      <c r="HQK2" s="62"/>
      <c r="HQL2" s="62"/>
      <c r="HQM2" s="62"/>
      <c r="HQN2" s="62"/>
      <c r="HQO2" s="62"/>
      <c r="HQP2" s="62"/>
      <c r="HQQ2" s="62"/>
      <c r="HQR2" s="62"/>
      <c r="HQS2" s="62"/>
      <c r="HQT2" s="62"/>
      <c r="HQU2" s="62"/>
      <c r="HQV2" s="62"/>
      <c r="HQW2" s="62"/>
      <c r="HQX2" s="62"/>
      <c r="HQY2" s="62"/>
      <c r="HQZ2" s="62"/>
      <c r="HRA2" s="62"/>
      <c r="HRB2" s="62"/>
      <c r="HRC2" s="62"/>
      <c r="HRD2" s="62"/>
      <c r="HRE2" s="62"/>
      <c r="HRF2" s="62"/>
      <c r="HRG2" s="62"/>
      <c r="HRH2" s="62"/>
      <c r="HRI2" s="62"/>
      <c r="HRJ2" s="62"/>
      <c r="HRK2" s="62"/>
      <c r="HRL2" s="62"/>
      <c r="HRM2" s="62"/>
      <c r="HRN2" s="62"/>
      <c r="HRO2" s="62"/>
      <c r="HRP2" s="62"/>
      <c r="HRQ2" s="62"/>
      <c r="HRR2" s="62"/>
      <c r="HRS2" s="62"/>
      <c r="HRT2" s="62"/>
      <c r="HRU2" s="62"/>
      <c r="HRV2" s="62"/>
      <c r="HRW2" s="62"/>
      <c r="HRX2" s="62"/>
      <c r="HRY2" s="62"/>
      <c r="HRZ2" s="62"/>
      <c r="HSA2" s="62"/>
      <c r="HSB2" s="62"/>
      <c r="HSC2" s="62"/>
      <c r="HSD2" s="62"/>
      <c r="HSE2" s="62"/>
      <c r="HSF2" s="62"/>
      <c r="HSG2" s="62"/>
      <c r="HSH2" s="62"/>
      <c r="HSI2" s="62"/>
      <c r="HSJ2" s="62"/>
      <c r="HSK2" s="62"/>
      <c r="HSL2" s="62"/>
      <c r="HSM2" s="62"/>
      <c r="HSN2" s="62"/>
      <c r="HSO2" s="62"/>
      <c r="HSP2" s="62"/>
      <c r="HSQ2" s="62"/>
      <c r="HSR2" s="62"/>
      <c r="HSS2" s="62"/>
      <c r="HST2" s="62"/>
      <c r="HSU2" s="62"/>
      <c r="HSV2" s="62"/>
      <c r="HSW2" s="62"/>
      <c r="HSX2" s="62"/>
      <c r="HSY2" s="62"/>
      <c r="HSZ2" s="62"/>
      <c r="HTA2" s="62"/>
      <c r="HTB2" s="62"/>
      <c r="HTC2" s="62"/>
      <c r="HTD2" s="62"/>
      <c r="HTE2" s="62"/>
      <c r="HTF2" s="62"/>
      <c r="HTG2" s="62"/>
      <c r="HTH2" s="62"/>
      <c r="HTI2" s="62"/>
      <c r="HTJ2" s="62"/>
      <c r="HTK2" s="62"/>
      <c r="HTL2" s="62"/>
      <c r="HTM2" s="62"/>
      <c r="HTN2" s="62"/>
      <c r="HTO2" s="62"/>
      <c r="HTP2" s="62"/>
      <c r="HTQ2" s="62"/>
      <c r="HTR2" s="62"/>
      <c r="HTS2" s="62"/>
      <c r="HTT2" s="62"/>
      <c r="HTU2" s="62"/>
      <c r="HTV2" s="62"/>
      <c r="HTW2" s="62"/>
      <c r="HTX2" s="62"/>
      <c r="HTY2" s="62"/>
      <c r="HTZ2" s="62"/>
      <c r="HUA2" s="62"/>
      <c r="HUB2" s="62"/>
      <c r="HUC2" s="62"/>
      <c r="HUD2" s="62"/>
      <c r="HUE2" s="62"/>
      <c r="HUF2" s="62"/>
      <c r="HUG2" s="62"/>
      <c r="HUH2" s="62"/>
      <c r="HUI2" s="62"/>
      <c r="HUJ2" s="62"/>
      <c r="HUK2" s="62"/>
      <c r="HUL2" s="62"/>
      <c r="HUM2" s="62"/>
      <c r="HUN2" s="62"/>
      <c r="HUO2" s="62"/>
      <c r="HUP2" s="62"/>
      <c r="HUQ2" s="62"/>
      <c r="HUR2" s="62"/>
      <c r="HUS2" s="62"/>
      <c r="HUT2" s="62"/>
      <c r="HUU2" s="62"/>
      <c r="HUV2" s="62"/>
      <c r="HUW2" s="62"/>
      <c r="HUX2" s="62"/>
      <c r="HUY2" s="62"/>
      <c r="HUZ2" s="62"/>
      <c r="HVA2" s="62"/>
      <c r="HVB2" s="62"/>
      <c r="HVC2" s="62"/>
      <c r="HVD2" s="62"/>
      <c r="HVE2" s="62"/>
      <c r="HVF2" s="62"/>
      <c r="HVG2" s="62"/>
      <c r="HVH2" s="62"/>
      <c r="HVI2" s="62"/>
      <c r="HVJ2" s="62"/>
      <c r="HVK2" s="62"/>
      <c r="HVL2" s="62"/>
      <c r="HVM2" s="62"/>
      <c r="HVN2" s="62"/>
      <c r="HVO2" s="62"/>
      <c r="HVP2" s="62"/>
      <c r="HVQ2" s="62"/>
      <c r="HVR2" s="62"/>
      <c r="HVS2" s="62"/>
      <c r="HVT2" s="62"/>
      <c r="HVU2" s="62"/>
      <c r="HVV2" s="62"/>
      <c r="HVW2" s="62"/>
      <c r="HVX2" s="62"/>
      <c r="HVY2" s="62"/>
      <c r="HVZ2" s="62"/>
      <c r="HWA2" s="62"/>
      <c r="HWB2" s="62"/>
      <c r="HWC2" s="62"/>
      <c r="HWD2" s="62"/>
      <c r="HWE2" s="62"/>
      <c r="HWF2" s="62"/>
      <c r="HWG2" s="62"/>
      <c r="HWH2" s="62"/>
      <c r="HWI2" s="62"/>
      <c r="HWJ2" s="62"/>
      <c r="HWK2" s="62"/>
      <c r="HWL2" s="62"/>
      <c r="HWM2" s="62"/>
      <c r="HWN2" s="62"/>
      <c r="HWO2" s="62"/>
      <c r="HWP2" s="62"/>
      <c r="HWQ2" s="62"/>
      <c r="HWR2" s="62"/>
      <c r="HWS2" s="62"/>
      <c r="HWT2" s="62"/>
      <c r="HWU2" s="62"/>
      <c r="HWV2" s="62"/>
      <c r="HWW2" s="62"/>
      <c r="HWX2" s="62"/>
      <c r="HWY2" s="62"/>
      <c r="HWZ2" s="62"/>
      <c r="HXA2" s="62"/>
      <c r="HXB2" s="62"/>
      <c r="HXC2" s="62"/>
      <c r="HXD2" s="62"/>
      <c r="HXE2" s="62"/>
      <c r="HXF2" s="62"/>
      <c r="HXG2" s="62"/>
      <c r="HXH2" s="62"/>
      <c r="HXI2" s="62"/>
      <c r="HXJ2" s="62"/>
      <c r="HXK2" s="62"/>
      <c r="HXL2" s="62"/>
      <c r="HXM2" s="62"/>
      <c r="HXN2" s="62"/>
      <c r="HXO2" s="62"/>
      <c r="HXP2" s="62"/>
      <c r="HXQ2" s="62"/>
      <c r="HXR2" s="62"/>
      <c r="HXS2" s="62"/>
      <c r="HXT2" s="62"/>
      <c r="HXU2" s="62"/>
      <c r="HXV2" s="62"/>
      <c r="HXW2" s="62"/>
      <c r="HXX2" s="62"/>
      <c r="HXY2" s="62"/>
      <c r="HXZ2" s="62"/>
      <c r="HYA2" s="62"/>
      <c r="HYB2" s="62"/>
      <c r="HYC2" s="62"/>
      <c r="HYD2" s="62"/>
      <c r="HYE2" s="62"/>
      <c r="HYF2" s="62"/>
      <c r="HYG2" s="62"/>
      <c r="HYH2" s="62"/>
      <c r="HYI2" s="62"/>
      <c r="HYJ2" s="62"/>
      <c r="HYK2" s="62"/>
      <c r="HYL2" s="62"/>
      <c r="HYM2" s="62"/>
      <c r="HYN2" s="62"/>
      <c r="HYO2" s="62"/>
      <c r="HYP2" s="62"/>
      <c r="HYQ2" s="62"/>
      <c r="HYR2" s="62"/>
      <c r="HYS2" s="62"/>
      <c r="HYT2" s="62"/>
      <c r="HYU2" s="62"/>
      <c r="HYV2" s="62"/>
      <c r="HYW2" s="62"/>
      <c r="HYX2" s="62"/>
      <c r="HYY2" s="62"/>
      <c r="HYZ2" s="62"/>
      <c r="HZA2" s="62"/>
      <c r="HZB2" s="62"/>
      <c r="HZC2" s="62"/>
      <c r="HZD2" s="62"/>
      <c r="HZE2" s="62"/>
      <c r="HZF2" s="62"/>
      <c r="HZG2" s="62"/>
      <c r="HZH2" s="62"/>
      <c r="HZI2" s="62"/>
      <c r="HZJ2" s="62"/>
      <c r="HZK2" s="62"/>
      <c r="HZL2" s="62"/>
      <c r="HZM2" s="62"/>
      <c r="HZN2" s="62"/>
      <c r="HZO2" s="62"/>
      <c r="HZP2" s="62"/>
      <c r="HZQ2" s="62"/>
      <c r="HZR2" s="62"/>
      <c r="HZS2" s="62"/>
      <c r="HZT2" s="62"/>
      <c r="HZU2" s="62"/>
      <c r="HZV2" s="62"/>
      <c r="HZW2" s="62"/>
      <c r="HZX2" s="62"/>
      <c r="HZY2" s="62"/>
      <c r="HZZ2" s="62"/>
      <c r="IAA2" s="62"/>
      <c r="IAB2" s="62"/>
      <c r="IAC2" s="62"/>
      <c r="IAD2" s="62"/>
      <c r="IAE2" s="62"/>
      <c r="IAF2" s="62"/>
      <c r="IAG2" s="62"/>
      <c r="IAH2" s="62"/>
      <c r="IAI2" s="62"/>
      <c r="IAJ2" s="62"/>
      <c r="IAK2" s="62"/>
      <c r="IAL2" s="62"/>
      <c r="IAM2" s="62"/>
      <c r="IAN2" s="62"/>
      <c r="IAO2" s="62"/>
      <c r="IAP2" s="62"/>
      <c r="IAQ2" s="62"/>
      <c r="IAR2" s="62"/>
      <c r="IAS2" s="62"/>
      <c r="IAT2" s="62"/>
      <c r="IAU2" s="62"/>
      <c r="IAV2" s="62"/>
      <c r="IAW2" s="62"/>
      <c r="IAX2" s="62"/>
      <c r="IAY2" s="62"/>
      <c r="IAZ2" s="62"/>
      <c r="IBA2" s="62"/>
      <c r="IBB2" s="62"/>
      <c r="IBC2" s="62"/>
      <c r="IBD2" s="62"/>
      <c r="IBE2" s="62"/>
      <c r="IBF2" s="62"/>
      <c r="IBG2" s="62"/>
      <c r="IBH2" s="62"/>
      <c r="IBI2" s="62"/>
      <c r="IBJ2" s="62"/>
      <c r="IBK2" s="62"/>
      <c r="IBL2" s="62"/>
      <c r="IBM2" s="62"/>
      <c r="IBN2" s="62"/>
      <c r="IBO2" s="62"/>
      <c r="IBP2" s="62"/>
      <c r="IBQ2" s="62"/>
      <c r="IBR2" s="62"/>
      <c r="IBS2" s="62"/>
      <c r="IBT2" s="62"/>
      <c r="IBU2" s="62"/>
      <c r="IBV2" s="62"/>
      <c r="IBW2" s="62"/>
      <c r="IBX2" s="62"/>
      <c r="IBY2" s="62"/>
      <c r="IBZ2" s="62"/>
      <c r="ICA2" s="62"/>
      <c r="ICB2" s="62"/>
      <c r="ICC2" s="62"/>
      <c r="ICD2" s="62"/>
      <c r="ICE2" s="62"/>
      <c r="ICF2" s="62"/>
      <c r="ICG2" s="62"/>
      <c r="ICH2" s="62"/>
      <c r="ICI2" s="62"/>
      <c r="ICJ2" s="62"/>
      <c r="ICK2" s="62"/>
      <c r="ICL2" s="62"/>
      <c r="ICM2" s="62"/>
      <c r="ICN2" s="62"/>
      <c r="ICO2" s="62"/>
      <c r="ICP2" s="62"/>
      <c r="ICQ2" s="62"/>
      <c r="ICR2" s="62"/>
      <c r="ICS2" s="62"/>
      <c r="ICT2" s="62"/>
      <c r="ICU2" s="62"/>
      <c r="ICV2" s="62"/>
      <c r="ICW2" s="62"/>
      <c r="ICX2" s="62"/>
      <c r="ICY2" s="62"/>
      <c r="ICZ2" s="62"/>
      <c r="IDA2" s="62"/>
      <c r="IDB2" s="62"/>
      <c r="IDC2" s="62"/>
      <c r="IDD2" s="62"/>
      <c r="IDE2" s="62"/>
      <c r="IDF2" s="62"/>
      <c r="IDG2" s="62"/>
      <c r="IDH2" s="62"/>
      <c r="IDI2" s="62"/>
      <c r="IDJ2" s="62"/>
      <c r="IDK2" s="62"/>
      <c r="IDL2" s="62"/>
      <c r="IDM2" s="62"/>
      <c r="IDN2" s="62"/>
      <c r="IDO2" s="62"/>
      <c r="IDP2" s="62"/>
      <c r="IDQ2" s="62"/>
      <c r="IDR2" s="62"/>
      <c r="IDS2" s="62"/>
      <c r="IDT2" s="62"/>
      <c r="IDU2" s="62"/>
      <c r="IDV2" s="62"/>
      <c r="IDW2" s="62"/>
      <c r="IDX2" s="62"/>
      <c r="IDY2" s="62"/>
      <c r="IDZ2" s="62"/>
      <c r="IEA2" s="62"/>
      <c r="IEB2" s="62"/>
      <c r="IEC2" s="62"/>
      <c r="IED2" s="62"/>
      <c r="IEE2" s="62"/>
      <c r="IEF2" s="62"/>
      <c r="IEG2" s="62"/>
      <c r="IEH2" s="62"/>
      <c r="IEI2" s="62"/>
      <c r="IEJ2" s="62"/>
      <c r="IEK2" s="62"/>
      <c r="IEL2" s="62"/>
      <c r="IEM2" s="62"/>
      <c r="IEN2" s="62"/>
      <c r="IEO2" s="62"/>
      <c r="IEP2" s="62"/>
      <c r="IEQ2" s="62"/>
      <c r="IER2" s="62"/>
      <c r="IES2" s="62"/>
      <c r="IET2" s="62"/>
      <c r="IEU2" s="62"/>
      <c r="IEV2" s="62"/>
      <c r="IEW2" s="62"/>
      <c r="IEX2" s="62"/>
      <c r="IEY2" s="62"/>
      <c r="IEZ2" s="62"/>
      <c r="IFA2" s="62"/>
      <c r="IFB2" s="62"/>
      <c r="IFC2" s="62"/>
      <c r="IFD2" s="62"/>
      <c r="IFE2" s="62"/>
      <c r="IFF2" s="62"/>
      <c r="IFG2" s="62"/>
      <c r="IFH2" s="62"/>
      <c r="IFI2" s="62"/>
      <c r="IFJ2" s="62"/>
      <c r="IFK2" s="62"/>
      <c r="IFL2" s="62"/>
      <c r="IFM2" s="62"/>
      <c r="IFN2" s="62"/>
      <c r="IFO2" s="62"/>
      <c r="IFP2" s="62"/>
      <c r="IFQ2" s="62"/>
      <c r="IFR2" s="62"/>
      <c r="IFS2" s="62"/>
      <c r="IFT2" s="62"/>
      <c r="IFU2" s="62"/>
      <c r="IFV2" s="62"/>
      <c r="IFW2" s="62"/>
      <c r="IFX2" s="62"/>
      <c r="IFY2" s="62"/>
      <c r="IFZ2" s="62"/>
      <c r="IGA2" s="62"/>
      <c r="IGB2" s="62"/>
      <c r="IGC2" s="62"/>
      <c r="IGD2" s="62"/>
      <c r="IGE2" s="62"/>
      <c r="IGF2" s="62"/>
      <c r="IGG2" s="62"/>
      <c r="IGH2" s="62"/>
      <c r="IGI2" s="62"/>
      <c r="IGJ2" s="62"/>
      <c r="IGK2" s="62"/>
      <c r="IGL2" s="62"/>
      <c r="IGM2" s="62"/>
      <c r="IGN2" s="62"/>
      <c r="IGO2" s="62"/>
      <c r="IGP2" s="62"/>
      <c r="IGQ2" s="62"/>
      <c r="IGR2" s="62"/>
      <c r="IGS2" s="62"/>
      <c r="IGT2" s="62"/>
      <c r="IGU2" s="62"/>
      <c r="IGV2" s="62"/>
      <c r="IGW2" s="62"/>
      <c r="IGX2" s="62"/>
      <c r="IGY2" s="62"/>
      <c r="IGZ2" s="62"/>
      <c r="IHA2" s="62"/>
      <c r="IHB2" s="62"/>
      <c r="IHC2" s="62"/>
      <c r="IHD2" s="62"/>
      <c r="IHE2" s="62"/>
      <c r="IHF2" s="62"/>
      <c r="IHG2" s="62"/>
      <c r="IHH2" s="62"/>
      <c r="IHI2" s="62"/>
      <c r="IHJ2" s="62"/>
      <c r="IHK2" s="62"/>
      <c r="IHL2" s="62"/>
      <c r="IHM2" s="62"/>
      <c r="IHN2" s="62"/>
      <c r="IHO2" s="62"/>
      <c r="IHP2" s="62"/>
      <c r="IHQ2" s="62"/>
      <c r="IHR2" s="62"/>
      <c r="IHS2" s="62"/>
      <c r="IHT2" s="62"/>
      <c r="IHU2" s="62"/>
      <c r="IHV2" s="62"/>
      <c r="IHW2" s="62"/>
      <c r="IHX2" s="62"/>
      <c r="IHY2" s="62"/>
      <c r="IHZ2" s="62"/>
      <c r="IIA2" s="62"/>
      <c r="IIB2" s="62"/>
      <c r="IIC2" s="62"/>
      <c r="IID2" s="62"/>
      <c r="IIE2" s="62"/>
      <c r="IIF2" s="62"/>
      <c r="IIG2" s="62"/>
      <c r="IIH2" s="62"/>
      <c r="III2" s="62"/>
      <c r="IIJ2" s="62"/>
      <c r="IIK2" s="62"/>
      <c r="IIL2" s="62"/>
      <c r="IIM2" s="62"/>
      <c r="IIN2" s="62"/>
      <c r="IIO2" s="62"/>
      <c r="IIP2" s="62"/>
      <c r="IIQ2" s="62"/>
      <c r="IIR2" s="62"/>
      <c r="IIS2" s="62"/>
      <c r="IIT2" s="62"/>
      <c r="IIU2" s="62"/>
      <c r="IIV2" s="62"/>
      <c r="IIW2" s="62"/>
      <c r="IIX2" s="62"/>
      <c r="IIY2" s="62"/>
      <c r="IIZ2" s="62"/>
      <c r="IJA2" s="62"/>
      <c r="IJB2" s="62"/>
      <c r="IJC2" s="62"/>
      <c r="IJD2" s="62"/>
      <c r="IJE2" s="62"/>
      <c r="IJF2" s="62"/>
      <c r="IJG2" s="62"/>
      <c r="IJH2" s="62"/>
      <c r="IJI2" s="62"/>
      <c r="IJJ2" s="62"/>
      <c r="IJK2" s="62"/>
      <c r="IJL2" s="62"/>
      <c r="IJM2" s="62"/>
      <c r="IJN2" s="62"/>
      <c r="IJO2" s="62"/>
      <c r="IJP2" s="62"/>
      <c r="IJQ2" s="62"/>
      <c r="IJR2" s="62"/>
      <c r="IJS2" s="62"/>
      <c r="IJT2" s="62"/>
      <c r="IJU2" s="62"/>
      <c r="IJV2" s="62"/>
      <c r="IJW2" s="62"/>
      <c r="IJX2" s="62"/>
      <c r="IJY2" s="62"/>
      <c r="IJZ2" s="62"/>
      <c r="IKA2" s="62"/>
      <c r="IKB2" s="62"/>
      <c r="IKC2" s="62"/>
      <c r="IKD2" s="62"/>
      <c r="IKE2" s="62"/>
      <c r="IKF2" s="62"/>
      <c r="IKG2" s="62"/>
      <c r="IKH2" s="62"/>
      <c r="IKI2" s="62"/>
      <c r="IKJ2" s="62"/>
      <c r="IKK2" s="62"/>
      <c r="IKL2" s="62"/>
      <c r="IKM2" s="62"/>
      <c r="IKN2" s="62"/>
      <c r="IKO2" s="62"/>
      <c r="IKP2" s="62"/>
      <c r="IKQ2" s="62"/>
      <c r="IKR2" s="62"/>
      <c r="IKS2" s="62"/>
      <c r="IKT2" s="62"/>
      <c r="IKU2" s="62"/>
      <c r="IKV2" s="62"/>
      <c r="IKW2" s="62"/>
      <c r="IKX2" s="62"/>
      <c r="IKY2" s="62"/>
      <c r="IKZ2" s="62"/>
      <c r="ILA2" s="62"/>
      <c r="ILB2" s="62"/>
      <c r="ILC2" s="62"/>
      <c r="ILD2" s="62"/>
      <c r="ILE2" s="62"/>
      <c r="ILF2" s="62"/>
      <c r="ILG2" s="62"/>
      <c r="ILH2" s="62"/>
      <c r="ILI2" s="62"/>
      <c r="ILJ2" s="62"/>
      <c r="ILK2" s="62"/>
      <c r="ILL2" s="62"/>
      <c r="ILM2" s="62"/>
      <c r="ILN2" s="62"/>
      <c r="ILO2" s="62"/>
      <c r="ILP2" s="62"/>
      <c r="ILQ2" s="62"/>
      <c r="ILR2" s="62"/>
      <c r="ILS2" s="62"/>
      <c r="ILT2" s="62"/>
      <c r="ILU2" s="62"/>
      <c r="ILV2" s="62"/>
      <c r="ILW2" s="62"/>
      <c r="ILX2" s="62"/>
      <c r="ILY2" s="62"/>
      <c r="ILZ2" s="62"/>
      <c r="IMA2" s="62"/>
      <c r="IMB2" s="62"/>
      <c r="IMC2" s="62"/>
      <c r="IMD2" s="62"/>
      <c r="IME2" s="62"/>
      <c r="IMF2" s="62"/>
      <c r="IMG2" s="62"/>
      <c r="IMH2" s="62"/>
      <c r="IMI2" s="62"/>
      <c r="IMJ2" s="62"/>
      <c r="IMK2" s="62"/>
      <c r="IML2" s="62"/>
      <c r="IMM2" s="62"/>
      <c r="IMN2" s="62"/>
      <c r="IMO2" s="62"/>
      <c r="IMP2" s="62"/>
      <c r="IMQ2" s="62"/>
      <c r="IMR2" s="62"/>
      <c r="IMS2" s="62"/>
      <c r="IMT2" s="62"/>
      <c r="IMU2" s="62"/>
      <c r="IMV2" s="62"/>
      <c r="IMW2" s="62"/>
      <c r="IMX2" s="62"/>
      <c r="IMY2" s="62"/>
      <c r="IMZ2" s="62"/>
      <c r="INA2" s="62"/>
      <c r="INB2" s="62"/>
      <c r="INC2" s="62"/>
      <c r="IND2" s="62"/>
      <c r="INE2" s="62"/>
      <c r="INF2" s="62"/>
      <c r="ING2" s="62"/>
      <c r="INH2" s="62"/>
      <c r="INI2" s="62"/>
      <c r="INJ2" s="62"/>
      <c r="INK2" s="62"/>
      <c r="INL2" s="62"/>
      <c r="INM2" s="62"/>
      <c r="INN2" s="62"/>
      <c r="INO2" s="62"/>
      <c r="INP2" s="62"/>
      <c r="INQ2" s="62"/>
      <c r="INR2" s="62"/>
      <c r="INS2" s="62"/>
      <c r="INT2" s="62"/>
      <c r="INU2" s="62"/>
      <c r="INV2" s="62"/>
      <c r="INW2" s="62"/>
      <c r="INX2" s="62"/>
      <c r="INY2" s="62"/>
      <c r="INZ2" s="62"/>
      <c r="IOA2" s="62"/>
      <c r="IOB2" s="62"/>
      <c r="IOC2" s="62"/>
      <c r="IOD2" s="62"/>
      <c r="IOE2" s="62"/>
      <c r="IOF2" s="62"/>
      <c r="IOG2" s="62"/>
      <c r="IOH2" s="62"/>
      <c r="IOI2" s="62"/>
      <c r="IOJ2" s="62"/>
      <c r="IOK2" s="62"/>
      <c r="IOL2" s="62"/>
      <c r="IOM2" s="62"/>
      <c r="ION2" s="62"/>
      <c r="IOO2" s="62"/>
      <c r="IOP2" s="62"/>
      <c r="IOQ2" s="62"/>
      <c r="IOR2" s="62"/>
      <c r="IOS2" s="62"/>
      <c r="IOT2" s="62"/>
      <c r="IOU2" s="62"/>
      <c r="IOV2" s="62"/>
      <c r="IOW2" s="62"/>
      <c r="IOX2" s="62"/>
      <c r="IOY2" s="62"/>
      <c r="IOZ2" s="62"/>
      <c r="IPA2" s="62"/>
      <c r="IPB2" s="62"/>
      <c r="IPC2" s="62"/>
      <c r="IPD2" s="62"/>
      <c r="IPE2" s="62"/>
      <c r="IPF2" s="62"/>
      <c r="IPG2" s="62"/>
      <c r="IPH2" s="62"/>
      <c r="IPI2" s="62"/>
      <c r="IPJ2" s="62"/>
      <c r="IPK2" s="62"/>
      <c r="IPL2" s="62"/>
      <c r="IPM2" s="62"/>
      <c r="IPN2" s="62"/>
      <c r="IPO2" s="62"/>
      <c r="IPP2" s="62"/>
      <c r="IPQ2" s="62"/>
      <c r="IPR2" s="62"/>
      <c r="IPS2" s="62"/>
      <c r="IPT2" s="62"/>
      <c r="IPU2" s="62"/>
      <c r="IPV2" s="62"/>
      <c r="IPW2" s="62"/>
      <c r="IPX2" s="62"/>
      <c r="IPY2" s="62"/>
      <c r="IPZ2" s="62"/>
      <c r="IQA2" s="62"/>
      <c r="IQB2" s="62"/>
      <c r="IQC2" s="62"/>
      <c r="IQD2" s="62"/>
      <c r="IQE2" s="62"/>
      <c r="IQF2" s="62"/>
      <c r="IQG2" s="62"/>
      <c r="IQH2" s="62"/>
      <c r="IQI2" s="62"/>
      <c r="IQJ2" s="62"/>
      <c r="IQK2" s="62"/>
      <c r="IQL2" s="62"/>
      <c r="IQM2" s="62"/>
      <c r="IQN2" s="62"/>
      <c r="IQO2" s="62"/>
      <c r="IQP2" s="62"/>
      <c r="IQQ2" s="62"/>
      <c r="IQR2" s="62"/>
      <c r="IQS2" s="62"/>
      <c r="IQT2" s="62"/>
      <c r="IQU2" s="62"/>
      <c r="IQV2" s="62"/>
      <c r="IQW2" s="62"/>
      <c r="IQX2" s="62"/>
      <c r="IQY2" s="62"/>
      <c r="IQZ2" s="62"/>
      <c r="IRA2" s="62"/>
      <c r="IRB2" s="62"/>
      <c r="IRC2" s="62"/>
      <c r="IRD2" s="62"/>
      <c r="IRE2" s="62"/>
      <c r="IRF2" s="62"/>
      <c r="IRG2" s="62"/>
      <c r="IRH2" s="62"/>
      <c r="IRI2" s="62"/>
      <c r="IRJ2" s="62"/>
      <c r="IRK2" s="62"/>
      <c r="IRL2" s="62"/>
      <c r="IRM2" s="62"/>
      <c r="IRN2" s="62"/>
      <c r="IRO2" s="62"/>
      <c r="IRP2" s="62"/>
      <c r="IRQ2" s="62"/>
      <c r="IRR2" s="62"/>
      <c r="IRS2" s="62"/>
      <c r="IRT2" s="62"/>
      <c r="IRU2" s="62"/>
      <c r="IRV2" s="62"/>
      <c r="IRW2" s="62"/>
      <c r="IRX2" s="62"/>
      <c r="IRY2" s="62"/>
      <c r="IRZ2" s="62"/>
      <c r="ISA2" s="62"/>
      <c r="ISB2" s="62"/>
      <c r="ISC2" s="62"/>
      <c r="ISD2" s="62"/>
      <c r="ISE2" s="62"/>
      <c r="ISF2" s="62"/>
      <c r="ISG2" s="62"/>
      <c r="ISH2" s="62"/>
      <c r="ISI2" s="62"/>
      <c r="ISJ2" s="62"/>
      <c r="ISK2" s="62"/>
      <c r="ISL2" s="62"/>
      <c r="ISM2" s="62"/>
      <c r="ISN2" s="62"/>
      <c r="ISO2" s="62"/>
      <c r="ISP2" s="62"/>
      <c r="ISQ2" s="62"/>
      <c r="ISR2" s="62"/>
      <c r="ISS2" s="62"/>
      <c r="IST2" s="62"/>
      <c r="ISU2" s="62"/>
      <c r="ISV2" s="62"/>
      <c r="ISW2" s="62"/>
      <c r="ISX2" s="62"/>
      <c r="ISY2" s="62"/>
      <c r="ISZ2" s="62"/>
      <c r="ITA2" s="62"/>
      <c r="ITB2" s="62"/>
      <c r="ITC2" s="62"/>
      <c r="ITD2" s="62"/>
      <c r="ITE2" s="62"/>
      <c r="ITF2" s="62"/>
      <c r="ITG2" s="62"/>
      <c r="ITH2" s="62"/>
      <c r="ITI2" s="62"/>
      <c r="ITJ2" s="62"/>
      <c r="ITK2" s="62"/>
      <c r="ITL2" s="62"/>
      <c r="ITM2" s="62"/>
      <c r="ITN2" s="62"/>
      <c r="ITO2" s="62"/>
      <c r="ITP2" s="62"/>
      <c r="ITQ2" s="62"/>
      <c r="ITR2" s="62"/>
      <c r="ITS2" s="62"/>
      <c r="ITT2" s="62"/>
      <c r="ITU2" s="62"/>
      <c r="ITV2" s="62"/>
      <c r="ITW2" s="62"/>
      <c r="ITX2" s="62"/>
      <c r="ITY2" s="62"/>
      <c r="ITZ2" s="62"/>
      <c r="IUA2" s="62"/>
      <c r="IUB2" s="62"/>
      <c r="IUC2" s="62"/>
      <c r="IUD2" s="62"/>
      <c r="IUE2" s="62"/>
      <c r="IUF2" s="62"/>
      <c r="IUG2" s="62"/>
      <c r="IUH2" s="62"/>
      <c r="IUI2" s="62"/>
      <c r="IUJ2" s="62"/>
      <c r="IUK2" s="62"/>
      <c r="IUL2" s="62"/>
      <c r="IUM2" s="62"/>
      <c r="IUN2" s="62"/>
      <c r="IUO2" s="62"/>
      <c r="IUP2" s="62"/>
      <c r="IUQ2" s="62"/>
      <c r="IUR2" s="62"/>
      <c r="IUS2" s="62"/>
      <c r="IUT2" s="62"/>
      <c r="IUU2" s="62"/>
      <c r="IUV2" s="62"/>
      <c r="IUW2" s="62"/>
      <c r="IUX2" s="62"/>
      <c r="IUY2" s="62"/>
      <c r="IUZ2" s="62"/>
      <c r="IVA2" s="62"/>
      <c r="IVB2" s="62"/>
      <c r="IVC2" s="62"/>
      <c r="IVD2" s="62"/>
      <c r="IVE2" s="62"/>
      <c r="IVF2" s="62"/>
      <c r="IVG2" s="62"/>
      <c r="IVH2" s="62"/>
      <c r="IVI2" s="62"/>
      <c r="IVJ2" s="62"/>
      <c r="IVK2" s="62"/>
      <c r="IVL2" s="62"/>
      <c r="IVM2" s="62"/>
      <c r="IVN2" s="62"/>
      <c r="IVO2" s="62"/>
      <c r="IVP2" s="62"/>
      <c r="IVQ2" s="62"/>
      <c r="IVR2" s="62"/>
      <c r="IVS2" s="62"/>
      <c r="IVT2" s="62"/>
      <c r="IVU2" s="62"/>
      <c r="IVV2" s="62"/>
      <c r="IVW2" s="62"/>
      <c r="IVX2" s="62"/>
      <c r="IVY2" s="62"/>
      <c r="IVZ2" s="62"/>
      <c r="IWA2" s="62"/>
      <c r="IWB2" s="62"/>
      <c r="IWC2" s="62"/>
      <c r="IWD2" s="62"/>
      <c r="IWE2" s="62"/>
      <c r="IWF2" s="62"/>
      <c r="IWG2" s="62"/>
      <c r="IWH2" s="62"/>
      <c r="IWI2" s="62"/>
      <c r="IWJ2" s="62"/>
      <c r="IWK2" s="62"/>
      <c r="IWL2" s="62"/>
      <c r="IWM2" s="62"/>
      <c r="IWN2" s="62"/>
      <c r="IWO2" s="62"/>
      <c r="IWP2" s="62"/>
      <c r="IWQ2" s="62"/>
      <c r="IWR2" s="62"/>
      <c r="IWS2" s="62"/>
      <c r="IWT2" s="62"/>
      <c r="IWU2" s="62"/>
      <c r="IWV2" s="62"/>
      <c r="IWW2" s="62"/>
      <c r="IWX2" s="62"/>
      <c r="IWY2" s="62"/>
      <c r="IWZ2" s="62"/>
      <c r="IXA2" s="62"/>
      <c r="IXB2" s="62"/>
      <c r="IXC2" s="62"/>
      <c r="IXD2" s="62"/>
      <c r="IXE2" s="62"/>
      <c r="IXF2" s="62"/>
      <c r="IXG2" s="62"/>
      <c r="IXH2" s="62"/>
      <c r="IXI2" s="62"/>
      <c r="IXJ2" s="62"/>
      <c r="IXK2" s="62"/>
      <c r="IXL2" s="62"/>
      <c r="IXM2" s="62"/>
      <c r="IXN2" s="62"/>
      <c r="IXO2" s="62"/>
      <c r="IXP2" s="62"/>
      <c r="IXQ2" s="62"/>
      <c r="IXR2" s="62"/>
      <c r="IXS2" s="62"/>
      <c r="IXT2" s="62"/>
      <c r="IXU2" s="62"/>
      <c r="IXV2" s="62"/>
      <c r="IXW2" s="62"/>
      <c r="IXX2" s="62"/>
      <c r="IXY2" s="62"/>
      <c r="IXZ2" s="62"/>
      <c r="IYA2" s="62"/>
      <c r="IYB2" s="62"/>
      <c r="IYC2" s="62"/>
      <c r="IYD2" s="62"/>
      <c r="IYE2" s="62"/>
      <c r="IYF2" s="62"/>
      <c r="IYG2" s="62"/>
      <c r="IYH2" s="62"/>
      <c r="IYI2" s="62"/>
      <c r="IYJ2" s="62"/>
      <c r="IYK2" s="62"/>
      <c r="IYL2" s="62"/>
      <c r="IYM2" s="62"/>
      <c r="IYN2" s="62"/>
      <c r="IYO2" s="62"/>
      <c r="IYP2" s="62"/>
      <c r="IYQ2" s="62"/>
      <c r="IYR2" s="62"/>
      <c r="IYS2" s="62"/>
      <c r="IYT2" s="62"/>
      <c r="IYU2" s="62"/>
      <c r="IYV2" s="62"/>
      <c r="IYW2" s="62"/>
      <c r="IYX2" s="62"/>
      <c r="IYY2" s="62"/>
      <c r="IYZ2" s="62"/>
      <c r="IZA2" s="62"/>
      <c r="IZB2" s="62"/>
      <c r="IZC2" s="62"/>
      <c r="IZD2" s="62"/>
      <c r="IZE2" s="62"/>
      <c r="IZF2" s="62"/>
      <c r="IZG2" s="62"/>
      <c r="IZH2" s="62"/>
      <c r="IZI2" s="62"/>
      <c r="IZJ2" s="62"/>
      <c r="IZK2" s="62"/>
      <c r="IZL2" s="62"/>
      <c r="IZM2" s="62"/>
      <c r="IZN2" s="62"/>
      <c r="IZO2" s="62"/>
      <c r="IZP2" s="62"/>
      <c r="IZQ2" s="62"/>
      <c r="IZR2" s="62"/>
      <c r="IZS2" s="62"/>
      <c r="IZT2" s="62"/>
      <c r="IZU2" s="62"/>
      <c r="IZV2" s="62"/>
      <c r="IZW2" s="62"/>
      <c r="IZX2" s="62"/>
      <c r="IZY2" s="62"/>
      <c r="IZZ2" s="62"/>
      <c r="JAA2" s="62"/>
      <c r="JAB2" s="62"/>
      <c r="JAC2" s="62"/>
      <c r="JAD2" s="62"/>
      <c r="JAE2" s="62"/>
      <c r="JAF2" s="62"/>
      <c r="JAG2" s="62"/>
      <c r="JAH2" s="62"/>
      <c r="JAI2" s="62"/>
      <c r="JAJ2" s="62"/>
      <c r="JAK2" s="62"/>
      <c r="JAL2" s="62"/>
      <c r="JAM2" s="62"/>
      <c r="JAN2" s="62"/>
      <c r="JAO2" s="62"/>
      <c r="JAP2" s="62"/>
      <c r="JAQ2" s="62"/>
      <c r="JAR2" s="62"/>
      <c r="JAS2" s="62"/>
      <c r="JAT2" s="62"/>
      <c r="JAU2" s="62"/>
      <c r="JAV2" s="62"/>
      <c r="JAW2" s="62"/>
      <c r="JAX2" s="62"/>
      <c r="JAY2" s="62"/>
      <c r="JAZ2" s="62"/>
      <c r="JBA2" s="62"/>
      <c r="JBB2" s="62"/>
      <c r="JBC2" s="62"/>
      <c r="JBD2" s="62"/>
      <c r="JBE2" s="62"/>
      <c r="JBF2" s="62"/>
      <c r="JBG2" s="62"/>
      <c r="JBH2" s="62"/>
      <c r="JBI2" s="62"/>
      <c r="JBJ2" s="62"/>
      <c r="JBK2" s="62"/>
      <c r="JBL2" s="62"/>
      <c r="JBM2" s="62"/>
      <c r="JBN2" s="62"/>
      <c r="JBO2" s="62"/>
      <c r="JBP2" s="62"/>
      <c r="JBQ2" s="62"/>
      <c r="JBR2" s="62"/>
      <c r="JBS2" s="62"/>
      <c r="JBT2" s="62"/>
      <c r="JBU2" s="62"/>
      <c r="JBV2" s="62"/>
      <c r="JBW2" s="62"/>
      <c r="JBX2" s="62"/>
      <c r="JBY2" s="62"/>
      <c r="JBZ2" s="62"/>
      <c r="JCA2" s="62"/>
      <c r="JCB2" s="62"/>
      <c r="JCC2" s="62"/>
      <c r="JCD2" s="62"/>
      <c r="JCE2" s="62"/>
      <c r="JCF2" s="62"/>
      <c r="JCG2" s="62"/>
      <c r="JCH2" s="62"/>
      <c r="JCI2" s="62"/>
      <c r="JCJ2" s="62"/>
      <c r="JCK2" s="62"/>
      <c r="JCL2" s="62"/>
      <c r="JCM2" s="62"/>
      <c r="JCN2" s="62"/>
      <c r="JCO2" s="62"/>
      <c r="JCP2" s="62"/>
      <c r="JCQ2" s="62"/>
      <c r="JCR2" s="62"/>
      <c r="JCS2" s="62"/>
      <c r="JCT2" s="62"/>
      <c r="JCU2" s="62"/>
      <c r="JCV2" s="62"/>
      <c r="JCW2" s="62"/>
      <c r="JCX2" s="62"/>
      <c r="JCY2" s="62"/>
      <c r="JCZ2" s="62"/>
      <c r="JDA2" s="62"/>
      <c r="JDB2" s="62"/>
      <c r="JDC2" s="62"/>
      <c r="JDD2" s="62"/>
      <c r="JDE2" s="62"/>
      <c r="JDF2" s="62"/>
      <c r="JDG2" s="62"/>
      <c r="JDH2" s="62"/>
      <c r="JDI2" s="62"/>
      <c r="JDJ2" s="62"/>
      <c r="JDK2" s="62"/>
      <c r="JDL2" s="62"/>
      <c r="JDM2" s="62"/>
      <c r="JDN2" s="62"/>
      <c r="JDO2" s="62"/>
      <c r="JDP2" s="62"/>
      <c r="JDQ2" s="62"/>
      <c r="JDR2" s="62"/>
      <c r="JDS2" s="62"/>
      <c r="JDT2" s="62"/>
      <c r="JDU2" s="62"/>
      <c r="JDV2" s="62"/>
      <c r="JDW2" s="62"/>
      <c r="JDX2" s="62"/>
      <c r="JDY2" s="62"/>
      <c r="JDZ2" s="62"/>
      <c r="JEA2" s="62"/>
      <c r="JEB2" s="62"/>
      <c r="JEC2" s="62"/>
      <c r="JED2" s="62"/>
      <c r="JEE2" s="62"/>
      <c r="JEF2" s="62"/>
      <c r="JEG2" s="62"/>
      <c r="JEH2" s="62"/>
      <c r="JEI2" s="62"/>
      <c r="JEJ2" s="62"/>
      <c r="JEK2" s="62"/>
      <c r="JEL2" s="62"/>
      <c r="JEM2" s="62"/>
      <c r="JEN2" s="62"/>
      <c r="JEO2" s="62"/>
      <c r="JEP2" s="62"/>
      <c r="JEQ2" s="62"/>
      <c r="JER2" s="62"/>
      <c r="JES2" s="62"/>
      <c r="JET2" s="62"/>
      <c r="JEU2" s="62"/>
      <c r="JEV2" s="62"/>
      <c r="JEW2" s="62"/>
      <c r="JEX2" s="62"/>
      <c r="JEY2" s="62"/>
      <c r="JEZ2" s="62"/>
      <c r="JFA2" s="62"/>
      <c r="JFB2" s="62"/>
      <c r="JFC2" s="62"/>
      <c r="JFD2" s="62"/>
      <c r="JFE2" s="62"/>
      <c r="JFF2" s="62"/>
      <c r="JFG2" s="62"/>
      <c r="JFH2" s="62"/>
      <c r="JFI2" s="62"/>
      <c r="JFJ2" s="62"/>
      <c r="JFK2" s="62"/>
      <c r="JFL2" s="62"/>
      <c r="JFM2" s="62"/>
      <c r="JFN2" s="62"/>
      <c r="JFO2" s="62"/>
      <c r="JFP2" s="62"/>
      <c r="JFQ2" s="62"/>
      <c r="JFR2" s="62"/>
      <c r="JFS2" s="62"/>
      <c r="JFT2" s="62"/>
      <c r="JFU2" s="62"/>
      <c r="JFV2" s="62"/>
      <c r="JFW2" s="62"/>
      <c r="JFX2" s="62"/>
      <c r="JFY2" s="62"/>
      <c r="JFZ2" s="62"/>
      <c r="JGA2" s="62"/>
      <c r="JGB2" s="62"/>
      <c r="JGC2" s="62"/>
      <c r="JGD2" s="62"/>
      <c r="JGE2" s="62"/>
      <c r="JGF2" s="62"/>
      <c r="JGG2" s="62"/>
      <c r="JGH2" s="62"/>
      <c r="JGI2" s="62"/>
      <c r="JGJ2" s="62"/>
      <c r="JGK2" s="62"/>
      <c r="JGL2" s="62"/>
      <c r="JGM2" s="62"/>
      <c r="JGN2" s="62"/>
      <c r="JGO2" s="62"/>
      <c r="JGP2" s="62"/>
      <c r="JGQ2" s="62"/>
      <c r="JGR2" s="62"/>
      <c r="JGS2" s="62"/>
      <c r="JGT2" s="62"/>
      <c r="JGU2" s="62"/>
      <c r="JGV2" s="62"/>
      <c r="JGW2" s="62"/>
      <c r="JGX2" s="62"/>
      <c r="JGY2" s="62"/>
      <c r="JGZ2" s="62"/>
      <c r="JHA2" s="62"/>
      <c r="JHB2" s="62"/>
      <c r="JHC2" s="62"/>
      <c r="JHD2" s="62"/>
      <c r="JHE2" s="62"/>
      <c r="JHF2" s="62"/>
      <c r="JHG2" s="62"/>
      <c r="JHH2" s="62"/>
      <c r="JHI2" s="62"/>
      <c r="JHJ2" s="62"/>
      <c r="JHK2" s="62"/>
      <c r="JHL2" s="62"/>
      <c r="JHM2" s="62"/>
      <c r="JHN2" s="62"/>
      <c r="JHO2" s="62"/>
      <c r="JHP2" s="62"/>
      <c r="JHQ2" s="62"/>
      <c r="JHR2" s="62"/>
      <c r="JHS2" s="62"/>
      <c r="JHT2" s="62"/>
      <c r="JHU2" s="62"/>
      <c r="JHV2" s="62"/>
      <c r="JHW2" s="62"/>
      <c r="JHX2" s="62"/>
      <c r="JHY2" s="62"/>
      <c r="JHZ2" s="62"/>
      <c r="JIA2" s="62"/>
      <c r="JIB2" s="62"/>
      <c r="JIC2" s="62"/>
      <c r="JID2" s="62"/>
      <c r="JIE2" s="62"/>
      <c r="JIF2" s="62"/>
      <c r="JIG2" s="62"/>
      <c r="JIH2" s="62"/>
      <c r="JII2" s="62"/>
      <c r="JIJ2" s="62"/>
      <c r="JIK2" s="62"/>
      <c r="JIL2" s="62"/>
      <c r="JIM2" s="62"/>
      <c r="JIN2" s="62"/>
      <c r="JIO2" s="62"/>
      <c r="JIP2" s="62"/>
      <c r="JIQ2" s="62"/>
      <c r="JIR2" s="62"/>
      <c r="JIS2" s="62"/>
      <c r="JIT2" s="62"/>
      <c r="JIU2" s="62"/>
      <c r="JIV2" s="62"/>
      <c r="JIW2" s="62"/>
      <c r="JIX2" s="62"/>
      <c r="JIY2" s="62"/>
      <c r="JIZ2" s="62"/>
      <c r="JJA2" s="62"/>
      <c r="JJB2" s="62"/>
      <c r="JJC2" s="62"/>
      <c r="JJD2" s="62"/>
      <c r="JJE2" s="62"/>
      <c r="JJF2" s="62"/>
      <c r="JJG2" s="62"/>
      <c r="JJH2" s="62"/>
      <c r="JJI2" s="62"/>
      <c r="JJJ2" s="62"/>
      <c r="JJK2" s="62"/>
      <c r="JJL2" s="62"/>
      <c r="JJM2" s="62"/>
      <c r="JJN2" s="62"/>
      <c r="JJO2" s="62"/>
      <c r="JJP2" s="62"/>
      <c r="JJQ2" s="62"/>
      <c r="JJR2" s="62"/>
      <c r="JJS2" s="62"/>
      <c r="JJT2" s="62"/>
      <c r="JJU2" s="62"/>
      <c r="JJV2" s="62"/>
      <c r="JJW2" s="62"/>
      <c r="JJX2" s="62"/>
      <c r="JJY2" s="62"/>
      <c r="JJZ2" s="62"/>
      <c r="JKA2" s="62"/>
      <c r="JKB2" s="62"/>
      <c r="JKC2" s="62"/>
      <c r="JKD2" s="62"/>
      <c r="JKE2" s="62"/>
      <c r="JKF2" s="62"/>
      <c r="JKG2" s="62"/>
      <c r="JKH2" s="62"/>
      <c r="JKI2" s="62"/>
      <c r="JKJ2" s="62"/>
      <c r="JKK2" s="62"/>
      <c r="JKL2" s="62"/>
      <c r="JKM2" s="62"/>
      <c r="JKN2" s="62"/>
      <c r="JKO2" s="62"/>
      <c r="JKP2" s="62"/>
      <c r="JKQ2" s="62"/>
      <c r="JKR2" s="62"/>
      <c r="JKS2" s="62"/>
      <c r="JKT2" s="62"/>
      <c r="JKU2" s="62"/>
      <c r="JKV2" s="62"/>
      <c r="JKW2" s="62"/>
      <c r="JKX2" s="62"/>
      <c r="JKY2" s="62"/>
      <c r="JKZ2" s="62"/>
      <c r="JLA2" s="62"/>
      <c r="JLB2" s="62"/>
      <c r="JLC2" s="62"/>
      <c r="JLD2" s="62"/>
      <c r="JLE2" s="62"/>
      <c r="JLF2" s="62"/>
      <c r="JLG2" s="62"/>
      <c r="JLH2" s="62"/>
      <c r="JLI2" s="62"/>
      <c r="JLJ2" s="62"/>
      <c r="JLK2" s="62"/>
      <c r="JLL2" s="62"/>
      <c r="JLM2" s="62"/>
      <c r="JLN2" s="62"/>
      <c r="JLO2" s="62"/>
      <c r="JLP2" s="62"/>
      <c r="JLQ2" s="62"/>
      <c r="JLR2" s="62"/>
      <c r="JLS2" s="62"/>
      <c r="JLT2" s="62"/>
      <c r="JLU2" s="62"/>
      <c r="JLV2" s="62"/>
      <c r="JLW2" s="62"/>
      <c r="JLX2" s="62"/>
      <c r="JLY2" s="62"/>
      <c r="JLZ2" s="62"/>
      <c r="JMA2" s="62"/>
      <c r="JMB2" s="62"/>
      <c r="JMC2" s="62"/>
      <c r="JMD2" s="62"/>
      <c r="JME2" s="62"/>
      <c r="JMF2" s="62"/>
      <c r="JMG2" s="62"/>
      <c r="JMH2" s="62"/>
      <c r="JMI2" s="62"/>
      <c r="JMJ2" s="62"/>
      <c r="JMK2" s="62"/>
      <c r="JML2" s="62"/>
      <c r="JMM2" s="62"/>
      <c r="JMN2" s="62"/>
      <c r="JMO2" s="62"/>
      <c r="JMP2" s="62"/>
      <c r="JMQ2" s="62"/>
      <c r="JMR2" s="62"/>
      <c r="JMS2" s="62"/>
      <c r="JMT2" s="62"/>
      <c r="JMU2" s="62"/>
      <c r="JMV2" s="62"/>
      <c r="JMW2" s="62"/>
      <c r="JMX2" s="62"/>
      <c r="JMY2" s="62"/>
      <c r="JMZ2" s="62"/>
      <c r="JNA2" s="62"/>
      <c r="JNB2" s="62"/>
      <c r="JNC2" s="62"/>
      <c r="JND2" s="62"/>
      <c r="JNE2" s="62"/>
      <c r="JNF2" s="62"/>
      <c r="JNG2" s="62"/>
      <c r="JNH2" s="62"/>
      <c r="JNI2" s="62"/>
      <c r="JNJ2" s="62"/>
      <c r="JNK2" s="62"/>
      <c r="JNL2" s="62"/>
      <c r="JNM2" s="62"/>
      <c r="JNN2" s="62"/>
      <c r="JNO2" s="62"/>
      <c r="JNP2" s="62"/>
      <c r="JNQ2" s="62"/>
      <c r="JNR2" s="62"/>
      <c r="JNS2" s="62"/>
      <c r="JNT2" s="62"/>
      <c r="JNU2" s="62"/>
      <c r="JNV2" s="62"/>
      <c r="JNW2" s="62"/>
      <c r="JNX2" s="62"/>
      <c r="JNY2" s="62"/>
      <c r="JNZ2" s="62"/>
      <c r="JOA2" s="62"/>
      <c r="JOB2" s="62"/>
      <c r="JOC2" s="62"/>
      <c r="JOD2" s="62"/>
      <c r="JOE2" s="62"/>
      <c r="JOF2" s="62"/>
      <c r="JOG2" s="62"/>
      <c r="JOH2" s="62"/>
      <c r="JOI2" s="62"/>
      <c r="JOJ2" s="62"/>
      <c r="JOK2" s="62"/>
      <c r="JOL2" s="62"/>
      <c r="JOM2" s="62"/>
      <c r="JON2" s="62"/>
      <c r="JOO2" s="62"/>
      <c r="JOP2" s="62"/>
      <c r="JOQ2" s="62"/>
      <c r="JOR2" s="62"/>
      <c r="JOS2" s="62"/>
      <c r="JOT2" s="62"/>
      <c r="JOU2" s="62"/>
      <c r="JOV2" s="62"/>
      <c r="JOW2" s="62"/>
      <c r="JOX2" s="62"/>
      <c r="JOY2" s="62"/>
      <c r="JOZ2" s="62"/>
      <c r="JPA2" s="62"/>
      <c r="JPB2" s="62"/>
      <c r="JPC2" s="62"/>
      <c r="JPD2" s="62"/>
      <c r="JPE2" s="62"/>
      <c r="JPF2" s="62"/>
      <c r="JPG2" s="62"/>
      <c r="JPH2" s="62"/>
      <c r="JPI2" s="62"/>
      <c r="JPJ2" s="62"/>
      <c r="JPK2" s="62"/>
      <c r="JPL2" s="62"/>
      <c r="JPM2" s="62"/>
      <c r="JPN2" s="62"/>
      <c r="JPO2" s="62"/>
      <c r="JPP2" s="62"/>
      <c r="JPQ2" s="62"/>
      <c r="JPR2" s="62"/>
      <c r="JPS2" s="62"/>
      <c r="JPT2" s="62"/>
      <c r="JPU2" s="62"/>
      <c r="JPV2" s="62"/>
      <c r="JPW2" s="62"/>
      <c r="JPX2" s="62"/>
      <c r="JPY2" s="62"/>
      <c r="JPZ2" s="62"/>
      <c r="JQA2" s="62"/>
      <c r="JQB2" s="62"/>
      <c r="JQC2" s="62"/>
      <c r="JQD2" s="62"/>
      <c r="JQE2" s="62"/>
      <c r="JQF2" s="62"/>
      <c r="JQG2" s="62"/>
      <c r="JQH2" s="62"/>
      <c r="JQI2" s="62"/>
      <c r="JQJ2" s="62"/>
      <c r="JQK2" s="62"/>
      <c r="JQL2" s="62"/>
      <c r="JQM2" s="62"/>
      <c r="JQN2" s="62"/>
      <c r="JQO2" s="62"/>
      <c r="JQP2" s="62"/>
      <c r="JQQ2" s="62"/>
      <c r="JQR2" s="62"/>
      <c r="JQS2" s="62"/>
      <c r="JQT2" s="62"/>
      <c r="JQU2" s="62"/>
      <c r="JQV2" s="62"/>
      <c r="JQW2" s="62"/>
      <c r="JQX2" s="62"/>
      <c r="JQY2" s="62"/>
      <c r="JQZ2" s="62"/>
      <c r="JRA2" s="62"/>
      <c r="JRB2" s="62"/>
      <c r="JRC2" s="62"/>
      <c r="JRD2" s="62"/>
      <c r="JRE2" s="62"/>
      <c r="JRF2" s="62"/>
      <c r="JRG2" s="62"/>
      <c r="JRH2" s="62"/>
      <c r="JRI2" s="62"/>
      <c r="JRJ2" s="62"/>
      <c r="JRK2" s="62"/>
      <c r="JRL2" s="62"/>
      <c r="JRM2" s="62"/>
      <c r="JRN2" s="62"/>
      <c r="JRO2" s="62"/>
      <c r="JRP2" s="62"/>
      <c r="JRQ2" s="62"/>
      <c r="JRR2" s="62"/>
      <c r="JRS2" s="62"/>
      <c r="JRT2" s="62"/>
      <c r="JRU2" s="62"/>
      <c r="JRV2" s="62"/>
      <c r="JRW2" s="62"/>
      <c r="JRX2" s="62"/>
      <c r="JRY2" s="62"/>
      <c r="JRZ2" s="62"/>
      <c r="JSA2" s="62"/>
      <c r="JSB2" s="62"/>
      <c r="JSC2" s="62"/>
      <c r="JSD2" s="62"/>
      <c r="JSE2" s="62"/>
      <c r="JSF2" s="62"/>
      <c r="JSG2" s="62"/>
      <c r="JSH2" s="62"/>
      <c r="JSI2" s="62"/>
      <c r="JSJ2" s="62"/>
      <c r="JSK2" s="62"/>
      <c r="JSL2" s="62"/>
      <c r="JSM2" s="62"/>
      <c r="JSN2" s="62"/>
      <c r="JSO2" s="62"/>
      <c r="JSP2" s="62"/>
      <c r="JSQ2" s="62"/>
      <c r="JSR2" s="62"/>
      <c r="JSS2" s="62"/>
      <c r="JST2" s="62"/>
      <c r="JSU2" s="62"/>
      <c r="JSV2" s="62"/>
      <c r="JSW2" s="62"/>
      <c r="JSX2" s="62"/>
      <c r="JSY2" s="62"/>
      <c r="JSZ2" s="62"/>
      <c r="JTA2" s="62"/>
      <c r="JTB2" s="62"/>
      <c r="JTC2" s="62"/>
      <c r="JTD2" s="62"/>
      <c r="JTE2" s="62"/>
      <c r="JTF2" s="62"/>
      <c r="JTG2" s="62"/>
      <c r="JTH2" s="62"/>
      <c r="JTI2" s="62"/>
      <c r="JTJ2" s="62"/>
      <c r="JTK2" s="62"/>
      <c r="JTL2" s="62"/>
      <c r="JTM2" s="62"/>
      <c r="JTN2" s="62"/>
      <c r="JTO2" s="62"/>
      <c r="JTP2" s="62"/>
      <c r="JTQ2" s="62"/>
      <c r="JTR2" s="62"/>
      <c r="JTS2" s="62"/>
      <c r="JTT2" s="62"/>
      <c r="JTU2" s="62"/>
      <c r="JTV2" s="62"/>
      <c r="JTW2" s="62"/>
      <c r="JTX2" s="62"/>
      <c r="JTY2" s="62"/>
      <c r="JTZ2" s="62"/>
      <c r="JUA2" s="62"/>
      <c r="JUB2" s="62"/>
      <c r="JUC2" s="62"/>
      <c r="JUD2" s="62"/>
      <c r="JUE2" s="62"/>
      <c r="JUF2" s="62"/>
      <c r="JUG2" s="62"/>
      <c r="JUH2" s="62"/>
      <c r="JUI2" s="62"/>
      <c r="JUJ2" s="62"/>
      <c r="JUK2" s="62"/>
      <c r="JUL2" s="62"/>
      <c r="JUM2" s="62"/>
      <c r="JUN2" s="62"/>
      <c r="JUO2" s="62"/>
      <c r="JUP2" s="62"/>
      <c r="JUQ2" s="62"/>
      <c r="JUR2" s="62"/>
      <c r="JUS2" s="62"/>
      <c r="JUT2" s="62"/>
      <c r="JUU2" s="62"/>
      <c r="JUV2" s="62"/>
      <c r="JUW2" s="62"/>
      <c r="JUX2" s="62"/>
      <c r="JUY2" s="62"/>
      <c r="JUZ2" s="62"/>
      <c r="JVA2" s="62"/>
      <c r="JVB2" s="62"/>
      <c r="JVC2" s="62"/>
      <c r="JVD2" s="62"/>
      <c r="JVE2" s="62"/>
      <c r="JVF2" s="62"/>
      <c r="JVG2" s="62"/>
      <c r="JVH2" s="62"/>
      <c r="JVI2" s="62"/>
      <c r="JVJ2" s="62"/>
      <c r="JVK2" s="62"/>
      <c r="JVL2" s="62"/>
      <c r="JVM2" s="62"/>
      <c r="JVN2" s="62"/>
      <c r="JVO2" s="62"/>
      <c r="JVP2" s="62"/>
      <c r="JVQ2" s="62"/>
      <c r="JVR2" s="62"/>
      <c r="JVS2" s="62"/>
      <c r="JVT2" s="62"/>
      <c r="JVU2" s="62"/>
      <c r="JVV2" s="62"/>
      <c r="JVW2" s="62"/>
      <c r="JVX2" s="62"/>
      <c r="JVY2" s="62"/>
      <c r="JVZ2" s="62"/>
      <c r="JWA2" s="62"/>
      <c r="JWB2" s="62"/>
      <c r="JWC2" s="62"/>
      <c r="JWD2" s="62"/>
      <c r="JWE2" s="62"/>
      <c r="JWF2" s="62"/>
      <c r="JWG2" s="62"/>
      <c r="JWH2" s="62"/>
      <c r="JWI2" s="62"/>
      <c r="JWJ2" s="62"/>
      <c r="JWK2" s="62"/>
      <c r="JWL2" s="62"/>
      <c r="JWM2" s="62"/>
      <c r="JWN2" s="62"/>
      <c r="JWO2" s="62"/>
      <c r="JWP2" s="62"/>
      <c r="JWQ2" s="62"/>
      <c r="JWR2" s="62"/>
      <c r="JWS2" s="62"/>
      <c r="JWT2" s="62"/>
      <c r="JWU2" s="62"/>
      <c r="JWV2" s="62"/>
      <c r="JWW2" s="62"/>
      <c r="JWX2" s="62"/>
      <c r="JWY2" s="62"/>
      <c r="JWZ2" s="62"/>
      <c r="JXA2" s="62"/>
      <c r="JXB2" s="62"/>
      <c r="JXC2" s="62"/>
      <c r="JXD2" s="62"/>
      <c r="JXE2" s="62"/>
      <c r="JXF2" s="62"/>
      <c r="JXG2" s="62"/>
      <c r="JXH2" s="62"/>
      <c r="JXI2" s="62"/>
      <c r="JXJ2" s="62"/>
      <c r="JXK2" s="62"/>
      <c r="JXL2" s="62"/>
      <c r="JXM2" s="62"/>
      <c r="JXN2" s="62"/>
      <c r="JXO2" s="62"/>
      <c r="JXP2" s="62"/>
      <c r="JXQ2" s="62"/>
      <c r="JXR2" s="62"/>
      <c r="JXS2" s="62"/>
      <c r="JXT2" s="62"/>
      <c r="JXU2" s="62"/>
      <c r="JXV2" s="62"/>
      <c r="JXW2" s="62"/>
      <c r="JXX2" s="62"/>
      <c r="JXY2" s="62"/>
      <c r="JXZ2" s="62"/>
      <c r="JYA2" s="62"/>
      <c r="JYB2" s="62"/>
      <c r="JYC2" s="62"/>
      <c r="JYD2" s="62"/>
      <c r="JYE2" s="62"/>
      <c r="JYF2" s="62"/>
      <c r="JYG2" s="62"/>
      <c r="JYH2" s="62"/>
      <c r="JYI2" s="62"/>
      <c r="JYJ2" s="62"/>
      <c r="JYK2" s="62"/>
      <c r="JYL2" s="62"/>
      <c r="JYM2" s="62"/>
      <c r="JYN2" s="62"/>
      <c r="JYO2" s="62"/>
      <c r="JYP2" s="62"/>
      <c r="JYQ2" s="62"/>
      <c r="JYR2" s="62"/>
      <c r="JYS2" s="62"/>
      <c r="JYT2" s="62"/>
      <c r="JYU2" s="62"/>
      <c r="JYV2" s="62"/>
      <c r="JYW2" s="62"/>
      <c r="JYX2" s="62"/>
      <c r="JYY2" s="62"/>
      <c r="JYZ2" s="62"/>
      <c r="JZA2" s="62"/>
      <c r="JZB2" s="62"/>
      <c r="JZC2" s="62"/>
      <c r="JZD2" s="62"/>
      <c r="JZE2" s="62"/>
      <c r="JZF2" s="62"/>
      <c r="JZG2" s="62"/>
      <c r="JZH2" s="62"/>
      <c r="JZI2" s="62"/>
      <c r="JZJ2" s="62"/>
      <c r="JZK2" s="62"/>
      <c r="JZL2" s="62"/>
      <c r="JZM2" s="62"/>
      <c r="JZN2" s="62"/>
      <c r="JZO2" s="62"/>
      <c r="JZP2" s="62"/>
      <c r="JZQ2" s="62"/>
      <c r="JZR2" s="62"/>
      <c r="JZS2" s="62"/>
      <c r="JZT2" s="62"/>
      <c r="JZU2" s="62"/>
      <c r="JZV2" s="62"/>
      <c r="JZW2" s="62"/>
      <c r="JZX2" s="62"/>
      <c r="JZY2" s="62"/>
      <c r="JZZ2" s="62"/>
      <c r="KAA2" s="62"/>
      <c r="KAB2" s="62"/>
      <c r="KAC2" s="62"/>
      <c r="KAD2" s="62"/>
      <c r="KAE2" s="62"/>
      <c r="KAF2" s="62"/>
      <c r="KAG2" s="62"/>
      <c r="KAH2" s="62"/>
      <c r="KAI2" s="62"/>
      <c r="KAJ2" s="62"/>
      <c r="KAK2" s="62"/>
      <c r="KAL2" s="62"/>
      <c r="KAM2" s="62"/>
      <c r="KAN2" s="62"/>
      <c r="KAO2" s="62"/>
      <c r="KAP2" s="62"/>
      <c r="KAQ2" s="62"/>
      <c r="KAR2" s="62"/>
      <c r="KAS2" s="62"/>
      <c r="KAT2" s="62"/>
      <c r="KAU2" s="62"/>
      <c r="KAV2" s="62"/>
      <c r="KAW2" s="62"/>
      <c r="KAX2" s="62"/>
      <c r="KAY2" s="62"/>
      <c r="KAZ2" s="62"/>
      <c r="KBA2" s="62"/>
      <c r="KBB2" s="62"/>
      <c r="KBC2" s="62"/>
      <c r="KBD2" s="62"/>
      <c r="KBE2" s="62"/>
      <c r="KBF2" s="62"/>
      <c r="KBG2" s="62"/>
      <c r="KBH2" s="62"/>
      <c r="KBI2" s="62"/>
      <c r="KBJ2" s="62"/>
      <c r="KBK2" s="62"/>
      <c r="KBL2" s="62"/>
      <c r="KBM2" s="62"/>
      <c r="KBN2" s="62"/>
      <c r="KBO2" s="62"/>
      <c r="KBP2" s="62"/>
      <c r="KBQ2" s="62"/>
      <c r="KBR2" s="62"/>
      <c r="KBS2" s="62"/>
      <c r="KBT2" s="62"/>
      <c r="KBU2" s="62"/>
      <c r="KBV2" s="62"/>
      <c r="KBW2" s="62"/>
      <c r="KBX2" s="62"/>
      <c r="KBY2" s="62"/>
      <c r="KBZ2" s="62"/>
      <c r="KCA2" s="62"/>
      <c r="KCB2" s="62"/>
      <c r="KCC2" s="62"/>
      <c r="KCD2" s="62"/>
      <c r="KCE2" s="62"/>
      <c r="KCF2" s="62"/>
      <c r="KCG2" s="62"/>
      <c r="KCH2" s="62"/>
      <c r="KCI2" s="62"/>
      <c r="KCJ2" s="62"/>
      <c r="KCK2" s="62"/>
      <c r="KCL2" s="62"/>
      <c r="KCM2" s="62"/>
      <c r="KCN2" s="62"/>
      <c r="KCO2" s="62"/>
      <c r="KCP2" s="62"/>
      <c r="KCQ2" s="62"/>
      <c r="KCR2" s="62"/>
      <c r="KCS2" s="62"/>
      <c r="KCT2" s="62"/>
      <c r="KCU2" s="62"/>
      <c r="KCV2" s="62"/>
      <c r="KCW2" s="62"/>
      <c r="KCX2" s="62"/>
      <c r="KCY2" s="62"/>
      <c r="KCZ2" s="62"/>
      <c r="KDA2" s="62"/>
      <c r="KDB2" s="62"/>
      <c r="KDC2" s="62"/>
      <c r="KDD2" s="62"/>
      <c r="KDE2" s="62"/>
      <c r="KDF2" s="62"/>
      <c r="KDG2" s="62"/>
      <c r="KDH2" s="62"/>
      <c r="KDI2" s="62"/>
      <c r="KDJ2" s="62"/>
      <c r="KDK2" s="62"/>
      <c r="KDL2" s="62"/>
      <c r="KDM2" s="62"/>
      <c r="KDN2" s="62"/>
      <c r="KDO2" s="62"/>
      <c r="KDP2" s="62"/>
      <c r="KDQ2" s="62"/>
      <c r="KDR2" s="62"/>
      <c r="KDS2" s="62"/>
      <c r="KDT2" s="62"/>
      <c r="KDU2" s="62"/>
      <c r="KDV2" s="62"/>
      <c r="KDW2" s="62"/>
      <c r="KDX2" s="62"/>
      <c r="KDY2" s="62"/>
      <c r="KDZ2" s="62"/>
      <c r="KEA2" s="62"/>
      <c r="KEB2" s="62"/>
      <c r="KEC2" s="62"/>
      <c r="KED2" s="62"/>
      <c r="KEE2" s="62"/>
      <c r="KEF2" s="62"/>
      <c r="KEG2" s="62"/>
      <c r="KEH2" s="62"/>
      <c r="KEI2" s="62"/>
      <c r="KEJ2" s="62"/>
      <c r="KEK2" s="62"/>
      <c r="KEL2" s="62"/>
      <c r="KEM2" s="62"/>
      <c r="KEN2" s="62"/>
      <c r="KEO2" s="62"/>
      <c r="KEP2" s="62"/>
      <c r="KEQ2" s="62"/>
      <c r="KER2" s="62"/>
      <c r="KES2" s="62"/>
      <c r="KET2" s="62"/>
      <c r="KEU2" s="62"/>
      <c r="KEV2" s="62"/>
      <c r="KEW2" s="62"/>
      <c r="KEX2" s="62"/>
      <c r="KEY2" s="62"/>
      <c r="KEZ2" s="62"/>
      <c r="KFA2" s="62"/>
      <c r="KFB2" s="62"/>
      <c r="KFC2" s="62"/>
      <c r="KFD2" s="62"/>
      <c r="KFE2" s="62"/>
      <c r="KFF2" s="62"/>
      <c r="KFG2" s="62"/>
      <c r="KFH2" s="62"/>
      <c r="KFI2" s="62"/>
      <c r="KFJ2" s="62"/>
      <c r="KFK2" s="62"/>
      <c r="KFL2" s="62"/>
      <c r="KFM2" s="62"/>
      <c r="KFN2" s="62"/>
      <c r="KFO2" s="62"/>
      <c r="KFP2" s="62"/>
      <c r="KFQ2" s="62"/>
      <c r="KFR2" s="62"/>
      <c r="KFS2" s="62"/>
      <c r="KFT2" s="62"/>
      <c r="KFU2" s="62"/>
      <c r="KFV2" s="62"/>
      <c r="KFW2" s="62"/>
      <c r="KFX2" s="62"/>
      <c r="KFY2" s="62"/>
      <c r="KFZ2" s="62"/>
      <c r="KGA2" s="62"/>
      <c r="KGB2" s="62"/>
      <c r="KGC2" s="62"/>
      <c r="KGD2" s="62"/>
      <c r="KGE2" s="62"/>
      <c r="KGF2" s="62"/>
      <c r="KGG2" s="62"/>
      <c r="KGH2" s="62"/>
      <c r="KGI2" s="62"/>
      <c r="KGJ2" s="62"/>
      <c r="KGK2" s="62"/>
      <c r="KGL2" s="62"/>
      <c r="KGM2" s="62"/>
      <c r="KGN2" s="62"/>
      <c r="KGO2" s="62"/>
      <c r="KGP2" s="62"/>
      <c r="KGQ2" s="62"/>
      <c r="KGR2" s="62"/>
      <c r="KGS2" s="62"/>
      <c r="KGT2" s="62"/>
      <c r="KGU2" s="62"/>
      <c r="KGV2" s="62"/>
      <c r="KGW2" s="62"/>
      <c r="KGX2" s="62"/>
      <c r="KGY2" s="62"/>
      <c r="KGZ2" s="62"/>
      <c r="KHA2" s="62"/>
      <c r="KHB2" s="62"/>
      <c r="KHC2" s="62"/>
      <c r="KHD2" s="62"/>
      <c r="KHE2" s="62"/>
      <c r="KHF2" s="62"/>
      <c r="KHG2" s="62"/>
      <c r="KHH2" s="62"/>
      <c r="KHI2" s="62"/>
      <c r="KHJ2" s="62"/>
      <c r="KHK2" s="62"/>
      <c r="KHL2" s="62"/>
      <c r="KHM2" s="62"/>
      <c r="KHN2" s="62"/>
      <c r="KHO2" s="62"/>
      <c r="KHP2" s="62"/>
      <c r="KHQ2" s="62"/>
      <c r="KHR2" s="62"/>
      <c r="KHS2" s="62"/>
      <c r="KHT2" s="62"/>
      <c r="KHU2" s="62"/>
      <c r="KHV2" s="62"/>
      <c r="KHW2" s="62"/>
      <c r="KHX2" s="62"/>
      <c r="KHY2" s="62"/>
      <c r="KHZ2" s="62"/>
      <c r="KIA2" s="62"/>
      <c r="KIB2" s="62"/>
      <c r="KIC2" s="62"/>
      <c r="KID2" s="62"/>
      <c r="KIE2" s="62"/>
      <c r="KIF2" s="62"/>
      <c r="KIG2" s="62"/>
      <c r="KIH2" s="62"/>
      <c r="KII2" s="62"/>
      <c r="KIJ2" s="62"/>
      <c r="KIK2" s="62"/>
      <c r="KIL2" s="62"/>
      <c r="KIM2" s="62"/>
      <c r="KIN2" s="62"/>
      <c r="KIO2" s="62"/>
      <c r="KIP2" s="62"/>
      <c r="KIQ2" s="62"/>
      <c r="KIR2" s="62"/>
      <c r="KIS2" s="62"/>
      <c r="KIT2" s="62"/>
      <c r="KIU2" s="62"/>
      <c r="KIV2" s="62"/>
      <c r="KIW2" s="62"/>
      <c r="KIX2" s="62"/>
      <c r="KIY2" s="62"/>
      <c r="KIZ2" s="62"/>
      <c r="KJA2" s="62"/>
      <c r="KJB2" s="62"/>
      <c r="KJC2" s="62"/>
      <c r="KJD2" s="62"/>
      <c r="KJE2" s="62"/>
      <c r="KJF2" s="62"/>
      <c r="KJG2" s="62"/>
      <c r="KJH2" s="62"/>
      <c r="KJI2" s="62"/>
      <c r="KJJ2" s="62"/>
      <c r="KJK2" s="62"/>
      <c r="KJL2" s="62"/>
      <c r="KJM2" s="62"/>
      <c r="KJN2" s="62"/>
      <c r="KJO2" s="62"/>
      <c r="KJP2" s="62"/>
      <c r="KJQ2" s="62"/>
      <c r="KJR2" s="62"/>
      <c r="KJS2" s="62"/>
      <c r="KJT2" s="62"/>
      <c r="KJU2" s="62"/>
      <c r="KJV2" s="62"/>
      <c r="KJW2" s="62"/>
      <c r="KJX2" s="62"/>
      <c r="KJY2" s="62"/>
      <c r="KJZ2" s="62"/>
      <c r="KKA2" s="62"/>
      <c r="KKB2" s="62"/>
      <c r="KKC2" s="62"/>
      <c r="KKD2" s="62"/>
      <c r="KKE2" s="62"/>
      <c r="KKF2" s="62"/>
      <c r="KKG2" s="62"/>
      <c r="KKH2" s="62"/>
      <c r="KKI2" s="62"/>
      <c r="KKJ2" s="62"/>
      <c r="KKK2" s="62"/>
      <c r="KKL2" s="62"/>
      <c r="KKM2" s="62"/>
      <c r="KKN2" s="62"/>
      <c r="KKO2" s="62"/>
      <c r="KKP2" s="62"/>
      <c r="KKQ2" s="62"/>
      <c r="KKR2" s="62"/>
      <c r="KKS2" s="62"/>
      <c r="KKT2" s="62"/>
      <c r="KKU2" s="62"/>
      <c r="KKV2" s="62"/>
      <c r="KKW2" s="62"/>
      <c r="KKX2" s="62"/>
      <c r="KKY2" s="62"/>
      <c r="KKZ2" s="62"/>
      <c r="KLA2" s="62"/>
      <c r="KLB2" s="62"/>
      <c r="KLC2" s="62"/>
      <c r="KLD2" s="62"/>
      <c r="KLE2" s="62"/>
      <c r="KLF2" s="62"/>
      <c r="KLG2" s="62"/>
      <c r="KLH2" s="62"/>
      <c r="KLI2" s="62"/>
      <c r="KLJ2" s="62"/>
      <c r="KLK2" s="62"/>
      <c r="KLL2" s="62"/>
      <c r="KLM2" s="62"/>
      <c r="KLN2" s="62"/>
      <c r="KLO2" s="62"/>
      <c r="KLP2" s="62"/>
      <c r="KLQ2" s="62"/>
      <c r="KLR2" s="62"/>
      <c r="KLS2" s="62"/>
      <c r="KLT2" s="62"/>
      <c r="KLU2" s="62"/>
      <c r="KLV2" s="62"/>
      <c r="KLW2" s="62"/>
      <c r="KLX2" s="62"/>
      <c r="KLY2" s="62"/>
      <c r="KLZ2" s="62"/>
      <c r="KMA2" s="62"/>
      <c r="KMB2" s="62"/>
      <c r="KMC2" s="62"/>
      <c r="KMD2" s="62"/>
      <c r="KME2" s="62"/>
      <c r="KMF2" s="62"/>
      <c r="KMG2" s="62"/>
      <c r="KMH2" s="62"/>
      <c r="KMI2" s="62"/>
      <c r="KMJ2" s="62"/>
      <c r="KMK2" s="62"/>
      <c r="KML2" s="62"/>
      <c r="KMM2" s="62"/>
      <c r="KMN2" s="62"/>
      <c r="KMO2" s="62"/>
      <c r="KMP2" s="62"/>
      <c r="KMQ2" s="62"/>
      <c r="KMR2" s="62"/>
      <c r="KMS2" s="62"/>
      <c r="KMT2" s="62"/>
      <c r="KMU2" s="62"/>
      <c r="KMV2" s="62"/>
      <c r="KMW2" s="62"/>
      <c r="KMX2" s="62"/>
      <c r="KMY2" s="62"/>
      <c r="KMZ2" s="62"/>
      <c r="KNA2" s="62"/>
      <c r="KNB2" s="62"/>
      <c r="KNC2" s="62"/>
      <c r="KND2" s="62"/>
      <c r="KNE2" s="62"/>
      <c r="KNF2" s="62"/>
      <c r="KNG2" s="62"/>
      <c r="KNH2" s="62"/>
      <c r="KNI2" s="62"/>
      <c r="KNJ2" s="62"/>
      <c r="KNK2" s="62"/>
      <c r="KNL2" s="62"/>
      <c r="KNM2" s="62"/>
      <c r="KNN2" s="62"/>
      <c r="KNO2" s="62"/>
      <c r="KNP2" s="62"/>
      <c r="KNQ2" s="62"/>
      <c r="KNR2" s="62"/>
      <c r="KNS2" s="62"/>
      <c r="KNT2" s="62"/>
      <c r="KNU2" s="62"/>
      <c r="KNV2" s="62"/>
      <c r="KNW2" s="62"/>
      <c r="KNX2" s="62"/>
      <c r="KNY2" s="62"/>
      <c r="KNZ2" s="62"/>
      <c r="KOA2" s="62"/>
      <c r="KOB2" s="62"/>
      <c r="KOC2" s="62"/>
      <c r="KOD2" s="62"/>
      <c r="KOE2" s="62"/>
      <c r="KOF2" s="62"/>
      <c r="KOG2" s="62"/>
      <c r="KOH2" s="62"/>
      <c r="KOI2" s="62"/>
      <c r="KOJ2" s="62"/>
      <c r="KOK2" s="62"/>
      <c r="KOL2" s="62"/>
      <c r="KOM2" s="62"/>
      <c r="KON2" s="62"/>
      <c r="KOO2" s="62"/>
      <c r="KOP2" s="62"/>
      <c r="KOQ2" s="62"/>
      <c r="KOR2" s="62"/>
      <c r="KOS2" s="62"/>
      <c r="KOT2" s="62"/>
      <c r="KOU2" s="62"/>
      <c r="KOV2" s="62"/>
      <c r="KOW2" s="62"/>
      <c r="KOX2" s="62"/>
      <c r="KOY2" s="62"/>
      <c r="KOZ2" s="62"/>
      <c r="KPA2" s="62"/>
      <c r="KPB2" s="62"/>
      <c r="KPC2" s="62"/>
      <c r="KPD2" s="62"/>
      <c r="KPE2" s="62"/>
      <c r="KPF2" s="62"/>
      <c r="KPG2" s="62"/>
      <c r="KPH2" s="62"/>
      <c r="KPI2" s="62"/>
      <c r="KPJ2" s="62"/>
      <c r="KPK2" s="62"/>
      <c r="KPL2" s="62"/>
      <c r="KPM2" s="62"/>
      <c r="KPN2" s="62"/>
      <c r="KPO2" s="62"/>
      <c r="KPP2" s="62"/>
      <c r="KPQ2" s="62"/>
      <c r="KPR2" s="62"/>
      <c r="KPS2" s="62"/>
      <c r="KPT2" s="62"/>
      <c r="KPU2" s="62"/>
      <c r="KPV2" s="62"/>
      <c r="KPW2" s="62"/>
      <c r="KPX2" s="62"/>
      <c r="KPY2" s="62"/>
      <c r="KPZ2" s="62"/>
      <c r="KQA2" s="62"/>
      <c r="KQB2" s="62"/>
      <c r="KQC2" s="62"/>
      <c r="KQD2" s="62"/>
      <c r="KQE2" s="62"/>
      <c r="KQF2" s="62"/>
      <c r="KQG2" s="62"/>
      <c r="KQH2" s="62"/>
      <c r="KQI2" s="62"/>
      <c r="KQJ2" s="62"/>
      <c r="KQK2" s="62"/>
      <c r="KQL2" s="62"/>
      <c r="KQM2" s="62"/>
      <c r="KQN2" s="62"/>
      <c r="KQO2" s="62"/>
      <c r="KQP2" s="62"/>
      <c r="KQQ2" s="62"/>
      <c r="KQR2" s="62"/>
      <c r="KQS2" s="62"/>
      <c r="KQT2" s="62"/>
      <c r="KQU2" s="62"/>
      <c r="KQV2" s="62"/>
      <c r="KQW2" s="62"/>
      <c r="KQX2" s="62"/>
      <c r="KQY2" s="62"/>
      <c r="KQZ2" s="62"/>
      <c r="KRA2" s="62"/>
      <c r="KRB2" s="62"/>
      <c r="KRC2" s="62"/>
      <c r="KRD2" s="62"/>
      <c r="KRE2" s="62"/>
      <c r="KRF2" s="62"/>
      <c r="KRG2" s="62"/>
      <c r="KRH2" s="62"/>
      <c r="KRI2" s="62"/>
      <c r="KRJ2" s="62"/>
      <c r="KRK2" s="62"/>
      <c r="KRL2" s="62"/>
      <c r="KRM2" s="62"/>
      <c r="KRN2" s="62"/>
      <c r="KRO2" s="62"/>
      <c r="KRP2" s="62"/>
      <c r="KRQ2" s="62"/>
      <c r="KRR2" s="62"/>
      <c r="KRS2" s="62"/>
      <c r="KRT2" s="62"/>
      <c r="KRU2" s="62"/>
      <c r="KRV2" s="62"/>
      <c r="KRW2" s="62"/>
      <c r="KRX2" s="62"/>
      <c r="KRY2" s="62"/>
      <c r="KRZ2" s="62"/>
      <c r="KSA2" s="62"/>
      <c r="KSB2" s="62"/>
      <c r="KSC2" s="62"/>
      <c r="KSD2" s="62"/>
      <c r="KSE2" s="62"/>
      <c r="KSF2" s="62"/>
      <c r="KSG2" s="62"/>
      <c r="KSH2" s="62"/>
      <c r="KSI2" s="62"/>
      <c r="KSJ2" s="62"/>
      <c r="KSK2" s="62"/>
      <c r="KSL2" s="62"/>
      <c r="KSM2" s="62"/>
      <c r="KSN2" s="62"/>
      <c r="KSO2" s="62"/>
      <c r="KSP2" s="62"/>
      <c r="KSQ2" s="62"/>
      <c r="KSR2" s="62"/>
      <c r="KSS2" s="62"/>
      <c r="KST2" s="62"/>
      <c r="KSU2" s="62"/>
      <c r="KSV2" s="62"/>
      <c r="KSW2" s="62"/>
      <c r="KSX2" s="62"/>
      <c r="KSY2" s="62"/>
      <c r="KSZ2" s="62"/>
      <c r="KTA2" s="62"/>
      <c r="KTB2" s="62"/>
      <c r="KTC2" s="62"/>
      <c r="KTD2" s="62"/>
      <c r="KTE2" s="62"/>
      <c r="KTF2" s="62"/>
      <c r="KTG2" s="62"/>
      <c r="KTH2" s="62"/>
      <c r="KTI2" s="62"/>
      <c r="KTJ2" s="62"/>
      <c r="KTK2" s="62"/>
      <c r="KTL2" s="62"/>
      <c r="KTM2" s="62"/>
      <c r="KTN2" s="62"/>
      <c r="KTO2" s="62"/>
      <c r="KTP2" s="62"/>
      <c r="KTQ2" s="62"/>
      <c r="KTR2" s="62"/>
      <c r="KTS2" s="62"/>
      <c r="KTT2" s="62"/>
      <c r="KTU2" s="62"/>
      <c r="KTV2" s="62"/>
      <c r="KTW2" s="62"/>
      <c r="KTX2" s="62"/>
      <c r="KTY2" s="62"/>
      <c r="KTZ2" s="62"/>
      <c r="KUA2" s="62"/>
      <c r="KUB2" s="62"/>
      <c r="KUC2" s="62"/>
      <c r="KUD2" s="62"/>
      <c r="KUE2" s="62"/>
      <c r="KUF2" s="62"/>
      <c r="KUG2" s="62"/>
      <c r="KUH2" s="62"/>
      <c r="KUI2" s="62"/>
      <c r="KUJ2" s="62"/>
      <c r="KUK2" s="62"/>
      <c r="KUL2" s="62"/>
      <c r="KUM2" s="62"/>
      <c r="KUN2" s="62"/>
      <c r="KUO2" s="62"/>
      <c r="KUP2" s="62"/>
      <c r="KUQ2" s="62"/>
      <c r="KUR2" s="62"/>
      <c r="KUS2" s="62"/>
      <c r="KUT2" s="62"/>
      <c r="KUU2" s="62"/>
      <c r="KUV2" s="62"/>
      <c r="KUW2" s="62"/>
      <c r="KUX2" s="62"/>
      <c r="KUY2" s="62"/>
      <c r="KUZ2" s="62"/>
      <c r="KVA2" s="62"/>
      <c r="KVB2" s="62"/>
      <c r="KVC2" s="62"/>
      <c r="KVD2" s="62"/>
      <c r="KVE2" s="62"/>
      <c r="KVF2" s="62"/>
      <c r="KVG2" s="62"/>
      <c r="KVH2" s="62"/>
      <c r="KVI2" s="62"/>
      <c r="KVJ2" s="62"/>
      <c r="KVK2" s="62"/>
      <c r="KVL2" s="62"/>
      <c r="KVM2" s="62"/>
      <c r="KVN2" s="62"/>
      <c r="KVO2" s="62"/>
      <c r="KVP2" s="62"/>
      <c r="KVQ2" s="62"/>
      <c r="KVR2" s="62"/>
      <c r="KVS2" s="62"/>
      <c r="KVT2" s="62"/>
      <c r="KVU2" s="62"/>
      <c r="KVV2" s="62"/>
      <c r="KVW2" s="62"/>
      <c r="KVX2" s="62"/>
      <c r="KVY2" s="62"/>
      <c r="KVZ2" s="62"/>
      <c r="KWA2" s="62"/>
      <c r="KWB2" s="62"/>
      <c r="KWC2" s="62"/>
      <c r="KWD2" s="62"/>
      <c r="KWE2" s="62"/>
      <c r="KWF2" s="62"/>
      <c r="KWG2" s="62"/>
      <c r="KWH2" s="62"/>
      <c r="KWI2" s="62"/>
      <c r="KWJ2" s="62"/>
      <c r="KWK2" s="62"/>
      <c r="KWL2" s="62"/>
      <c r="KWM2" s="62"/>
      <c r="KWN2" s="62"/>
      <c r="KWO2" s="62"/>
      <c r="KWP2" s="62"/>
      <c r="KWQ2" s="62"/>
      <c r="KWR2" s="62"/>
      <c r="KWS2" s="62"/>
      <c r="KWT2" s="62"/>
      <c r="KWU2" s="62"/>
      <c r="KWV2" s="62"/>
      <c r="KWW2" s="62"/>
      <c r="KWX2" s="62"/>
      <c r="KWY2" s="62"/>
      <c r="KWZ2" s="62"/>
      <c r="KXA2" s="62"/>
      <c r="KXB2" s="62"/>
      <c r="KXC2" s="62"/>
      <c r="KXD2" s="62"/>
      <c r="KXE2" s="62"/>
      <c r="KXF2" s="62"/>
      <c r="KXG2" s="62"/>
      <c r="KXH2" s="62"/>
      <c r="KXI2" s="62"/>
      <c r="KXJ2" s="62"/>
      <c r="KXK2" s="62"/>
      <c r="KXL2" s="62"/>
      <c r="KXM2" s="62"/>
      <c r="KXN2" s="62"/>
      <c r="KXO2" s="62"/>
      <c r="KXP2" s="62"/>
      <c r="KXQ2" s="62"/>
      <c r="KXR2" s="62"/>
      <c r="KXS2" s="62"/>
      <c r="KXT2" s="62"/>
      <c r="KXU2" s="62"/>
      <c r="KXV2" s="62"/>
      <c r="KXW2" s="62"/>
      <c r="KXX2" s="62"/>
      <c r="KXY2" s="62"/>
      <c r="KXZ2" s="62"/>
      <c r="KYA2" s="62"/>
      <c r="KYB2" s="62"/>
      <c r="KYC2" s="62"/>
      <c r="KYD2" s="62"/>
      <c r="KYE2" s="62"/>
      <c r="KYF2" s="62"/>
      <c r="KYG2" s="62"/>
      <c r="KYH2" s="62"/>
      <c r="KYI2" s="62"/>
      <c r="KYJ2" s="62"/>
      <c r="KYK2" s="62"/>
      <c r="KYL2" s="62"/>
      <c r="KYM2" s="62"/>
      <c r="KYN2" s="62"/>
      <c r="KYO2" s="62"/>
      <c r="KYP2" s="62"/>
      <c r="KYQ2" s="62"/>
      <c r="KYR2" s="62"/>
      <c r="KYS2" s="62"/>
      <c r="KYT2" s="62"/>
      <c r="KYU2" s="62"/>
      <c r="KYV2" s="62"/>
      <c r="KYW2" s="62"/>
      <c r="KYX2" s="62"/>
      <c r="KYY2" s="62"/>
      <c r="KYZ2" s="62"/>
      <c r="KZA2" s="62"/>
      <c r="KZB2" s="62"/>
      <c r="KZC2" s="62"/>
      <c r="KZD2" s="62"/>
      <c r="KZE2" s="62"/>
      <c r="KZF2" s="62"/>
      <c r="KZG2" s="62"/>
      <c r="KZH2" s="62"/>
      <c r="KZI2" s="62"/>
      <c r="KZJ2" s="62"/>
      <c r="KZK2" s="62"/>
      <c r="KZL2" s="62"/>
      <c r="KZM2" s="62"/>
      <c r="KZN2" s="62"/>
      <c r="KZO2" s="62"/>
      <c r="KZP2" s="62"/>
      <c r="KZQ2" s="62"/>
      <c r="KZR2" s="62"/>
      <c r="KZS2" s="62"/>
      <c r="KZT2" s="62"/>
      <c r="KZU2" s="62"/>
      <c r="KZV2" s="62"/>
      <c r="KZW2" s="62"/>
      <c r="KZX2" s="62"/>
      <c r="KZY2" s="62"/>
      <c r="KZZ2" s="62"/>
      <c r="LAA2" s="62"/>
      <c r="LAB2" s="62"/>
      <c r="LAC2" s="62"/>
      <c r="LAD2" s="62"/>
      <c r="LAE2" s="62"/>
      <c r="LAF2" s="62"/>
      <c r="LAG2" s="62"/>
      <c r="LAH2" s="62"/>
      <c r="LAI2" s="62"/>
      <c r="LAJ2" s="62"/>
      <c r="LAK2" s="62"/>
      <c r="LAL2" s="62"/>
      <c r="LAM2" s="62"/>
      <c r="LAN2" s="62"/>
      <c r="LAO2" s="62"/>
      <c r="LAP2" s="62"/>
      <c r="LAQ2" s="62"/>
      <c r="LAR2" s="62"/>
      <c r="LAS2" s="62"/>
      <c r="LAT2" s="62"/>
      <c r="LAU2" s="62"/>
      <c r="LAV2" s="62"/>
      <c r="LAW2" s="62"/>
      <c r="LAX2" s="62"/>
      <c r="LAY2" s="62"/>
      <c r="LAZ2" s="62"/>
      <c r="LBA2" s="62"/>
      <c r="LBB2" s="62"/>
      <c r="LBC2" s="62"/>
      <c r="LBD2" s="62"/>
      <c r="LBE2" s="62"/>
      <c r="LBF2" s="62"/>
      <c r="LBG2" s="62"/>
      <c r="LBH2" s="62"/>
      <c r="LBI2" s="62"/>
      <c r="LBJ2" s="62"/>
      <c r="LBK2" s="62"/>
      <c r="LBL2" s="62"/>
      <c r="LBM2" s="62"/>
      <c r="LBN2" s="62"/>
      <c r="LBO2" s="62"/>
      <c r="LBP2" s="62"/>
      <c r="LBQ2" s="62"/>
      <c r="LBR2" s="62"/>
      <c r="LBS2" s="62"/>
      <c r="LBT2" s="62"/>
      <c r="LBU2" s="62"/>
      <c r="LBV2" s="62"/>
      <c r="LBW2" s="62"/>
      <c r="LBX2" s="62"/>
      <c r="LBY2" s="62"/>
      <c r="LBZ2" s="62"/>
      <c r="LCA2" s="62"/>
      <c r="LCB2" s="62"/>
      <c r="LCC2" s="62"/>
      <c r="LCD2" s="62"/>
      <c r="LCE2" s="62"/>
      <c r="LCF2" s="62"/>
      <c r="LCG2" s="62"/>
      <c r="LCH2" s="62"/>
      <c r="LCI2" s="62"/>
      <c r="LCJ2" s="62"/>
      <c r="LCK2" s="62"/>
      <c r="LCL2" s="62"/>
      <c r="LCM2" s="62"/>
      <c r="LCN2" s="62"/>
      <c r="LCO2" s="62"/>
      <c r="LCP2" s="62"/>
      <c r="LCQ2" s="62"/>
      <c r="LCR2" s="62"/>
      <c r="LCS2" s="62"/>
      <c r="LCT2" s="62"/>
      <c r="LCU2" s="62"/>
      <c r="LCV2" s="62"/>
      <c r="LCW2" s="62"/>
      <c r="LCX2" s="62"/>
      <c r="LCY2" s="62"/>
      <c r="LCZ2" s="62"/>
      <c r="LDA2" s="62"/>
      <c r="LDB2" s="62"/>
      <c r="LDC2" s="62"/>
      <c r="LDD2" s="62"/>
      <c r="LDE2" s="62"/>
      <c r="LDF2" s="62"/>
      <c r="LDG2" s="62"/>
      <c r="LDH2" s="62"/>
      <c r="LDI2" s="62"/>
      <c r="LDJ2" s="62"/>
      <c r="LDK2" s="62"/>
      <c r="LDL2" s="62"/>
      <c r="LDM2" s="62"/>
      <c r="LDN2" s="62"/>
      <c r="LDO2" s="62"/>
      <c r="LDP2" s="62"/>
      <c r="LDQ2" s="62"/>
      <c r="LDR2" s="62"/>
      <c r="LDS2" s="62"/>
      <c r="LDT2" s="62"/>
      <c r="LDU2" s="62"/>
      <c r="LDV2" s="62"/>
      <c r="LDW2" s="62"/>
      <c r="LDX2" s="62"/>
      <c r="LDY2" s="62"/>
      <c r="LDZ2" s="62"/>
      <c r="LEA2" s="62"/>
      <c r="LEB2" s="62"/>
      <c r="LEC2" s="62"/>
      <c r="LED2" s="62"/>
      <c r="LEE2" s="62"/>
      <c r="LEF2" s="62"/>
      <c r="LEG2" s="62"/>
      <c r="LEH2" s="62"/>
      <c r="LEI2" s="62"/>
      <c r="LEJ2" s="62"/>
      <c r="LEK2" s="62"/>
      <c r="LEL2" s="62"/>
      <c r="LEM2" s="62"/>
      <c r="LEN2" s="62"/>
      <c r="LEO2" s="62"/>
      <c r="LEP2" s="62"/>
      <c r="LEQ2" s="62"/>
      <c r="LER2" s="62"/>
      <c r="LES2" s="62"/>
      <c r="LET2" s="62"/>
      <c r="LEU2" s="62"/>
      <c r="LEV2" s="62"/>
      <c r="LEW2" s="62"/>
      <c r="LEX2" s="62"/>
      <c r="LEY2" s="62"/>
      <c r="LEZ2" s="62"/>
      <c r="LFA2" s="62"/>
      <c r="LFB2" s="62"/>
      <c r="LFC2" s="62"/>
      <c r="LFD2" s="62"/>
      <c r="LFE2" s="62"/>
      <c r="LFF2" s="62"/>
      <c r="LFG2" s="62"/>
      <c r="LFH2" s="62"/>
      <c r="LFI2" s="62"/>
      <c r="LFJ2" s="62"/>
      <c r="LFK2" s="62"/>
      <c r="LFL2" s="62"/>
      <c r="LFM2" s="62"/>
      <c r="LFN2" s="62"/>
      <c r="LFO2" s="62"/>
      <c r="LFP2" s="62"/>
      <c r="LFQ2" s="62"/>
      <c r="LFR2" s="62"/>
      <c r="LFS2" s="62"/>
      <c r="LFT2" s="62"/>
      <c r="LFU2" s="62"/>
      <c r="LFV2" s="62"/>
      <c r="LFW2" s="62"/>
      <c r="LFX2" s="62"/>
      <c r="LFY2" s="62"/>
      <c r="LFZ2" s="62"/>
      <c r="LGA2" s="62"/>
      <c r="LGB2" s="62"/>
      <c r="LGC2" s="62"/>
      <c r="LGD2" s="62"/>
      <c r="LGE2" s="62"/>
      <c r="LGF2" s="62"/>
      <c r="LGG2" s="62"/>
      <c r="LGH2" s="62"/>
      <c r="LGI2" s="62"/>
      <c r="LGJ2" s="62"/>
      <c r="LGK2" s="62"/>
      <c r="LGL2" s="62"/>
      <c r="LGM2" s="62"/>
      <c r="LGN2" s="62"/>
      <c r="LGO2" s="62"/>
      <c r="LGP2" s="62"/>
      <c r="LGQ2" s="62"/>
      <c r="LGR2" s="62"/>
      <c r="LGS2" s="62"/>
      <c r="LGT2" s="62"/>
      <c r="LGU2" s="62"/>
      <c r="LGV2" s="62"/>
      <c r="LGW2" s="62"/>
      <c r="LGX2" s="62"/>
      <c r="LGY2" s="62"/>
      <c r="LGZ2" s="62"/>
      <c r="LHA2" s="62"/>
      <c r="LHB2" s="62"/>
      <c r="LHC2" s="62"/>
      <c r="LHD2" s="62"/>
      <c r="LHE2" s="62"/>
      <c r="LHF2" s="62"/>
      <c r="LHG2" s="62"/>
      <c r="LHH2" s="62"/>
      <c r="LHI2" s="62"/>
      <c r="LHJ2" s="62"/>
      <c r="LHK2" s="62"/>
      <c r="LHL2" s="62"/>
      <c r="LHM2" s="62"/>
      <c r="LHN2" s="62"/>
      <c r="LHO2" s="62"/>
      <c r="LHP2" s="62"/>
      <c r="LHQ2" s="62"/>
      <c r="LHR2" s="62"/>
      <c r="LHS2" s="62"/>
      <c r="LHT2" s="62"/>
      <c r="LHU2" s="62"/>
      <c r="LHV2" s="62"/>
      <c r="LHW2" s="62"/>
      <c r="LHX2" s="62"/>
      <c r="LHY2" s="62"/>
      <c r="LHZ2" s="62"/>
      <c r="LIA2" s="62"/>
      <c r="LIB2" s="62"/>
      <c r="LIC2" s="62"/>
      <c r="LID2" s="62"/>
      <c r="LIE2" s="62"/>
      <c r="LIF2" s="62"/>
      <c r="LIG2" s="62"/>
      <c r="LIH2" s="62"/>
      <c r="LII2" s="62"/>
      <c r="LIJ2" s="62"/>
      <c r="LIK2" s="62"/>
      <c r="LIL2" s="62"/>
      <c r="LIM2" s="62"/>
      <c r="LIN2" s="62"/>
      <c r="LIO2" s="62"/>
      <c r="LIP2" s="62"/>
      <c r="LIQ2" s="62"/>
      <c r="LIR2" s="62"/>
      <c r="LIS2" s="62"/>
      <c r="LIT2" s="62"/>
      <c r="LIU2" s="62"/>
      <c r="LIV2" s="62"/>
      <c r="LIW2" s="62"/>
      <c r="LIX2" s="62"/>
      <c r="LIY2" s="62"/>
      <c r="LIZ2" s="62"/>
      <c r="LJA2" s="62"/>
      <c r="LJB2" s="62"/>
      <c r="LJC2" s="62"/>
      <c r="LJD2" s="62"/>
      <c r="LJE2" s="62"/>
      <c r="LJF2" s="62"/>
      <c r="LJG2" s="62"/>
      <c r="LJH2" s="62"/>
      <c r="LJI2" s="62"/>
      <c r="LJJ2" s="62"/>
      <c r="LJK2" s="62"/>
      <c r="LJL2" s="62"/>
      <c r="LJM2" s="62"/>
      <c r="LJN2" s="62"/>
      <c r="LJO2" s="62"/>
      <c r="LJP2" s="62"/>
      <c r="LJQ2" s="62"/>
      <c r="LJR2" s="62"/>
      <c r="LJS2" s="62"/>
      <c r="LJT2" s="62"/>
      <c r="LJU2" s="62"/>
      <c r="LJV2" s="62"/>
      <c r="LJW2" s="62"/>
      <c r="LJX2" s="62"/>
      <c r="LJY2" s="62"/>
      <c r="LJZ2" s="62"/>
      <c r="LKA2" s="62"/>
      <c r="LKB2" s="62"/>
      <c r="LKC2" s="62"/>
      <c r="LKD2" s="62"/>
      <c r="LKE2" s="62"/>
      <c r="LKF2" s="62"/>
      <c r="LKG2" s="62"/>
      <c r="LKH2" s="62"/>
      <c r="LKI2" s="62"/>
      <c r="LKJ2" s="62"/>
      <c r="LKK2" s="62"/>
      <c r="LKL2" s="62"/>
      <c r="LKM2" s="62"/>
      <c r="LKN2" s="62"/>
      <c r="LKO2" s="62"/>
      <c r="LKP2" s="62"/>
      <c r="LKQ2" s="62"/>
      <c r="LKR2" s="62"/>
      <c r="LKS2" s="62"/>
      <c r="LKT2" s="62"/>
      <c r="LKU2" s="62"/>
      <c r="LKV2" s="62"/>
      <c r="LKW2" s="62"/>
      <c r="LKX2" s="62"/>
      <c r="LKY2" s="62"/>
      <c r="LKZ2" s="62"/>
      <c r="LLA2" s="62"/>
      <c r="LLB2" s="62"/>
      <c r="LLC2" s="62"/>
      <c r="LLD2" s="62"/>
      <c r="LLE2" s="62"/>
      <c r="LLF2" s="62"/>
      <c r="LLG2" s="62"/>
      <c r="LLH2" s="62"/>
      <c r="LLI2" s="62"/>
      <c r="LLJ2" s="62"/>
      <c r="LLK2" s="62"/>
      <c r="LLL2" s="62"/>
      <c r="LLM2" s="62"/>
      <c r="LLN2" s="62"/>
      <c r="LLO2" s="62"/>
      <c r="LLP2" s="62"/>
      <c r="LLQ2" s="62"/>
      <c r="LLR2" s="62"/>
      <c r="LLS2" s="62"/>
      <c r="LLT2" s="62"/>
      <c r="LLU2" s="62"/>
      <c r="LLV2" s="62"/>
      <c r="LLW2" s="62"/>
      <c r="LLX2" s="62"/>
      <c r="LLY2" s="62"/>
      <c r="LLZ2" s="62"/>
      <c r="LMA2" s="62"/>
      <c r="LMB2" s="62"/>
      <c r="LMC2" s="62"/>
      <c r="LMD2" s="62"/>
      <c r="LME2" s="62"/>
      <c r="LMF2" s="62"/>
      <c r="LMG2" s="62"/>
      <c r="LMH2" s="62"/>
      <c r="LMI2" s="62"/>
      <c r="LMJ2" s="62"/>
      <c r="LMK2" s="62"/>
      <c r="LML2" s="62"/>
      <c r="LMM2" s="62"/>
      <c r="LMN2" s="62"/>
      <c r="LMO2" s="62"/>
      <c r="LMP2" s="62"/>
      <c r="LMQ2" s="62"/>
      <c r="LMR2" s="62"/>
      <c r="LMS2" s="62"/>
      <c r="LMT2" s="62"/>
      <c r="LMU2" s="62"/>
      <c r="LMV2" s="62"/>
      <c r="LMW2" s="62"/>
      <c r="LMX2" s="62"/>
      <c r="LMY2" s="62"/>
      <c r="LMZ2" s="62"/>
      <c r="LNA2" s="62"/>
      <c r="LNB2" s="62"/>
      <c r="LNC2" s="62"/>
      <c r="LND2" s="62"/>
      <c r="LNE2" s="62"/>
      <c r="LNF2" s="62"/>
      <c r="LNG2" s="62"/>
      <c r="LNH2" s="62"/>
      <c r="LNI2" s="62"/>
      <c r="LNJ2" s="62"/>
      <c r="LNK2" s="62"/>
      <c r="LNL2" s="62"/>
      <c r="LNM2" s="62"/>
      <c r="LNN2" s="62"/>
      <c r="LNO2" s="62"/>
      <c r="LNP2" s="62"/>
      <c r="LNQ2" s="62"/>
      <c r="LNR2" s="62"/>
      <c r="LNS2" s="62"/>
      <c r="LNT2" s="62"/>
      <c r="LNU2" s="62"/>
      <c r="LNV2" s="62"/>
      <c r="LNW2" s="62"/>
      <c r="LNX2" s="62"/>
      <c r="LNY2" s="62"/>
      <c r="LNZ2" s="62"/>
      <c r="LOA2" s="62"/>
      <c r="LOB2" s="62"/>
      <c r="LOC2" s="62"/>
      <c r="LOD2" s="62"/>
      <c r="LOE2" s="62"/>
      <c r="LOF2" s="62"/>
      <c r="LOG2" s="62"/>
      <c r="LOH2" s="62"/>
      <c r="LOI2" s="62"/>
      <c r="LOJ2" s="62"/>
      <c r="LOK2" s="62"/>
      <c r="LOL2" s="62"/>
      <c r="LOM2" s="62"/>
      <c r="LON2" s="62"/>
      <c r="LOO2" s="62"/>
      <c r="LOP2" s="62"/>
      <c r="LOQ2" s="62"/>
      <c r="LOR2" s="62"/>
      <c r="LOS2" s="62"/>
      <c r="LOT2" s="62"/>
      <c r="LOU2" s="62"/>
      <c r="LOV2" s="62"/>
      <c r="LOW2" s="62"/>
      <c r="LOX2" s="62"/>
      <c r="LOY2" s="62"/>
      <c r="LOZ2" s="62"/>
      <c r="LPA2" s="62"/>
      <c r="LPB2" s="62"/>
      <c r="LPC2" s="62"/>
      <c r="LPD2" s="62"/>
      <c r="LPE2" s="62"/>
      <c r="LPF2" s="62"/>
      <c r="LPG2" s="62"/>
      <c r="LPH2" s="62"/>
      <c r="LPI2" s="62"/>
      <c r="LPJ2" s="62"/>
      <c r="LPK2" s="62"/>
      <c r="LPL2" s="62"/>
      <c r="LPM2" s="62"/>
      <c r="LPN2" s="62"/>
      <c r="LPO2" s="62"/>
      <c r="LPP2" s="62"/>
      <c r="LPQ2" s="62"/>
      <c r="LPR2" s="62"/>
      <c r="LPS2" s="62"/>
      <c r="LPT2" s="62"/>
      <c r="LPU2" s="62"/>
      <c r="LPV2" s="62"/>
      <c r="LPW2" s="62"/>
      <c r="LPX2" s="62"/>
      <c r="LPY2" s="62"/>
      <c r="LPZ2" s="62"/>
      <c r="LQA2" s="62"/>
      <c r="LQB2" s="62"/>
      <c r="LQC2" s="62"/>
      <c r="LQD2" s="62"/>
      <c r="LQE2" s="62"/>
      <c r="LQF2" s="62"/>
      <c r="LQG2" s="62"/>
      <c r="LQH2" s="62"/>
      <c r="LQI2" s="62"/>
      <c r="LQJ2" s="62"/>
      <c r="LQK2" s="62"/>
      <c r="LQL2" s="62"/>
      <c r="LQM2" s="62"/>
      <c r="LQN2" s="62"/>
      <c r="LQO2" s="62"/>
      <c r="LQP2" s="62"/>
      <c r="LQQ2" s="62"/>
      <c r="LQR2" s="62"/>
      <c r="LQS2" s="62"/>
      <c r="LQT2" s="62"/>
      <c r="LQU2" s="62"/>
      <c r="LQV2" s="62"/>
      <c r="LQW2" s="62"/>
      <c r="LQX2" s="62"/>
      <c r="LQY2" s="62"/>
      <c r="LQZ2" s="62"/>
      <c r="LRA2" s="62"/>
      <c r="LRB2" s="62"/>
      <c r="LRC2" s="62"/>
      <c r="LRD2" s="62"/>
      <c r="LRE2" s="62"/>
      <c r="LRF2" s="62"/>
      <c r="LRG2" s="62"/>
      <c r="LRH2" s="62"/>
      <c r="LRI2" s="62"/>
      <c r="LRJ2" s="62"/>
      <c r="LRK2" s="62"/>
      <c r="LRL2" s="62"/>
      <c r="LRM2" s="62"/>
      <c r="LRN2" s="62"/>
      <c r="LRO2" s="62"/>
      <c r="LRP2" s="62"/>
      <c r="LRQ2" s="62"/>
      <c r="LRR2" s="62"/>
      <c r="LRS2" s="62"/>
      <c r="LRT2" s="62"/>
      <c r="LRU2" s="62"/>
      <c r="LRV2" s="62"/>
      <c r="LRW2" s="62"/>
      <c r="LRX2" s="62"/>
      <c r="LRY2" s="62"/>
      <c r="LRZ2" s="62"/>
      <c r="LSA2" s="62"/>
      <c r="LSB2" s="62"/>
      <c r="LSC2" s="62"/>
      <c r="LSD2" s="62"/>
      <c r="LSE2" s="62"/>
      <c r="LSF2" s="62"/>
      <c r="LSG2" s="62"/>
      <c r="LSH2" s="62"/>
      <c r="LSI2" s="62"/>
      <c r="LSJ2" s="62"/>
      <c r="LSK2" s="62"/>
      <c r="LSL2" s="62"/>
      <c r="LSM2" s="62"/>
      <c r="LSN2" s="62"/>
      <c r="LSO2" s="62"/>
      <c r="LSP2" s="62"/>
      <c r="LSQ2" s="62"/>
      <c r="LSR2" s="62"/>
      <c r="LSS2" s="62"/>
      <c r="LST2" s="62"/>
      <c r="LSU2" s="62"/>
      <c r="LSV2" s="62"/>
      <c r="LSW2" s="62"/>
      <c r="LSX2" s="62"/>
      <c r="LSY2" s="62"/>
      <c r="LSZ2" s="62"/>
      <c r="LTA2" s="62"/>
      <c r="LTB2" s="62"/>
      <c r="LTC2" s="62"/>
      <c r="LTD2" s="62"/>
      <c r="LTE2" s="62"/>
      <c r="LTF2" s="62"/>
      <c r="LTG2" s="62"/>
      <c r="LTH2" s="62"/>
      <c r="LTI2" s="62"/>
      <c r="LTJ2" s="62"/>
      <c r="LTK2" s="62"/>
      <c r="LTL2" s="62"/>
      <c r="LTM2" s="62"/>
      <c r="LTN2" s="62"/>
      <c r="LTO2" s="62"/>
      <c r="LTP2" s="62"/>
      <c r="LTQ2" s="62"/>
      <c r="LTR2" s="62"/>
      <c r="LTS2" s="62"/>
      <c r="LTT2" s="62"/>
      <c r="LTU2" s="62"/>
      <c r="LTV2" s="62"/>
      <c r="LTW2" s="62"/>
      <c r="LTX2" s="62"/>
      <c r="LTY2" s="62"/>
      <c r="LTZ2" s="62"/>
      <c r="LUA2" s="62"/>
      <c r="LUB2" s="62"/>
      <c r="LUC2" s="62"/>
      <c r="LUD2" s="62"/>
      <c r="LUE2" s="62"/>
      <c r="LUF2" s="62"/>
      <c r="LUG2" s="62"/>
      <c r="LUH2" s="62"/>
      <c r="LUI2" s="62"/>
      <c r="LUJ2" s="62"/>
      <c r="LUK2" s="62"/>
      <c r="LUL2" s="62"/>
      <c r="LUM2" s="62"/>
      <c r="LUN2" s="62"/>
      <c r="LUO2" s="62"/>
      <c r="LUP2" s="62"/>
      <c r="LUQ2" s="62"/>
      <c r="LUR2" s="62"/>
      <c r="LUS2" s="62"/>
      <c r="LUT2" s="62"/>
      <c r="LUU2" s="62"/>
      <c r="LUV2" s="62"/>
      <c r="LUW2" s="62"/>
      <c r="LUX2" s="62"/>
      <c r="LUY2" s="62"/>
      <c r="LUZ2" s="62"/>
      <c r="LVA2" s="62"/>
      <c r="LVB2" s="62"/>
      <c r="LVC2" s="62"/>
      <c r="LVD2" s="62"/>
      <c r="LVE2" s="62"/>
      <c r="LVF2" s="62"/>
      <c r="LVG2" s="62"/>
      <c r="LVH2" s="62"/>
      <c r="LVI2" s="62"/>
      <c r="LVJ2" s="62"/>
      <c r="LVK2" s="62"/>
      <c r="LVL2" s="62"/>
      <c r="LVM2" s="62"/>
      <c r="LVN2" s="62"/>
      <c r="LVO2" s="62"/>
      <c r="LVP2" s="62"/>
      <c r="LVQ2" s="62"/>
      <c r="LVR2" s="62"/>
      <c r="LVS2" s="62"/>
      <c r="LVT2" s="62"/>
      <c r="LVU2" s="62"/>
      <c r="LVV2" s="62"/>
      <c r="LVW2" s="62"/>
      <c r="LVX2" s="62"/>
      <c r="LVY2" s="62"/>
      <c r="LVZ2" s="62"/>
      <c r="LWA2" s="62"/>
      <c r="LWB2" s="62"/>
      <c r="LWC2" s="62"/>
      <c r="LWD2" s="62"/>
      <c r="LWE2" s="62"/>
      <c r="LWF2" s="62"/>
      <c r="LWG2" s="62"/>
      <c r="LWH2" s="62"/>
      <c r="LWI2" s="62"/>
      <c r="LWJ2" s="62"/>
      <c r="LWK2" s="62"/>
      <c r="LWL2" s="62"/>
      <c r="LWM2" s="62"/>
      <c r="LWN2" s="62"/>
      <c r="LWO2" s="62"/>
      <c r="LWP2" s="62"/>
      <c r="LWQ2" s="62"/>
      <c r="LWR2" s="62"/>
      <c r="LWS2" s="62"/>
      <c r="LWT2" s="62"/>
      <c r="LWU2" s="62"/>
      <c r="LWV2" s="62"/>
      <c r="LWW2" s="62"/>
      <c r="LWX2" s="62"/>
      <c r="LWY2" s="62"/>
      <c r="LWZ2" s="62"/>
      <c r="LXA2" s="62"/>
      <c r="LXB2" s="62"/>
      <c r="LXC2" s="62"/>
      <c r="LXD2" s="62"/>
      <c r="LXE2" s="62"/>
      <c r="LXF2" s="62"/>
      <c r="LXG2" s="62"/>
      <c r="LXH2" s="62"/>
      <c r="LXI2" s="62"/>
      <c r="LXJ2" s="62"/>
      <c r="LXK2" s="62"/>
      <c r="LXL2" s="62"/>
      <c r="LXM2" s="62"/>
      <c r="LXN2" s="62"/>
      <c r="LXO2" s="62"/>
      <c r="LXP2" s="62"/>
      <c r="LXQ2" s="62"/>
      <c r="LXR2" s="62"/>
      <c r="LXS2" s="62"/>
      <c r="LXT2" s="62"/>
      <c r="LXU2" s="62"/>
      <c r="LXV2" s="62"/>
      <c r="LXW2" s="62"/>
      <c r="LXX2" s="62"/>
      <c r="LXY2" s="62"/>
      <c r="LXZ2" s="62"/>
      <c r="LYA2" s="62"/>
      <c r="LYB2" s="62"/>
      <c r="LYC2" s="62"/>
      <c r="LYD2" s="62"/>
      <c r="LYE2" s="62"/>
      <c r="LYF2" s="62"/>
      <c r="LYG2" s="62"/>
      <c r="LYH2" s="62"/>
      <c r="LYI2" s="62"/>
      <c r="LYJ2" s="62"/>
      <c r="LYK2" s="62"/>
      <c r="LYL2" s="62"/>
      <c r="LYM2" s="62"/>
      <c r="LYN2" s="62"/>
      <c r="LYO2" s="62"/>
      <c r="LYP2" s="62"/>
      <c r="LYQ2" s="62"/>
      <c r="LYR2" s="62"/>
      <c r="LYS2" s="62"/>
      <c r="LYT2" s="62"/>
      <c r="LYU2" s="62"/>
      <c r="LYV2" s="62"/>
      <c r="LYW2" s="62"/>
      <c r="LYX2" s="62"/>
      <c r="LYY2" s="62"/>
      <c r="LYZ2" s="62"/>
      <c r="LZA2" s="62"/>
      <c r="LZB2" s="62"/>
      <c r="LZC2" s="62"/>
      <c r="LZD2" s="62"/>
      <c r="LZE2" s="62"/>
      <c r="LZF2" s="62"/>
      <c r="LZG2" s="62"/>
      <c r="LZH2" s="62"/>
      <c r="LZI2" s="62"/>
      <c r="LZJ2" s="62"/>
      <c r="LZK2" s="62"/>
      <c r="LZL2" s="62"/>
      <c r="LZM2" s="62"/>
      <c r="LZN2" s="62"/>
      <c r="LZO2" s="62"/>
      <c r="LZP2" s="62"/>
      <c r="LZQ2" s="62"/>
      <c r="LZR2" s="62"/>
      <c r="LZS2" s="62"/>
      <c r="LZT2" s="62"/>
      <c r="LZU2" s="62"/>
      <c r="LZV2" s="62"/>
      <c r="LZW2" s="62"/>
      <c r="LZX2" s="62"/>
      <c r="LZY2" s="62"/>
      <c r="LZZ2" s="62"/>
      <c r="MAA2" s="62"/>
      <c r="MAB2" s="62"/>
      <c r="MAC2" s="62"/>
      <c r="MAD2" s="62"/>
      <c r="MAE2" s="62"/>
      <c r="MAF2" s="62"/>
      <c r="MAG2" s="62"/>
      <c r="MAH2" s="62"/>
      <c r="MAI2" s="62"/>
      <c r="MAJ2" s="62"/>
      <c r="MAK2" s="62"/>
      <c r="MAL2" s="62"/>
      <c r="MAM2" s="62"/>
      <c r="MAN2" s="62"/>
      <c r="MAO2" s="62"/>
      <c r="MAP2" s="62"/>
      <c r="MAQ2" s="62"/>
      <c r="MAR2" s="62"/>
      <c r="MAS2" s="62"/>
      <c r="MAT2" s="62"/>
      <c r="MAU2" s="62"/>
      <c r="MAV2" s="62"/>
      <c r="MAW2" s="62"/>
      <c r="MAX2" s="62"/>
      <c r="MAY2" s="62"/>
      <c r="MAZ2" s="62"/>
      <c r="MBA2" s="62"/>
      <c r="MBB2" s="62"/>
      <c r="MBC2" s="62"/>
      <c r="MBD2" s="62"/>
      <c r="MBE2" s="62"/>
      <c r="MBF2" s="62"/>
      <c r="MBG2" s="62"/>
      <c r="MBH2" s="62"/>
      <c r="MBI2" s="62"/>
      <c r="MBJ2" s="62"/>
      <c r="MBK2" s="62"/>
      <c r="MBL2" s="62"/>
      <c r="MBM2" s="62"/>
      <c r="MBN2" s="62"/>
      <c r="MBO2" s="62"/>
      <c r="MBP2" s="62"/>
      <c r="MBQ2" s="62"/>
      <c r="MBR2" s="62"/>
      <c r="MBS2" s="62"/>
      <c r="MBT2" s="62"/>
      <c r="MBU2" s="62"/>
      <c r="MBV2" s="62"/>
      <c r="MBW2" s="62"/>
      <c r="MBX2" s="62"/>
      <c r="MBY2" s="62"/>
      <c r="MBZ2" s="62"/>
      <c r="MCA2" s="62"/>
      <c r="MCB2" s="62"/>
      <c r="MCC2" s="62"/>
      <c r="MCD2" s="62"/>
      <c r="MCE2" s="62"/>
      <c r="MCF2" s="62"/>
      <c r="MCG2" s="62"/>
      <c r="MCH2" s="62"/>
      <c r="MCI2" s="62"/>
      <c r="MCJ2" s="62"/>
      <c r="MCK2" s="62"/>
      <c r="MCL2" s="62"/>
      <c r="MCM2" s="62"/>
      <c r="MCN2" s="62"/>
      <c r="MCO2" s="62"/>
      <c r="MCP2" s="62"/>
      <c r="MCQ2" s="62"/>
      <c r="MCR2" s="62"/>
      <c r="MCS2" s="62"/>
      <c r="MCT2" s="62"/>
      <c r="MCU2" s="62"/>
      <c r="MCV2" s="62"/>
      <c r="MCW2" s="62"/>
      <c r="MCX2" s="62"/>
      <c r="MCY2" s="62"/>
      <c r="MCZ2" s="62"/>
      <c r="MDA2" s="62"/>
      <c r="MDB2" s="62"/>
      <c r="MDC2" s="62"/>
      <c r="MDD2" s="62"/>
      <c r="MDE2" s="62"/>
      <c r="MDF2" s="62"/>
      <c r="MDG2" s="62"/>
      <c r="MDH2" s="62"/>
      <c r="MDI2" s="62"/>
      <c r="MDJ2" s="62"/>
      <c r="MDK2" s="62"/>
      <c r="MDL2" s="62"/>
      <c r="MDM2" s="62"/>
      <c r="MDN2" s="62"/>
      <c r="MDO2" s="62"/>
      <c r="MDP2" s="62"/>
      <c r="MDQ2" s="62"/>
      <c r="MDR2" s="62"/>
      <c r="MDS2" s="62"/>
      <c r="MDT2" s="62"/>
      <c r="MDU2" s="62"/>
      <c r="MDV2" s="62"/>
      <c r="MDW2" s="62"/>
      <c r="MDX2" s="62"/>
      <c r="MDY2" s="62"/>
      <c r="MDZ2" s="62"/>
      <c r="MEA2" s="62"/>
      <c r="MEB2" s="62"/>
      <c r="MEC2" s="62"/>
      <c r="MED2" s="62"/>
      <c r="MEE2" s="62"/>
      <c r="MEF2" s="62"/>
      <c r="MEG2" s="62"/>
      <c r="MEH2" s="62"/>
      <c r="MEI2" s="62"/>
      <c r="MEJ2" s="62"/>
      <c r="MEK2" s="62"/>
      <c r="MEL2" s="62"/>
      <c r="MEM2" s="62"/>
      <c r="MEN2" s="62"/>
      <c r="MEO2" s="62"/>
      <c r="MEP2" s="62"/>
      <c r="MEQ2" s="62"/>
      <c r="MER2" s="62"/>
      <c r="MES2" s="62"/>
      <c r="MET2" s="62"/>
      <c r="MEU2" s="62"/>
      <c r="MEV2" s="62"/>
      <c r="MEW2" s="62"/>
      <c r="MEX2" s="62"/>
      <c r="MEY2" s="62"/>
      <c r="MEZ2" s="62"/>
      <c r="MFA2" s="62"/>
      <c r="MFB2" s="62"/>
      <c r="MFC2" s="62"/>
      <c r="MFD2" s="62"/>
      <c r="MFE2" s="62"/>
      <c r="MFF2" s="62"/>
      <c r="MFG2" s="62"/>
      <c r="MFH2" s="62"/>
      <c r="MFI2" s="62"/>
      <c r="MFJ2" s="62"/>
      <c r="MFK2" s="62"/>
      <c r="MFL2" s="62"/>
      <c r="MFM2" s="62"/>
      <c r="MFN2" s="62"/>
      <c r="MFO2" s="62"/>
      <c r="MFP2" s="62"/>
      <c r="MFQ2" s="62"/>
      <c r="MFR2" s="62"/>
      <c r="MFS2" s="62"/>
      <c r="MFT2" s="62"/>
      <c r="MFU2" s="62"/>
      <c r="MFV2" s="62"/>
      <c r="MFW2" s="62"/>
      <c r="MFX2" s="62"/>
      <c r="MFY2" s="62"/>
      <c r="MFZ2" s="62"/>
      <c r="MGA2" s="62"/>
      <c r="MGB2" s="62"/>
      <c r="MGC2" s="62"/>
      <c r="MGD2" s="62"/>
      <c r="MGE2" s="62"/>
      <c r="MGF2" s="62"/>
      <c r="MGG2" s="62"/>
      <c r="MGH2" s="62"/>
      <c r="MGI2" s="62"/>
      <c r="MGJ2" s="62"/>
      <c r="MGK2" s="62"/>
      <c r="MGL2" s="62"/>
      <c r="MGM2" s="62"/>
      <c r="MGN2" s="62"/>
      <c r="MGO2" s="62"/>
      <c r="MGP2" s="62"/>
      <c r="MGQ2" s="62"/>
      <c r="MGR2" s="62"/>
      <c r="MGS2" s="62"/>
      <c r="MGT2" s="62"/>
      <c r="MGU2" s="62"/>
      <c r="MGV2" s="62"/>
      <c r="MGW2" s="62"/>
      <c r="MGX2" s="62"/>
      <c r="MGY2" s="62"/>
      <c r="MGZ2" s="62"/>
      <c r="MHA2" s="62"/>
      <c r="MHB2" s="62"/>
      <c r="MHC2" s="62"/>
      <c r="MHD2" s="62"/>
      <c r="MHE2" s="62"/>
      <c r="MHF2" s="62"/>
      <c r="MHG2" s="62"/>
      <c r="MHH2" s="62"/>
      <c r="MHI2" s="62"/>
      <c r="MHJ2" s="62"/>
      <c r="MHK2" s="62"/>
      <c r="MHL2" s="62"/>
      <c r="MHM2" s="62"/>
      <c r="MHN2" s="62"/>
      <c r="MHO2" s="62"/>
      <c r="MHP2" s="62"/>
      <c r="MHQ2" s="62"/>
      <c r="MHR2" s="62"/>
      <c r="MHS2" s="62"/>
      <c r="MHT2" s="62"/>
      <c r="MHU2" s="62"/>
      <c r="MHV2" s="62"/>
      <c r="MHW2" s="62"/>
      <c r="MHX2" s="62"/>
      <c r="MHY2" s="62"/>
      <c r="MHZ2" s="62"/>
      <c r="MIA2" s="62"/>
      <c r="MIB2" s="62"/>
      <c r="MIC2" s="62"/>
      <c r="MID2" s="62"/>
      <c r="MIE2" s="62"/>
      <c r="MIF2" s="62"/>
      <c r="MIG2" s="62"/>
      <c r="MIH2" s="62"/>
      <c r="MII2" s="62"/>
      <c r="MIJ2" s="62"/>
      <c r="MIK2" s="62"/>
      <c r="MIL2" s="62"/>
      <c r="MIM2" s="62"/>
      <c r="MIN2" s="62"/>
      <c r="MIO2" s="62"/>
      <c r="MIP2" s="62"/>
      <c r="MIQ2" s="62"/>
      <c r="MIR2" s="62"/>
      <c r="MIS2" s="62"/>
      <c r="MIT2" s="62"/>
      <c r="MIU2" s="62"/>
      <c r="MIV2" s="62"/>
      <c r="MIW2" s="62"/>
      <c r="MIX2" s="62"/>
      <c r="MIY2" s="62"/>
      <c r="MIZ2" s="62"/>
      <c r="MJA2" s="62"/>
      <c r="MJB2" s="62"/>
      <c r="MJC2" s="62"/>
      <c r="MJD2" s="62"/>
      <c r="MJE2" s="62"/>
      <c r="MJF2" s="62"/>
      <c r="MJG2" s="62"/>
      <c r="MJH2" s="62"/>
      <c r="MJI2" s="62"/>
      <c r="MJJ2" s="62"/>
      <c r="MJK2" s="62"/>
      <c r="MJL2" s="62"/>
      <c r="MJM2" s="62"/>
      <c r="MJN2" s="62"/>
      <c r="MJO2" s="62"/>
      <c r="MJP2" s="62"/>
      <c r="MJQ2" s="62"/>
      <c r="MJR2" s="62"/>
      <c r="MJS2" s="62"/>
      <c r="MJT2" s="62"/>
      <c r="MJU2" s="62"/>
      <c r="MJV2" s="62"/>
      <c r="MJW2" s="62"/>
      <c r="MJX2" s="62"/>
      <c r="MJY2" s="62"/>
      <c r="MJZ2" s="62"/>
      <c r="MKA2" s="62"/>
      <c r="MKB2" s="62"/>
      <c r="MKC2" s="62"/>
      <c r="MKD2" s="62"/>
      <c r="MKE2" s="62"/>
      <c r="MKF2" s="62"/>
      <c r="MKG2" s="62"/>
      <c r="MKH2" s="62"/>
      <c r="MKI2" s="62"/>
      <c r="MKJ2" s="62"/>
      <c r="MKK2" s="62"/>
      <c r="MKL2" s="62"/>
      <c r="MKM2" s="62"/>
      <c r="MKN2" s="62"/>
      <c r="MKO2" s="62"/>
      <c r="MKP2" s="62"/>
      <c r="MKQ2" s="62"/>
      <c r="MKR2" s="62"/>
      <c r="MKS2" s="62"/>
      <c r="MKT2" s="62"/>
      <c r="MKU2" s="62"/>
      <c r="MKV2" s="62"/>
      <c r="MKW2" s="62"/>
      <c r="MKX2" s="62"/>
      <c r="MKY2" s="62"/>
      <c r="MKZ2" s="62"/>
      <c r="MLA2" s="62"/>
      <c r="MLB2" s="62"/>
      <c r="MLC2" s="62"/>
      <c r="MLD2" s="62"/>
      <c r="MLE2" s="62"/>
      <c r="MLF2" s="62"/>
      <c r="MLG2" s="62"/>
      <c r="MLH2" s="62"/>
      <c r="MLI2" s="62"/>
      <c r="MLJ2" s="62"/>
      <c r="MLK2" s="62"/>
      <c r="MLL2" s="62"/>
      <c r="MLM2" s="62"/>
      <c r="MLN2" s="62"/>
      <c r="MLO2" s="62"/>
      <c r="MLP2" s="62"/>
      <c r="MLQ2" s="62"/>
      <c r="MLR2" s="62"/>
      <c r="MLS2" s="62"/>
      <c r="MLT2" s="62"/>
      <c r="MLU2" s="62"/>
      <c r="MLV2" s="62"/>
      <c r="MLW2" s="62"/>
      <c r="MLX2" s="62"/>
      <c r="MLY2" s="62"/>
      <c r="MLZ2" s="62"/>
      <c r="MMA2" s="62"/>
      <c r="MMB2" s="62"/>
      <c r="MMC2" s="62"/>
      <c r="MMD2" s="62"/>
      <c r="MME2" s="62"/>
      <c r="MMF2" s="62"/>
      <c r="MMG2" s="62"/>
      <c r="MMH2" s="62"/>
      <c r="MMI2" s="62"/>
      <c r="MMJ2" s="62"/>
      <c r="MMK2" s="62"/>
      <c r="MML2" s="62"/>
      <c r="MMM2" s="62"/>
      <c r="MMN2" s="62"/>
      <c r="MMO2" s="62"/>
      <c r="MMP2" s="62"/>
      <c r="MMQ2" s="62"/>
      <c r="MMR2" s="62"/>
      <c r="MMS2" s="62"/>
      <c r="MMT2" s="62"/>
      <c r="MMU2" s="62"/>
      <c r="MMV2" s="62"/>
      <c r="MMW2" s="62"/>
      <c r="MMX2" s="62"/>
      <c r="MMY2" s="62"/>
      <c r="MMZ2" s="62"/>
      <c r="MNA2" s="62"/>
      <c r="MNB2" s="62"/>
      <c r="MNC2" s="62"/>
      <c r="MND2" s="62"/>
      <c r="MNE2" s="62"/>
      <c r="MNF2" s="62"/>
      <c r="MNG2" s="62"/>
      <c r="MNH2" s="62"/>
      <c r="MNI2" s="62"/>
      <c r="MNJ2" s="62"/>
      <c r="MNK2" s="62"/>
      <c r="MNL2" s="62"/>
      <c r="MNM2" s="62"/>
      <c r="MNN2" s="62"/>
      <c r="MNO2" s="62"/>
      <c r="MNP2" s="62"/>
      <c r="MNQ2" s="62"/>
      <c r="MNR2" s="62"/>
      <c r="MNS2" s="62"/>
      <c r="MNT2" s="62"/>
      <c r="MNU2" s="62"/>
      <c r="MNV2" s="62"/>
      <c r="MNW2" s="62"/>
      <c r="MNX2" s="62"/>
      <c r="MNY2" s="62"/>
      <c r="MNZ2" s="62"/>
      <c r="MOA2" s="62"/>
      <c r="MOB2" s="62"/>
      <c r="MOC2" s="62"/>
      <c r="MOD2" s="62"/>
      <c r="MOE2" s="62"/>
      <c r="MOF2" s="62"/>
      <c r="MOG2" s="62"/>
      <c r="MOH2" s="62"/>
      <c r="MOI2" s="62"/>
      <c r="MOJ2" s="62"/>
      <c r="MOK2" s="62"/>
      <c r="MOL2" s="62"/>
      <c r="MOM2" s="62"/>
      <c r="MON2" s="62"/>
      <c r="MOO2" s="62"/>
      <c r="MOP2" s="62"/>
      <c r="MOQ2" s="62"/>
      <c r="MOR2" s="62"/>
      <c r="MOS2" s="62"/>
      <c r="MOT2" s="62"/>
      <c r="MOU2" s="62"/>
      <c r="MOV2" s="62"/>
      <c r="MOW2" s="62"/>
      <c r="MOX2" s="62"/>
      <c r="MOY2" s="62"/>
      <c r="MOZ2" s="62"/>
      <c r="MPA2" s="62"/>
      <c r="MPB2" s="62"/>
      <c r="MPC2" s="62"/>
      <c r="MPD2" s="62"/>
      <c r="MPE2" s="62"/>
      <c r="MPF2" s="62"/>
      <c r="MPG2" s="62"/>
      <c r="MPH2" s="62"/>
      <c r="MPI2" s="62"/>
      <c r="MPJ2" s="62"/>
      <c r="MPK2" s="62"/>
      <c r="MPL2" s="62"/>
      <c r="MPM2" s="62"/>
      <c r="MPN2" s="62"/>
      <c r="MPO2" s="62"/>
      <c r="MPP2" s="62"/>
      <c r="MPQ2" s="62"/>
      <c r="MPR2" s="62"/>
      <c r="MPS2" s="62"/>
      <c r="MPT2" s="62"/>
      <c r="MPU2" s="62"/>
      <c r="MPV2" s="62"/>
      <c r="MPW2" s="62"/>
      <c r="MPX2" s="62"/>
      <c r="MPY2" s="62"/>
      <c r="MPZ2" s="62"/>
      <c r="MQA2" s="62"/>
      <c r="MQB2" s="62"/>
      <c r="MQC2" s="62"/>
      <c r="MQD2" s="62"/>
      <c r="MQE2" s="62"/>
      <c r="MQF2" s="62"/>
      <c r="MQG2" s="62"/>
      <c r="MQH2" s="62"/>
      <c r="MQI2" s="62"/>
      <c r="MQJ2" s="62"/>
      <c r="MQK2" s="62"/>
      <c r="MQL2" s="62"/>
      <c r="MQM2" s="62"/>
      <c r="MQN2" s="62"/>
      <c r="MQO2" s="62"/>
      <c r="MQP2" s="62"/>
      <c r="MQQ2" s="62"/>
      <c r="MQR2" s="62"/>
      <c r="MQS2" s="62"/>
      <c r="MQT2" s="62"/>
      <c r="MQU2" s="62"/>
      <c r="MQV2" s="62"/>
      <c r="MQW2" s="62"/>
      <c r="MQX2" s="62"/>
      <c r="MQY2" s="62"/>
      <c r="MQZ2" s="62"/>
      <c r="MRA2" s="62"/>
      <c r="MRB2" s="62"/>
      <c r="MRC2" s="62"/>
      <c r="MRD2" s="62"/>
      <c r="MRE2" s="62"/>
      <c r="MRF2" s="62"/>
      <c r="MRG2" s="62"/>
      <c r="MRH2" s="62"/>
      <c r="MRI2" s="62"/>
      <c r="MRJ2" s="62"/>
      <c r="MRK2" s="62"/>
      <c r="MRL2" s="62"/>
      <c r="MRM2" s="62"/>
      <c r="MRN2" s="62"/>
      <c r="MRO2" s="62"/>
      <c r="MRP2" s="62"/>
      <c r="MRQ2" s="62"/>
      <c r="MRR2" s="62"/>
      <c r="MRS2" s="62"/>
      <c r="MRT2" s="62"/>
      <c r="MRU2" s="62"/>
      <c r="MRV2" s="62"/>
      <c r="MRW2" s="62"/>
      <c r="MRX2" s="62"/>
      <c r="MRY2" s="62"/>
      <c r="MRZ2" s="62"/>
      <c r="MSA2" s="62"/>
      <c r="MSB2" s="62"/>
      <c r="MSC2" s="62"/>
      <c r="MSD2" s="62"/>
      <c r="MSE2" s="62"/>
      <c r="MSF2" s="62"/>
      <c r="MSG2" s="62"/>
      <c r="MSH2" s="62"/>
      <c r="MSI2" s="62"/>
      <c r="MSJ2" s="62"/>
      <c r="MSK2" s="62"/>
      <c r="MSL2" s="62"/>
      <c r="MSM2" s="62"/>
      <c r="MSN2" s="62"/>
      <c r="MSO2" s="62"/>
      <c r="MSP2" s="62"/>
      <c r="MSQ2" s="62"/>
      <c r="MSR2" s="62"/>
      <c r="MSS2" s="62"/>
      <c r="MST2" s="62"/>
      <c r="MSU2" s="62"/>
      <c r="MSV2" s="62"/>
      <c r="MSW2" s="62"/>
      <c r="MSX2" s="62"/>
      <c r="MSY2" s="62"/>
      <c r="MSZ2" s="62"/>
      <c r="MTA2" s="62"/>
      <c r="MTB2" s="62"/>
      <c r="MTC2" s="62"/>
      <c r="MTD2" s="62"/>
      <c r="MTE2" s="62"/>
      <c r="MTF2" s="62"/>
      <c r="MTG2" s="62"/>
      <c r="MTH2" s="62"/>
      <c r="MTI2" s="62"/>
      <c r="MTJ2" s="62"/>
      <c r="MTK2" s="62"/>
      <c r="MTL2" s="62"/>
      <c r="MTM2" s="62"/>
      <c r="MTN2" s="62"/>
      <c r="MTO2" s="62"/>
      <c r="MTP2" s="62"/>
      <c r="MTQ2" s="62"/>
      <c r="MTR2" s="62"/>
      <c r="MTS2" s="62"/>
      <c r="MTT2" s="62"/>
      <c r="MTU2" s="62"/>
      <c r="MTV2" s="62"/>
      <c r="MTW2" s="62"/>
      <c r="MTX2" s="62"/>
      <c r="MTY2" s="62"/>
      <c r="MTZ2" s="62"/>
      <c r="MUA2" s="62"/>
      <c r="MUB2" s="62"/>
      <c r="MUC2" s="62"/>
      <c r="MUD2" s="62"/>
      <c r="MUE2" s="62"/>
      <c r="MUF2" s="62"/>
      <c r="MUG2" s="62"/>
      <c r="MUH2" s="62"/>
      <c r="MUI2" s="62"/>
      <c r="MUJ2" s="62"/>
      <c r="MUK2" s="62"/>
      <c r="MUL2" s="62"/>
      <c r="MUM2" s="62"/>
      <c r="MUN2" s="62"/>
      <c r="MUO2" s="62"/>
      <c r="MUP2" s="62"/>
      <c r="MUQ2" s="62"/>
      <c r="MUR2" s="62"/>
      <c r="MUS2" s="62"/>
      <c r="MUT2" s="62"/>
      <c r="MUU2" s="62"/>
      <c r="MUV2" s="62"/>
      <c r="MUW2" s="62"/>
      <c r="MUX2" s="62"/>
      <c r="MUY2" s="62"/>
      <c r="MUZ2" s="62"/>
      <c r="MVA2" s="62"/>
      <c r="MVB2" s="62"/>
      <c r="MVC2" s="62"/>
      <c r="MVD2" s="62"/>
      <c r="MVE2" s="62"/>
      <c r="MVF2" s="62"/>
      <c r="MVG2" s="62"/>
      <c r="MVH2" s="62"/>
      <c r="MVI2" s="62"/>
      <c r="MVJ2" s="62"/>
      <c r="MVK2" s="62"/>
      <c r="MVL2" s="62"/>
      <c r="MVM2" s="62"/>
      <c r="MVN2" s="62"/>
      <c r="MVO2" s="62"/>
      <c r="MVP2" s="62"/>
      <c r="MVQ2" s="62"/>
      <c r="MVR2" s="62"/>
      <c r="MVS2" s="62"/>
      <c r="MVT2" s="62"/>
      <c r="MVU2" s="62"/>
      <c r="MVV2" s="62"/>
      <c r="MVW2" s="62"/>
      <c r="MVX2" s="62"/>
      <c r="MVY2" s="62"/>
      <c r="MVZ2" s="62"/>
      <c r="MWA2" s="62"/>
      <c r="MWB2" s="62"/>
      <c r="MWC2" s="62"/>
      <c r="MWD2" s="62"/>
      <c r="MWE2" s="62"/>
      <c r="MWF2" s="62"/>
      <c r="MWG2" s="62"/>
      <c r="MWH2" s="62"/>
      <c r="MWI2" s="62"/>
      <c r="MWJ2" s="62"/>
      <c r="MWK2" s="62"/>
      <c r="MWL2" s="62"/>
      <c r="MWM2" s="62"/>
      <c r="MWN2" s="62"/>
      <c r="MWO2" s="62"/>
      <c r="MWP2" s="62"/>
      <c r="MWQ2" s="62"/>
      <c r="MWR2" s="62"/>
      <c r="MWS2" s="62"/>
      <c r="MWT2" s="62"/>
      <c r="MWU2" s="62"/>
      <c r="MWV2" s="62"/>
      <c r="MWW2" s="62"/>
      <c r="MWX2" s="62"/>
      <c r="MWY2" s="62"/>
      <c r="MWZ2" s="62"/>
      <c r="MXA2" s="62"/>
      <c r="MXB2" s="62"/>
      <c r="MXC2" s="62"/>
      <c r="MXD2" s="62"/>
      <c r="MXE2" s="62"/>
      <c r="MXF2" s="62"/>
      <c r="MXG2" s="62"/>
      <c r="MXH2" s="62"/>
      <c r="MXI2" s="62"/>
      <c r="MXJ2" s="62"/>
      <c r="MXK2" s="62"/>
      <c r="MXL2" s="62"/>
      <c r="MXM2" s="62"/>
      <c r="MXN2" s="62"/>
      <c r="MXO2" s="62"/>
      <c r="MXP2" s="62"/>
      <c r="MXQ2" s="62"/>
      <c r="MXR2" s="62"/>
      <c r="MXS2" s="62"/>
      <c r="MXT2" s="62"/>
      <c r="MXU2" s="62"/>
      <c r="MXV2" s="62"/>
      <c r="MXW2" s="62"/>
      <c r="MXX2" s="62"/>
      <c r="MXY2" s="62"/>
      <c r="MXZ2" s="62"/>
      <c r="MYA2" s="62"/>
      <c r="MYB2" s="62"/>
      <c r="MYC2" s="62"/>
      <c r="MYD2" s="62"/>
      <c r="MYE2" s="62"/>
      <c r="MYF2" s="62"/>
      <c r="MYG2" s="62"/>
      <c r="MYH2" s="62"/>
      <c r="MYI2" s="62"/>
      <c r="MYJ2" s="62"/>
      <c r="MYK2" s="62"/>
      <c r="MYL2" s="62"/>
      <c r="MYM2" s="62"/>
      <c r="MYN2" s="62"/>
      <c r="MYO2" s="62"/>
      <c r="MYP2" s="62"/>
      <c r="MYQ2" s="62"/>
      <c r="MYR2" s="62"/>
      <c r="MYS2" s="62"/>
      <c r="MYT2" s="62"/>
      <c r="MYU2" s="62"/>
      <c r="MYV2" s="62"/>
      <c r="MYW2" s="62"/>
      <c r="MYX2" s="62"/>
      <c r="MYY2" s="62"/>
      <c r="MYZ2" s="62"/>
      <c r="MZA2" s="62"/>
      <c r="MZB2" s="62"/>
      <c r="MZC2" s="62"/>
      <c r="MZD2" s="62"/>
      <c r="MZE2" s="62"/>
      <c r="MZF2" s="62"/>
      <c r="MZG2" s="62"/>
      <c r="MZH2" s="62"/>
      <c r="MZI2" s="62"/>
      <c r="MZJ2" s="62"/>
      <c r="MZK2" s="62"/>
      <c r="MZL2" s="62"/>
      <c r="MZM2" s="62"/>
      <c r="MZN2" s="62"/>
      <c r="MZO2" s="62"/>
      <c r="MZP2" s="62"/>
      <c r="MZQ2" s="62"/>
      <c r="MZR2" s="62"/>
      <c r="MZS2" s="62"/>
      <c r="MZT2" s="62"/>
      <c r="MZU2" s="62"/>
      <c r="MZV2" s="62"/>
      <c r="MZW2" s="62"/>
      <c r="MZX2" s="62"/>
      <c r="MZY2" s="62"/>
      <c r="MZZ2" s="62"/>
      <c r="NAA2" s="62"/>
      <c r="NAB2" s="62"/>
      <c r="NAC2" s="62"/>
      <c r="NAD2" s="62"/>
      <c r="NAE2" s="62"/>
      <c r="NAF2" s="62"/>
      <c r="NAG2" s="62"/>
      <c r="NAH2" s="62"/>
      <c r="NAI2" s="62"/>
      <c r="NAJ2" s="62"/>
      <c r="NAK2" s="62"/>
      <c r="NAL2" s="62"/>
      <c r="NAM2" s="62"/>
      <c r="NAN2" s="62"/>
      <c r="NAO2" s="62"/>
      <c r="NAP2" s="62"/>
      <c r="NAQ2" s="62"/>
      <c r="NAR2" s="62"/>
      <c r="NAS2" s="62"/>
      <c r="NAT2" s="62"/>
      <c r="NAU2" s="62"/>
      <c r="NAV2" s="62"/>
      <c r="NAW2" s="62"/>
      <c r="NAX2" s="62"/>
      <c r="NAY2" s="62"/>
      <c r="NAZ2" s="62"/>
      <c r="NBA2" s="62"/>
      <c r="NBB2" s="62"/>
      <c r="NBC2" s="62"/>
      <c r="NBD2" s="62"/>
      <c r="NBE2" s="62"/>
      <c r="NBF2" s="62"/>
      <c r="NBG2" s="62"/>
      <c r="NBH2" s="62"/>
      <c r="NBI2" s="62"/>
      <c r="NBJ2" s="62"/>
      <c r="NBK2" s="62"/>
      <c r="NBL2" s="62"/>
      <c r="NBM2" s="62"/>
      <c r="NBN2" s="62"/>
      <c r="NBO2" s="62"/>
      <c r="NBP2" s="62"/>
      <c r="NBQ2" s="62"/>
      <c r="NBR2" s="62"/>
      <c r="NBS2" s="62"/>
      <c r="NBT2" s="62"/>
      <c r="NBU2" s="62"/>
      <c r="NBV2" s="62"/>
      <c r="NBW2" s="62"/>
      <c r="NBX2" s="62"/>
      <c r="NBY2" s="62"/>
      <c r="NBZ2" s="62"/>
      <c r="NCA2" s="62"/>
      <c r="NCB2" s="62"/>
      <c r="NCC2" s="62"/>
      <c r="NCD2" s="62"/>
      <c r="NCE2" s="62"/>
      <c r="NCF2" s="62"/>
      <c r="NCG2" s="62"/>
      <c r="NCH2" s="62"/>
      <c r="NCI2" s="62"/>
      <c r="NCJ2" s="62"/>
      <c r="NCK2" s="62"/>
      <c r="NCL2" s="62"/>
      <c r="NCM2" s="62"/>
      <c r="NCN2" s="62"/>
      <c r="NCO2" s="62"/>
      <c r="NCP2" s="62"/>
      <c r="NCQ2" s="62"/>
      <c r="NCR2" s="62"/>
      <c r="NCS2" s="62"/>
      <c r="NCT2" s="62"/>
      <c r="NCU2" s="62"/>
      <c r="NCV2" s="62"/>
      <c r="NCW2" s="62"/>
      <c r="NCX2" s="62"/>
      <c r="NCY2" s="62"/>
      <c r="NCZ2" s="62"/>
      <c r="NDA2" s="62"/>
      <c r="NDB2" s="62"/>
      <c r="NDC2" s="62"/>
      <c r="NDD2" s="62"/>
      <c r="NDE2" s="62"/>
      <c r="NDF2" s="62"/>
      <c r="NDG2" s="62"/>
      <c r="NDH2" s="62"/>
      <c r="NDI2" s="62"/>
      <c r="NDJ2" s="62"/>
      <c r="NDK2" s="62"/>
      <c r="NDL2" s="62"/>
      <c r="NDM2" s="62"/>
      <c r="NDN2" s="62"/>
      <c r="NDO2" s="62"/>
      <c r="NDP2" s="62"/>
      <c r="NDQ2" s="62"/>
      <c r="NDR2" s="62"/>
      <c r="NDS2" s="62"/>
      <c r="NDT2" s="62"/>
      <c r="NDU2" s="62"/>
      <c r="NDV2" s="62"/>
      <c r="NDW2" s="62"/>
      <c r="NDX2" s="62"/>
      <c r="NDY2" s="62"/>
      <c r="NDZ2" s="62"/>
      <c r="NEA2" s="62"/>
      <c r="NEB2" s="62"/>
      <c r="NEC2" s="62"/>
      <c r="NED2" s="62"/>
      <c r="NEE2" s="62"/>
      <c r="NEF2" s="62"/>
      <c r="NEG2" s="62"/>
      <c r="NEH2" s="62"/>
      <c r="NEI2" s="62"/>
      <c r="NEJ2" s="62"/>
      <c r="NEK2" s="62"/>
      <c r="NEL2" s="62"/>
      <c r="NEM2" s="62"/>
      <c r="NEN2" s="62"/>
      <c r="NEO2" s="62"/>
      <c r="NEP2" s="62"/>
      <c r="NEQ2" s="62"/>
      <c r="NER2" s="62"/>
      <c r="NES2" s="62"/>
      <c r="NET2" s="62"/>
      <c r="NEU2" s="62"/>
      <c r="NEV2" s="62"/>
      <c r="NEW2" s="62"/>
      <c r="NEX2" s="62"/>
      <c r="NEY2" s="62"/>
      <c r="NEZ2" s="62"/>
      <c r="NFA2" s="62"/>
      <c r="NFB2" s="62"/>
      <c r="NFC2" s="62"/>
      <c r="NFD2" s="62"/>
      <c r="NFE2" s="62"/>
      <c r="NFF2" s="62"/>
      <c r="NFG2" s="62"/>
      <c r="NFH2" s="62"/>
      <c r="NFI2" s="62"/>
      <c r="NFJ2" s="62"/>
      <c r="NFK2" s="62"/>
      <c r="NFL2" s="62"/>
      <c r="NFM2" s="62"/>
      <c r="NFN2" s="62"/>
      <c r="NFO2" s="62"/>
      <c r="NFP2" s="62"/>
      <c r="NFQ2" s="62"/>
      <c r="NFR2" s="62"/>
      <c r="NFS2" s="62"/>
      <c r="NFT2" s="62"/>
      <c r="NFU2" s="62"/>
      <c r="NFV2" s="62"/>
      <c r="NFW2" s="62"/>
      <c r="NFX2" s="62"/>
      <c r="NFY2" s="62"/>
      <c r="NFZ2" s="62"/>
      <c r="NGA2" s="62"/>
      <c r="NGB2" s="62"/>
      <c r="NGC2" s="62"/>
      <c r="NGD2" s="62"/>
      <c r="NGE2" s="62"/>
      <c r="NGF2" s="62"/>
      <c r="NGG2" s="62"/>
      <c r="NGH2" s="62"/>
      <c r="NGI2" s="62"/>
      <c r="NGJ2" s="62"/>
      <c r="NGK2" s="62"/>
      <c r="NGL2" s="62"/>
      <c r="NGM2" s="62"/>
      <c r="NGN2" s="62"/>
      <c r="NGO2" s="62"/>
      <c r="NGP2" s="62"/>
      <c r="NGQ2" s="62"/>
      <c r="NGR2" s="62"/>
      <c r="NGS2" s="62"/>
      <c r="NGT2" s="62"/>
      <c r="NGU2" s="62"/>
      <c r="NGV2" s="62"/>
      <c r="NGW2" s="62"/>
      <c r="NGX2" s="62"/>
      <c r="NGY2" s="62"/>
      <c r="NGZ2" s="62"/>
      <c r="NHA2" s="62"/>
      <c r="NHB2" s="62"/>
      <c r="NHC2" s="62"/>
      <c r="NHD2" s="62"/>
      <c r="NHE2" s="62"/>
      <c r="NHF2" s="62"/>
      <c r="NHG2" s="62"/>
      <c r="NHH2" s="62"/>
      <c r="NHI2" s="62"/>
      <c r="NHJ2" s="62"/>
      <c r="NHK2" s="62"/>
      <c r="NHL2" s="62"/>
      <c r="NHM2" s="62"/>
      <c r="NHN2" s="62"/>
      <c r="NHO2" s="62"/>
      <c r="NHP2" s="62"/>
      <c r="NHQ2" s="62"/>
      <c r="NHR2" s="62"/>
      <c r="NHS2" s="62"/>
      <c r="NHT2" s="62"/>
      <c r="NHU2" s="62"/>
      <c r="NHV2" s="62"/>
      <c r="NHW2" s="62"/>
      <c r="NHX2" s="62"/>
      <c r="NHY2" s="62"/>
      <c r="NHZ2" s="62"/>
      <c r="NIA2" s="62"/>
      <c r="NIB2" s="62"/>
      <c r="NIC2" s="62"/>
      <c r="NID2" s="62"/>
      <c r="NIE2" s="62"/>
      <c r="NIF2" s="62"/>
      <c r="NIG2" s="62"/>
      <c r="NIH2" s="62"/>
      <c r="NII2" s="62"/>
      <c r="NIJ2" s="62"/>
      <c r="NIK2" s="62"/>
      <c r="NIL2" s="62"/>
      <c r="NIM2" s="62"/>
      <c r="NIN2" s="62"/>
      <c r="NIO2" s="62"/>
      <c r="NIP2" s="62"/>
      <c r="NIQ2" s="62"/>
      <c r="NIR2" s="62"/>
      <c r="NIS2" s="62"/>
      <c r="NIT2" s="62"/>
      <c r="NIU2" s="62"/>
      <c r="NIV2" s="62"/>
      <c r="NIW2" s="62"/>
      <c r="NIX2" s="62"/>
      <c r="NIY2" s="62"/>
      <c r="NIZ2" s="62"/>
      <c r="NJA2" s="62"/>
      <c r="NJB2" s="62"/>
      <c r="NJC2" s="62"/>
      <c r="NJD2" s="62"/>
      <c r="NJE2" s="62"/>
      <c r="NJF2" s="62"/>
      <c r="NJG2" s="62"/>
      <c r="NJH2" s="62"/>
      <c r="NJI2" s="62"/>
      <c r="NJJ2" s="62"/>
      <c r="NJK2" s="62"/>
      <c r="NJL2" s="62"/>
      <c r="NJM2" s="62"/>
      <c r="NJN2" s="62"/>
      <c r="NJO2" s="62"/>
      <c r="NJP2" s="62"/>
      <c r="NJQ2" s="62"/>
      <c r="NJR2" s="62"/>
      <c r="NJS2" s="62"/>
      <c r="NJT2" s="62"/>
      <c r="NJU2" s="62"/>
      <c r="NJV2" s="62"/>
      <c r="NJW2" s="62"/>
      <c r="NJX2" s="62"/>
      <c r="NJY2" s="62"/>
      <c r="NJZ2" s="62"/>
      <c r="NKA2" s="62"/>
      <c r="NKB2" s="62"/>
      <c r="NKC2" s="62"/>
      <c r="NKD2" s="62"/>
      <c r="NKE2" s="62"/>
      <c r="NKF2" s="62"/>
      <c r="NKG2" s="62"/>
      <c r="NKH2" s="62"/>
      <c r="NKI2" s="62"/>
      <c r="NKJ2" s="62"/>
      <c r="NKK2" s="62"/>
      <c r="NKL2" s="62"/>
      <c r="NKM2" s="62"/>
      <c r="NKN2" s="62"/>
      <c r="NKO2" s="62"/>
      <c r="NKP2" s="62"/>
      <c r="NKQ2" s="62"/>
      <c r="NKR2" s="62"/>
      <c r="NKS2" s="62"/>
      <c r="NKT2" s="62"/>
      <c r="NKU2" s="62"/>
      <c r="NKV2" s="62"/>
      <c r="NKW2" s="62"/>
      <c r="NKX2" s="62"/>
      <c r="NKY2" s="62"/>
      <c r="NKZ2" s="62"/>
      <c r="NLA2" s="62"/>
      <c r="NLB2" s="62"/>
      <c r="NLC2" s="62"/>
      <c r="NLD2" s="62"/>
      <c r="NLE2" s="62"/>
      <c r="NLF2" s="62"/>
      <c r="NLG2" s="62"/>
      <c r="NLH2" s="62"/>
      <c r="NLI2" s="62"/>
      <c r="NLJ2" s="62"/>
      <c r="NLK2" s="62"/>
      <c r="NLL2" s="62"/>
      <c r="NLM2" s="62"/>
      <c r="NLN2" s="62"/>
      <c r="NLO2" s="62"/>
      <c r="NLP2" s="62"/>
      <c r="NLQ2" s="62"/>
      <c r="NLR2" s="62"/>
      <c r="NLS2" s="62"/>
      <c r="NLT2" s="62"/>
      <c r="NLU2" s="62"/>
      <c r="NLV2" s="62"/>
      <c r="NLW2" s="62"/>
      <c r="NLX2" s="62"/>
      <c r="NLY2" s="62"/>
      <c r="NLZ2" s="62"/>
      <c r="NMA2" s="62"/>
      <c r="NMB2" s="62"/>
      <c r="NMC2" s="62"/>
      <c r="NMD2" s="62"/>
      <c r="NME2" s="62"/>
      <c r="NMF2" s="62"/>
      <c r="NMG2" s="62"/>
      <c r="NMH2" s="62"/>
      <c r="NMI2" s="62"/>
      <c r="NMJ2" s="62"/>
      <c r="NMK2" s="62"/>
      <c r="NML2" s="62"/>
      <c r="NMM2" s="62"/>
      <c r="NMN2" s="62"/>
      <c r="NMO2" s="62"/>
      <c r="NMP2" s="62"/>
      <c r="NMQ2" s="62"/>
      <c r="NMR2" s="62"/>
      <c r="NMS2" s="62"/>
      <c r="NMT2" s="62"/>
      <c r="NMU2" s="62"/>
      <c r="NMV2" s="62"/>
      <c r="NMW2" s="62"/>
      <c r="NMX2" s="62"/>
      <c r="NMY2" s="62"/>
      <c r="NMZ2" s="62"/>
      <c r="NNA2" s="62"/>
      <c r="NNB2" s="62"/>
      <c r="NNC2" s="62"/>
      <c r="NND2" s="62"/>
      <c r="NNE2" s="62"/>
      <c r="NNF2" s="62"/>
      <c r="NNG2" s="62"/>
      <c r="NNH2" s="62"/>
      <c r="NNI2" s="62"/>
      <c r="NNJ2" s="62"/>
      <c r="NNK2" s="62"/>
      <c r="NNL2" s="62"/>
      <c r="NNM2" s="62"/>
      <c r="NNN2" s="62"/>
      <c r="NNO2" s="62"/>
      <c r="NNP2" s="62"/>
      <c r="NNQ2" s="62"/>
      <c r="NNR2" s="62"/>
      <c r="NNS2" s="62"/>
      <c r="NNT2" s="62"/>
      <c r="NNU2" s="62"/>
      <c r="NNV2" s="62"/>
      <c r="NNW2" s="62"/>
      <c r="NNX2" s="62"/>
      <c r="NNY2" s="62"/>
      <c r="NNZ2" s="62"/>
      <c r="NOA2" s="62"/>
      <c r="NOB2" s="62"/>
      <c r="NOC2" s="62"/>
      <c r="NOD2" s="62"/>
      <c r="NOE2" s="62"/>
      <c r="NOF2" s="62"/>
      <c r="NOG2" s="62"/>
      <c r="NOH2" s="62"/>
      <c r="NOI2" s="62"/>
      <c r="NOJ2" s="62"/>
      <c r="NOK2" s="62"/>
      <c r="NOL2" s="62"/>
      <c r="NOM2" s="62"/>
      <c r="NON2" s="62"/>
      <c r="NOO2" s="62"/>
      <c r="NOP2" s="62"/>
      <c r="NOQ2" s="62"/>
      <c r="NOR2" s="62"/>
      <c r="NOS2" s="62"/>
      <c r="NOT2" s="62"/>
      <c r="NOU2" s="62"/>
      <c r="NOV2" s="62"/>
      <c r="NOW2" s="62"/>
      <c r="NOX2" s="62"/>
      <c r="NOY2" s="62"/>
      <c r="NOZ2" s="62"/>
      <c r="NPA2" s="62"/>
      <c r="NPB2" s="62"/>
      <c r="NPC2" s="62"/>
      <c r="NPD2" s="62"/>
      <c r="NPE2" s="62"/>
      <c r="NPF2" s="62"/>
      <c r="NPG2" s="62"/>
      <c r="NPH2" s="62"/>
      <c r="NPI2" s="62"/>
      <c r="NPJ2" s="62"/>
      <c r="NPK2" s="62"/>
      <c r="NPL2" s="62"/>
      <c r="NPM2" s="62"/>
      <c r="NPN2" s="62"/>
      <c r="NPO2" s="62"/>
      <c r="NPP2" s="62"/>
      <c r="NPQ2" s="62"/>
      <c r="NPR2" s="62"/>
      <c r="NPS2" s="62"/>
      <c r="NPT2" s="62"/>
      <c r="NPU2" s="62"/>
      <c r="NPV2" s="62"/>
      <c r="NPW2" s="62"/>
      <c r="NPX2" s="62"/>
      <c r="NPY2" s="62"/>
      <c r="NPZ2" s="62"/>
      <c r="NQA2" s="62"/>
      <c r="NQB2" s="62"/>
      <c r="NQC2" s="62"/>
      <c r="NQD2" s="62"/>
      <c r="NQE2" s="62"/>
      <c r="NQF2" s="62"/>
      <c r="NQG2" s="62"/>
      <c r="NQH2" s="62"/>
      <c r="NQI2" s="62"/>
      <c r="NQJ2" s="62"/>
      <c r="NQK2" s="62"/>
      <c r="NQL2" s="62"/>
      <c r="NQM2" s="62"/>
      <c r="NQN2" s="62"/>
      <c r="NQO2" s="62"/>
      <c r="NQP2" s="62"/>
      <c r="NQQ2" s="62"/>
      <c r="NQR2" s="62"/>
      <c r="NQS2" s="62"/>
      <c r="NQT2" s="62"/>
      <c r="NQU2" s="62"/>
      <c r="NQV2" s="62"/>
      <c r="NQW2" s="62"/>
      <c r="NQX2" s="62"/>
      <c r="NQY2" s="62"/>
      <c r="NQZ2" s="62"/>
      <c r="NRA2" s="62"/>
      <c r="NRB2" s="62"/>
      <c r="NRC2" s="62"/>
      <c r="NRD2" s="62"/>
      <c r="NRE2" s="62"/>
      <c r="NRF2" s="62"/>
      <c r="NRG2" s="62"/>
      <c r="NRH2" s="62"/>
      <c r="NRI2" s="62"/>
      <c r="NRJ2" s="62"/>
      <c r="NRK2" s="62"/>
      <c r="NRL2" s="62"/>
      <c r="NRM2" s="62"/>
      <c r="NRN2" s="62"/>
      <c r="NRO2" s="62"/>
      <c r="NRP2" s="62"/>
      <c r="NRQ2" s="62"/>
      <c r="NRR2" s="62"/>
      <c r="NRS2" s="62"/>
      <c r="NRT2" s="62"/>
      <c r="NRU2" s="62"/>
      <c r="NRV2" s="62"/>
      <c r="NRW2" s="62"/>
      <c r="NRX2" s="62"/>
      <c r="NRY2" s="62"/>
      <c r="NRZ2" s="62"/>
      <c r="NSA2" s="62"/>
      <c r="NSB2" s="62"/>
      <c r="NSC2" s="62"/>
      <c r="NSD2" s="62"/>
      <c r="NSE2" s="62"/>
      <c r="NSF2" s="62"/>
      <c r="NSG2" s="62"/>
      <c r="NSH2" s="62"/>
      <c r="NSI2" s="62"/>
      <c r="NSJ2" s="62"/>
      <c r="NSK2" s="62"/>
      <c r="NSL2" s="62"/>
      <c r="NSM2" s="62"/>
      <c r="NSN2" s="62"/>
      <c r="NSO2" s="62"/>
      <c r="NSP2" s="62"/>
      <c r="NSQ2" s="62"/>
      <c r="NSR2" s="62"/>
      <c r="NSS2" s="62"/>
      <c r="NST2" s="62"/>
      <c r="NSU2" s="62"/>
      <c r="NSV2" s="62"/>
      <c r="NSW2" s="62"/>
      <c r="NSX2" s="62"/>
      <c r="NSY2" s="62"/>
      <c r="NSZ2" s="62"/>
      <c r="NTA2" s="62"/>
      <c r="NTB2" s="62"/>
      <c r="NTC2" s="62"/>
      <c r="NTD2" s="62"/>
      <c r="NTE2" s="62"/>
      <c r="NTF2" s="62"/>
      <c r="NTG2" s="62"/>
      <c r="NTH2" s="62"/>
      <c r="NTI2" s="62"/>
      <c r="NTJ2" s="62"/>
      <c r="NTK2" s="62"/>
      <c r="NTL2" s="62"/>
      <c r="NTM2" s="62"/>
      <c r="NTN2" s="62"/>
      <c r="NTO2" s="62"/>
      <c r="NTP2" s="62"/>
      <c r="NTQ2" s="62"/>
      <c r="NTR2" s="62"/>
      <c r="NTS2" s="62"/>
      <c r="NTT2" s="62"/>
      <c r="NTU2" s="62"/>
      <c r="NTV2" s="62"/>
      <c r="NTW2" s="62"/>
      <c r="NTX2" s="62"/>
      <c r="NTY2" s="62"/>
      <c r="NTZ2" s="62"/>
      <c r="NUA2" s="62"/>
      <c r="NUB2" s="62"/>
      <c r="NUC2" s="62"/>
      <c r="NUD2" s="62"/>
      <c r="NUE2" s="62"/>
      <c r="NUF2" s="62"/>
      <c r="NUG2" s="62"/>
      <c r="NUH2" s="62"/>
      <c r="NUI2" s="62"/>
      <c r="NUJ2" s="62"/>
      <c r="NUK2" s="62"/>
      <c r="NUL2" s="62"/>
      <c r="NUM2" s="62"/>
      <c r="NUN2" s="62"/>
      <c r="NUO2" s="62"/>
      <c r="NUP2" s="62"/>
      <c r="NUQ2" s="62"/>
      <c r="NUR2" s="62"/>
      <c r="NUS2" s="62"/>
      <c r="NUT2" s="62"/>
      <c r="NUU2" s="62"/>
      <c r="NUV2" s="62"/>
      <c r="NUW2" s="62"/>
      <c r="NUX2" s="62"/>
      <c r="NUY2" s="62"/>
      <c r="NUZ2" s="62"/>
      <c r="NVA2" s="62"/>
      <c r="NVB2" s="62"/>
      <c r="NVC2" s="62"/>
      <c r="NVD2" s="62"/>
      <c r="NVE2" s="62"/>
      <c r="NVF2" s="62"/>
      <c r="NVG2" s="62"/>
      <c r="NVH2" s="62"/>
      <c r="NVI2" s="62"/>
      <c r="NVJ2" s="62"/>
      <c r="NVK2" s="62"/>
      <c r="NVL2" s="62"/>
      <c r="NVM2" s="62"/>
      <c r="NVN2" s="62"/>
      <c r="NVO2" s="62"/>
      <c r="NVP2" s="62"/>
      <c r="NVQ2" s="62"/>
      <c r="NVR2" s="62"/>
      <c r="NVS2" s="62"/>
      <c r="NVT2" s="62"/>
      <c r="NVU2" s="62"/>
      <c r="NVV2" s="62"/>
      <c r="NVW2" s="62"/>
      <c r="NVX2" s="62"/>
      <c r="NVY2" s="62"/>
      <c r="NVZ2" s="62"/>
      <c r="NWA2" s="62"/>
      <c r="NWB2" s="62"/>
      <c r="NWC2" s="62"/>
      <c r="NWD2" s="62"/>
      <c r="NWE2" s="62"/>
      <c r="NWF2" s="62"/>
      <c r="NWG2" s="62"/>
      <c r="NWH2" s="62"/>
      <c r="NWI2" s="62"/>
      <c r="NWJ2" s="62"/>
      <c r="NWK2" s="62"/>
      <c r="NWL2" s="62"/>
      <c r="NWM2" s="62"/>
      <c r="NWN2" s="62"/>
      <c r="NWO2" s="62"/>
      <c r="NWP2" s="62"/>
      <c r="NWQ2" s="62"/>
      <c r="NWR2" s="62"/>
      <c r="NWS2" s="62"/>
      <c r="NWT2" s="62"/>
      <c r="NWU2" s="62"/>
      <c r="NWV2" s="62"/>
      <c r="NWW2" s="62"/>
      <c r="NWX2" s="62"/>
      <c r="NWY2" s="62"/>
      <c r="NWZ2" s="62"/>
      <c r="NXA2" s="62"/>
      <c r="NXB2" s="62"/>
      <c r="NXC2" s="62"/>
      <c r="NXD2" s="62"/>
      <c r="NXE2" s="62"/>
      <c r="NXF2" s="62"/>
      <c r="NXG2" s="62"/>
      <c r="NXH2" s="62"/>
      <c r="NXI2" s="62"/>
      <c r="NXJ2" s="62"/>
      <c r="NXK2" s="62"/>
      <c r="NXL2" s="62"/>
      <c r="NXM2" s="62"/>
      <c r="NXN2" s="62"/>
      <c r="NXO2" s="62"/>
      <c r="NXP2" s="62"/>
      <c r="NXQ2" s="62"/>
      <c r="NXR2" s="62"/>
      <c r="NXS2" s="62"/>
      <c r="NXT2" s="62"/>
      <c r="NXU2" s="62"/>
      <c r="NXV2" s="62"/>
      <c r="NXW2" s="62"/>
      <c r="NXX2" s="62"/>
      <c r="NXY2" s="62"/>
      <c r="NXZ2" s="62"/>
      <c r="NYA2" s="62"/>
      <c r="NYB2" s="62"/>
      <c r="NYC2" s="62"/>
      <c r="NYD2" s="62"/>
      <c r="NYE2" s="62"/>
      <c r="NYF2" s="62"/>
      <c r="NYG2" s="62"/>
      <c r="NYH2" s="62"/>
      <c r="NYI2" s="62"/>
      <c r="NYJ2" s="62"/>
      <c r="NYK2" s="62"/>
      <c r="NYL2" s="62"/>
      <c r="NYM2" s="62"/>
      <c r="NYN2" s="62"/>
      <c r="NYO2" s="62"/>
      <c r="NYP2" s="62"/>
      <c r="NYQ2" s="62"/>
      <c r="NYR2" s="62"/>
      <c r="NYS2" s="62"/>
      <c r="NYT2" s="62"/>
      <c r="NYU2" s="62"/>
      <c r="NYV2" s="62"/>
      <c r="NYW2" s="62"/>
      <c r="NYX2" s="62"/>
      <c r="NYY2" s="62"/>
      <c r="NYZ2" s="62"/>
      <c r="NZA2" s="62"/>
      <c r="NZB2" s="62"/>
      <c r="NZC2" s="62"/>
      <c r="NZD2" s="62"/>
      <c r="NZE2" s="62"/>
      <c r="NZF2" s="62"/>
      <c r="NZG2" s="62"/>
      <c r="NZH2" s="62"/>
      <c r="NZI2" s="62"/>
      <c r="NZJ2" s="62"/>
      <c r="NZK2" s="62"/>
      <c r="NZL2" s="62"/>
      <c r="NZM2" s="62"/>
      <c r="NZN2" s="62"/>
      <c r="NZO2" s="62"/>
      <c r="NZP2" s="62"/>
      <c r="NZQ2" s="62"/>
      <c r="NZR2" s="62"/>
      <c r="NZS2" s="62"/>
      <c r="NZT2" s="62"/>
      <c r="NZU2" s="62"/>
      <c r="NZV2" s="62"/>
      <c r="NZW2" s="62"/>
      <c r="NZX2" s="62"/>
      <c r="NZY2" s="62"/>
      <c r="NZZ2" s="62"/>
      <c r="OAA2" s="62"/>
      <c r="OAB2" s="62"/>
      <c r="OAC2" s="62"/>
      <c r="OAD2" s="62"/>
      <c r="OAE2" s="62"/>
      <c r="OAF2" s="62"/>
      <c r="OAG2" s="62"/>
      <c r="OAH2" s="62"/>
      <c r="OAI2" s="62"/>
      <c r="OAJ2" s="62"/>
      <c r="OAK2" s="62"/>
      <c r="OAL2" s="62"/>
      <c r="OAM2" s="62"/>
      <c r="OAN2" s="62"/>
      <c r="OAO2" s="62"/>
      <c r="OAP2" s="62"/>
      <c r="OAQ2" s="62"/>
      <c r="OAR2" s="62"/>
      <c r="OAS2" s="62"/>
      <c r="OAT2" s="62"/>
      <c r="OAU2" s="62"/>
      <c r="OAV2" s="62"/>
      <c r="OAW2" s="62"/>
      <c r="OAX2" s="62"/>
      <c r="OAY2" s="62"/>
      <c r="OAZ2" s="62"/>
      <c r="OBA2" s="62"/>
      <c r="OBB2" s="62"/>
      <c r="OBC2" s="62"/>
      <c r="OBD2" s="62"/>
      <c r="OBE2" s="62"/>
      <c r="OBF2" s="62"/>
      <c r="OBG2" s="62"/>
      <c r="OBH2" s="62"/>
      <c r="OBI2" s="62"/>
      <c r="OBJ2" s="62"/>
      <c r="OBK2" s="62"/>
      <c r="OBL2" s="62"/>
      <c r="OBM2" s="62"/>
      <c r="OBN2" s="62"/>
      <c r="OBO2" s="62"/>
      <c r="OBP2" s="62"/>
      <c r="OBQ2" s="62"/>
      <c r="OBR2" s="62"/>
      <c r="OBS2" s="62"/>
      <c r="OBT2" s="62"/>
      <c r="OBU2" s="62"/>
      <c r="OBV2" s="62"/>
      <c r="OBW2" s="62"/>
      <c r="OBX2" s="62"/>
      <c r="OBY2" s="62"/>
      <c r="OBZ2" s="62"/>
      <c r="OCA2" s="62"/>
      <c r="OCB2" s="62"/>
      <c r="OCC2" s="62"/>
      <c r="OCD2" s="62"/>
      <c r="OCE2" s="62"/>
      <c r="OCF2" s="62"/>
      <c r="OCG2" s="62"/>
      <c r="OCH2" s="62"/>
      <c r="OCI2" s="62"/>
      <c r="OCJ2" s="62"/>
      <c r="OCK2" s="62"/>
      <c r="OCL2" s="62"/>
      <c r="OCM2" s="62"/>
      <c r="OCN2" s="62"/>
      <c r="OCO2" s="62"/>
      <c r="OCP2" s="62"/>
      <c r="OCQ2" s="62"/>
      <c r="OCR2" s="62"/>
      <c r="OCS2" s="62"/>
      <c r="OCT2" s="62"/>
      <c r="OCU2" s="62"/>
      <c r="OCV2" s="62"/>
      <c r="OCW2" s="62"/>
      <c r="OCX2" s="62"/>
      <c r="OCY2" s="62"/>
      <c r="OCZ2" s="62"/>
      <c r="ODA2" s="62"/>
      <c r="ODB2" s="62"/>
      <c r="ODC2" s="62"/>
      <c r="ODD2" s="62"/>
      <c r="ODE2" s="62"/>
      <c r="ODF2" s="62"/>
      <c r="ODG2" s="62"/>
      <c r="ODH2" s="62"/>
      <c r="ODI2" s="62"/>
      <c r="ODJ2" s="62"/>
      <c r="ODK2" s="62"/>
      <c r="ODL2" s="62"/>
      <c r="ODM2" s="62"/>
      <c r="ODN2" s="62"/>
      <c r="ODO2" s="62"/>
      <c r="ODP2" s="62"/>
      <c r="ODQ2" s="62"/>
      <c r="ODR2" s="62"/>
      <c r="ODS2" s="62"/>
      <c r="ODT2" s="62"/>
      <c r="ODU2" s="62"/>
      <c r="ODV2" s="62"/>
      <c r="ODW2" s="62"/>
      <c r="ODX2" s="62"/>
      <c r="ODY2" s="62"/>
      <c r="ODZ2" s="62"/>
      <c r="OEA2" s="62"/>
      <c r="OEB2" s="62"/>
      <c r="OEC2" s="62"/>
      <c r="OED2" s="62"/>
      <c r="OEE2" s="62"/>
      <c r="OEF2" s="62"/>
      <c r="OEG2" s="62"/>
      <c r="OEH2" s="62"/>
      <c r="OEI2" s="62"/>
      <c r="OEJ2" s="62"/>
      <c r="OEK2" s="62"/>
      <c r="OEL2" s="62"/>
      <c r="OEM2" s="62"/>
      <c r="OEN2" s="62"/>
      <c r="OEO2" s="62"/>
      <c r="OEP2" s="62"/>
      <c r="OEQ2" s="62"/>
      <c r="OER2" s="62"/>
      <c r="OES2" s="62"/>
      <c r="OET2" s="62"/>
      <c r="OEU2" s="62"/>
      <c r="OEV2" s="62"/>
      <c r="OEW2" s="62"/>
      <c r="OEX2" s="62"/>
      <c r="OEY2" s="62"/>
      <c r="OEZ2" s="62"/>
      <c r="OFA2" s="62"/>
      <c r="OFB2" s="62"/>
      <c r="OFC2" s="62"/>
      <c r="OFD2" s="62"/>
      <c r="OFE2" s="62"/>
      <c r="OFF2" s="62"/>
      <c r="OFG2" s="62"/>
      <c r="OFH2" s="62"/>
      <c r="OFI2" s="62"/>
      <c r="OFJ2" s="62"/>
      <c r="OFK2" s="62"/>
      <c r="OFL2" s="62"/>
      <c r="OFM2" s="62"/>
      <c r="OFN2" s="62"/>
      <c r="OFO2" s="62"/>
      <c r="OFP2" s="62"/>
      <c r="OFQ2" s="62"/>
      <c r="OFR2" s="62"/>
      <c r="OFS2" s="62"/>
      <c r="OFT2" s="62"/>
      <c r="OFU2" s="62"/>
      <c r="OFV2" s="62"/>
      <c r="OFW2" s="62"/>
      <c r="OFX2" s="62"/>
      <c r="OFY2" s="62"/>
      <c r="OFZ2" s="62"/>
      <c r="OGA2" s="62"/>
      <c r="OGB2" s="62"/>
      <c r="OGC2" s="62"/>
      <c r="OGD2" s="62"/>
      <c r="OGE2" s="62"/>
      <c r="OGF2" s="62"/>
      <c r="OGG2" s="62"/>
      <c r="OGH2" s="62"/>
      <c r="OGI2" s="62"/>
      <c r="OGJ2" s="62"/>
      <c r="OGK2" s="62"/>
      <c r="OGL2" s="62"/>
      <c r="OGM2" s="62"/>
      <c r="OGN2" s="62"/>
      <c r="OGO2" s="62"/>
      <c r="OGP2" s="62"/>
      <c r="OGQ2" s="62"/>
      <c r="OGR2" s="62"/>
      <c r="OGS2" s="62"/>
      <c r="OGT2" s="62"/>
      <c r="OGU2" s="62"/>
      <c r="OGV2" s="62"/>
      <c r="OGW2" s="62"/>
      <c r="OGX2" s="62"/>
      <c r="OGY2" s="62"/>
      <c r="OGZ2" s="62"/>
      <c r="OHA2" s="62"/>
      <c r="OHB2" s="62"/>
      <c r="OHC2" s="62"/>
      <c r="OHD2" s="62"/>
      <c r="OHE2" s="62"/>
      <c r="OHF2" s="62"/>
      <c r="OHG2" s="62"/>
      <c r="OHH2" s="62"/>
      <c r="OHI2" s="62"/>
      <c r="OHJ2" s="62"/>
      <c r="OHK2" s="62"/>
      <c r="OHL2" s="62"/>
      <c r="OHM2" s="62"/>
      <c r="OHN2" s="62"/>
      <c r="OHO2" s="62"/>
      <c r="OHP2" s="62"/>
      <c r="OHQ2" s="62"/>
      <c r="OHR2" s="62"/>
      <c r="OHS2" s="62"/>
      <c r="OHT2" s="62"/>
      <c r="OHU2" s="62"/>
      <c r="OHV2" s="62"/>
      <c r="OHW2" s="62"/>
      <c r="OHX2" s="62"/>
      <c r="OHY2" s="62"/>
      <c r="OHZ2" s="62"/>
      <c r="OIA2" s="62"/>
      <c r="OIB2" s="62"/>
      <c r="OIC2" s="62"/>
      <c r="OID2" s="62"/>
      <c r="OIE2" s="62"/>
      <c r="OIF2" s="62"/>
      <c r="OIG2" s="62"/>
      <c r="OIH2" s="62"/>
      <c r="OII2" s="62"/>
      <c r="OIJ2" s="62"/>
      <c r="OIK2" s="62"/>
      <c r="OIL2" s="62"/>
      <c r="OIM2" s="62"/>
      <c r="OIN2" s="62"/>
      <c r="OIO2" s="62"/>
      <c r="OIP2" s="62"/>
      <c r="OIQ2" s="62"/>
      <c r="OIR2" s="62"/>
      <c r="OIS2" s="62"/>
      <c r="OIT2" s="62"/>
      <c r="OIU2" s="62"/>
      <c r="OIV2" s="62"/>
      <c r="OIW2" s="62"/>
      <c r="OIX2" s="62"/>
      <c r="OIY2" s="62"/>
      <c r="OIZ2" s="62"/>
      <c r="OJA2" s="62"/>
      <c r="OJB2" s="62"/>
      <c r="OJC2" s="62"/>
      <c r="OJD2" s="62"/>
      <c r="OJE2" s="62"/>
      <c r="OJF2" s="62"/>
      <c r="OJG2" s="62"/>
      <c r="OJH2" s="62"/>
      <c r="OJI2" s="62"/>
      <c r="OJJ2" s="62"/>
      <c r="OJK2" s="62"/>
      <c r="OJL2" s="62"/>
      <c r="OJM2" s="62"/>
      <c r="OJN2" s="62"/>
      <c r="OJO2" s="62"/>
      <c r="OJP2" s="62"/>
      <c r="OJQ2" s="62"/>
      <c r="OJR2" s="62"/>
      <c r="OJS2" s="62"/>
      <c r="OJT2" s="62"/>
      <c r="OJU2" s="62"/>
      <c r="OJV2" s="62"/>
      <c r="OJW2" s="62"/>
      <c r="OJX2" s="62"/>
      <c r="OJY2" s="62"/>
      <c r="OJZ2" s="62"/>
      <c r="OKA2" s="62"/>
      <c r="OKB2" s="62"/>
      <c r="OKC2" s="62"/>
      <c r="OKD2" s="62"/>
      <c r="OKE2" s="62"/>
      <c r="OKF2" s="62"/>
      <c r="OKG2" s="62"/>
      <c r="OKH2" s="62"/>
      <c r="OKI2" s="62"/>
      <c r="OKJ2" s="62"/>
      <c r="OKK2" s="62"/>
      <c r="OKL2" s="62"/>
      <c r="OKM2" s="62"/>
      <c r="OKN2" s="62"/>
      <c r="OKO2" s="62"/>
      <c r="OKP2" s="62"/>
      <c r="OKQ2" s="62"/>
      <c r="OKR2" s="62"/>
      <c r="OKS2" s="62"/>
      <c r="OKT2" s="62"/>
      <c r="OKU2" s="62"/>
      <c r="OKV2" s="62"/>
      <c r="OKW2" s="62"/>
      <c r="OKX2" s="62"/>
      <c r="OKY2" s="62"/>
      <c r="OKZ2" s="62"/>
      <c r="OLA2" s="62"/>
      <c r="OLB2" s="62"/>
      <c r="OLC2" s="62"/>
      <c r="OLD2" s="62"/>
      <c r="OLE2" s="62"/>
      <c r="OLF2" s="62"/>
      <c r="OLG2" s="62"/>
      <c r="OLH2" s="62"/>
      <c r="OLI2" s="62"/>
      <c r="OLJ2" s="62"/>
      <c r="OLK2" s="62"/>
      <c r="OLL2" s="62"/>
      <c r="OLM2" s="62"/>
      <c r="OLN2" s="62"/>
      <c r="OLO2" s="62"/>
      <c r="OLP2" s="62"/>
      <c r="OLQ2" s="62"/>
      <c r="OLR2" s="62"/>
      <c r="OLS2" s="62"/>
      <c r="OLT2" s="62"/>
      <c r="OLU2" s="62"/>
      <c r="OLV2" s="62"/>
      <c r="OLW2" s="62"/>
      <c r="OLX2" s="62"/>
      <c r="OLY2" s="62"/>
      <c r="OLZ2" s="62"/>
      <c r="OMA2" s="62"/>
      <c r="OMB2" s="62"/>
      <c r="OMC2" s="62"/>
      <c r="OMD2" s="62"/>
      <c r="OME2" s="62"/>
      <c r="OMF2" s="62"/>
      <c r="OMG2" s="62"/>
      <c r="OMH2" s="62"/>
      <c r="OMI2" s="62"/>
      <c r="OMJ2" s="62"/>
      <c r="OMK2" s="62"/>
      <c r="OML2" s="62"/>
      <c r="OMM2" s="62"/>
      <c r="OMN2" s="62"/>
      <c r="OMO2" s="62"/>
      <c r="OMP2" s="62"/>
      <c r="OMQ2" s="62"/>
      <c r="OMR2" s="62"/>
      <c r="OMS2" s="62"/>
      <c r="OMT2" s="62"/>
      <c r="OMU2" s="62"/>
      <c r="OMV2" s="62"/>
      <c r="OMW2" s="62"/>
      <c r="OMX2" s="62"/>
      <c r="OMY2" s="62"/>
      <c r="OMZ2" s="62"/>
      <c r="ONA2" s="62"/>
      <c r="ONB2" s="62"/>
      <c r="ONC2" s="62"/>
      <c r="OND2" s="62"/>
      <c r="ONE2" s="62"/>
      <c r="ONF2" s="62"/>
      <c r="ONG2" s="62"/>
      <c r="ONH2" s="62"/>
      <c r="ONI2" s="62"/>
      <c r="ONJ2" s="62"/>
      <c r="ONK2" s="62"/>
      <c r="ONL2" s="62"/>
      <c r="ONM2" s="62"/>
      <c r="ONN2" s="62"/>
      <c r="ONO2" s="62"/>
      <c r="ONP2" s="62"/>
      <c r="ONQ2" s="62"/>
      <c r="ONR2" s="62"/>
      <c r="ONS2" s="62"/>
      <c r="ONT2" s="62"/>
      <c r="ONU2" s="62"/>
      <c r="ONV2" s="62"/>
      <c r="ONW2" s="62"/>
      <c r="ONX2" s="62"/>
      <c r="ONY2" s="62"/>
      <c r="ONZ2" s="62"/>
      <c r="OOA2" s="62"/>
      <c r="OOB2" s="62"/>
      <c r="OOC2" s="62"/>
      <c r="OOD2" s="62"/>
      <c r="OOE2" s="62"/>
      <c r="OOF2" s="62"/>
      <c r="OOG2" s="62"/>
      <c r="OOH2" s="62"/>
      <c r="OOI2" s="62"/>
      <c r="OOJ2" s="62"/>
      <c r="OOK2" s="62"/>
      <c r="OOL2" s="62"/>
      <c r="OOM2" s="62"/>
      <c r="OON2" s="62"/>
      <c r="OOO2" s="62"/>
      <c r="OOP2" s="62"/>
      <c r="OOQ2" s="62"/>
      <c r="OOR2" s="62"/>
      <c r="OOS2" s="62"/>
      <c r="OOT2" s="62"/>
      <c r="OOU2" s="62"/>
      <c r="OOV2" s="62"/>
      <c r="OOW2" s="62"/>
      <c r="OOX2" s="62"/>
      <c r="OOY2" s="62"/>
      <c r="OOZ2" s="62"/>
      <c r="OPA2" s="62"/>
      <c r="OPB2" s="62"/>
      <c r="OPC2" s="62"/>
      <c r="OPD2" s="62"/>
      <c r="OPE2" s="62"/>
      <c r="OPF2" s="62"/>
      <c r="OPG2" s="62"/>
      <c r="OPH2" s="62"/>
      <c r="OPI2" s="62"/>
      <c r="OPJ2" s="62"/>
      <c r="OPK2" s="62"/>
      <c r="OPL2" s="62"/>
      <c r="OPM2" s="62"/>
      <c r="OPN2" s="62"/>
      <c r="OPO2" s="62"/>
      <c r="OPP2" s="62"/>
      <c r="OPQ2" s="62"/>
      <c r="OPR2" s="62"/>
      <c r="OPS2" s="62"/>
      <c r="OPT2" s="62"/>
      <c r="OPU2" s="62"/>
      <c r="OPV2" s="62"/>
      <c r="OPW2" s="62"/>
      <c r="OPX2" s="62"/>
      <c r="OPY2" s="62"/>
      <c r="OPZ2" s="62"/>
      <c r="OQA2" s="62"/>
      <c r="OQB2" s="62"/>
      <c r="OQC2" s="62"/>
      <c r="OQD2" s="62"/>
      <c r="OQE2" s="62"/>
      <c r="OQF2" s="62"/>
      <c r="OQG2" s="62"/>
      <c r="OQH2" s="62"/>
      <c r="OQI2" s="62"/>
      <c r="OQJ2" s="62"/>
      <c r="OQK2" s="62"/>
      <c r="OQL2" s="62"/>
      <c r="OQM2" s="62"/>
      <c r="OQN2" s="62"/>
      <c r="OQO2" s="62"/>
      <c r="OQP2" s="62"/>
      <c r="OQQ2" s="62"/>
      <c r="OQR2" s="62"/>
      <c r="OQS2" s="62"/>
      <c r="OQT2" s="62"/>
      <c r="OQU2" s="62"/>
      <c r="OQV2" s="62"/>
      <c r="OQW2" s="62"/>
      <c r="OQX2" s="62"/>
      <c r="OQY2" s="62"/>
      <c r="OQZ2" s="62"/>
      <c r="ORA2" s="62"/>
      <c r="ORB2" s="62"/>
      <c r="ORC2" s="62"/>
      <c r="ORD2" s="62"/>
      <c r="ORE2" s="62"/>
      <c r="ORF2" s="62"/>
      <c r="ORG2" s="62"/>
      <c r="ORH2" s="62"/>
      <c r="ORI2" s="62"/>
      <c r="ORJ2" s="62"/>
      <c r="ORK2" s="62"/>
      <c r="ORL2" s="62"/>
      <c r="ORM2" s="62"/>
      <c r="ORN2" s="62"/>
      <c r="ORO2" s="62"/>
      <c r="ORP2" s="62"/>
      <c r="ORQ2" s="62"/>
      <c r="ORR2" s="62"/>
      <c r="ORS2" s="62"/>
      <c r="ORT2" s="62"/>
      <c r="ORU2" s="62"/>
      <c r="ORV2" s="62"/>
      <c r="ORW2" s="62"/>
      <c r="ORX2" s="62"/>
      <c r="ORY2" s="62"/>
      <c r="ORZ2" s="62"/>
      <c r="OSA2" s="62"/>
      <c r="OSB2" s="62"/>
      <c r="OSC2" s="62"/>
      <c r="OSD2" s="62"/>
      <c r="OSE2" s="62"/>
      <c r="OSF2" s="62"/>
      <c r="OSG2" s="62"/>
      <c r="OSH2" s="62"/>
      <c r="OSI2" s="62"/>
      <c r="OSJ2" s="62"/>
      <c r="OSK2" s="62"/>
      <c r="OSL2" s="62"/>
      <c r="OSM2" s="62"/>
      <c r="OSN2" s="62"/>
      <c r="OSO2" s="62"/>
      <c r="OSP2" s="62"/>
      <c r="OSQ2" s="62"/>
      <c r="OSR2" s="62"/>
      <c r="OSS2" s="62"/>
      <c r="OST2" s="62"/>
      <c r="OSU2" s="62"/>
      <c r="OSV2" s="62"/>
      <c r="OSW2" s="62"/>
      <c r="OSX2" s="62"/>
      <c r="OSY2" s="62"/>
      <c r="OSZ2" s="62"/>
      <c r="OTA2" s="62"/>
      <c r="OTB2" s="62"/>
      <c r="OTC2" s="62"/>
      <c r="OTD2" s="62"/>
      <c r="OTE2" s="62"/>
      <c r="OTF2" s="62"/>
      <c r="OTG2" s="62"/>
      <c r="OTH2" s="62"/>
      <c r="OTI2" s="62"/>
      <c r="OTJ2" s="62"/>
      <c r="OTK2" s="62"/>
      <c r="OTL2" s="62"/>
      <c r="OTM2" s="62"/>
      <c r="OTN2" s="62"/>
      <c r="OTO2" s="62"/>
      <c r="OTP2" s="62"/>
      <c r="OTQ2" s="62"/>
      <c r="OTR2" s="62"/>
      <c r="OTS2" s="62"/>
      <c r="OTT2" s="62"/>
      <c r="OTU2" s="62"/>
      <c r="OTV2" s="62"/>
      <c r="OTW2" s="62"/>
      <c r="OTX2" s="62"/>
      <c r="OTY2" s="62"/>
      <c r="OTZ2" s="62"/>
      <c r="OUA2" s="62"/>
      <c r="OUB2" s="62"/>
      <c r="OUC2" s="62"/>
      <c r="OUD2" s="62"/>
      <c r="OUE2" s="62"/>
      <c r="OUF2" s="62"/>
      <c r="OUG2" s="62"/>
      <c r="OUH2" s="62"/>
      <c r="OUI2" s="62"/>
      <c r="OUJ2" s="62"/>
      <c r="OUK2" s="62"/>
      <c r="OUL2" s="62"/>
      <c r="OUM2" s="62"/>
      <c r="OUN2" s="62"/>
      <c r="OUO2" s="62"/>
      <c r="OUP2" s="62"/>
      <c r="OUQ2" s="62"/>
      <c r="OUR2" s="62"/>
      <c r="OUS2" s="62"/>
      <c r="OUT2" s="62"/>
      <c r="OUU2" s="62"/>
      <c r="OUV2" s="62"/>
      <c r="OUW2" s="62"/>
      <c r="OUX2" s="62"/>
      <c r="OUY2" s="62"/>
      <c r="OUZ2" s="62"/>
      <c r="OVA2" s="62"/>
      <c r="OVB2" s="62"/>
      <c r="OVC2" s="62"/>
      <c r="OVD2" s="62"/>
      <c r="OVE2" s="62"/>
      <c r="OVF2" s="62"/>
      <c r="OVG2" s="62"/>
      <c r="OVH2" s="62"/>
      <c r="OVI2" s="62"/>
      <c r="OVJ2" s="62"/>
      <c r="OVK2" s="62"/>
      <c r="OVL2" s="62"/>
      <c r="OVM2" s="62"/>
      <c r="OVN2" s="62"/>
      <c r="OVO2" s="62"/>
      <c r="OVP2" s="62"/>
      <c r="OVQ2" s="62"/>
      <c r="OVR2" s="62"/>
      <c r="OVS2" s="62"/>
      <c r="OVT2" s="62"/>
      <c r="OVU2" s="62"/>
      <c r="OVV2" s="62"/>
      <c r="OVW2" s="62"/>
      <c r="OVX2" s="62"/>
      <c r="OVY2" s="62"/>
      <c r="OVZ2" s="62"/>
      <c r="OWA2" s="62"/>
      <c r="OWB2" s="62"/>
      <c r="OWC2" s="62"/>
      <c r="OWD2" s="62"/>
      <c r="OWE2" s="62"/>
      <c r="OWF2" s="62"/>
      <c r="OWG2" s="62"/>
      <c r="OWH2" s="62"/>
      <c r="OWI2" s="62"/>
      <c r="OWJ2" s="62"/>
      <c r="OWK2" s="62"/>
      <c r="OWL2" s="62"/>
      <c r="OWM2" s="62"/>
      <c r="OWN2" s="62"/>
      <c r="OWO2" s="62"/>
      <c r="OWP2" s="62"/>
      <c r="OWQ2" s="62"/>
      <c r="OWR2" s="62"/>
      <c r="OWS2" s="62"/>
      <c r="OWT2" s="62"/>
      <c r="OWU2" s="62"/>
      <c r="OWV2" s="62"/>
      <c r="OWW2" s="62"/>
      <c r="OWX2" s="62"/>
      <c r="OWY2" s="62"/>
      <c r="OWZ2" s="62"/>
      <c r="OXA2" s="62"/>
      <c r="OXB2" s="62"/>
      <c r="OXC2" s="62"/>
      <c r="OXD2" s="62"/>
      <c r="OXE2" s="62"/>
      <c r="OXF2" s="62"/>
      <c r="OXG2" s="62"/>
      <c r="OXH2" s="62"/>
      <c r="OXI2" s="62"/>
      <c r="OXJ2" s="62"/>
      <c r="OXK2" s="62"/>
      <c r="OXL2" s="62"/>
      <c r="OXM2" s="62"/>
      <c r="OXN2" s="62"/>
      <c r="OXO2" s="62"/>
      <c r="OXP2" s="62"/>
      <c r="OXQ2" s="62"/>
      <c r="OXR2" s="62"/>
      <c r="OXS2" s="62"/>
      <c r="OXT2" s="62"/>
      <c r="OXU2" s="62"/>
      <c r="OXV2" s="62"/>
      <c r="OXW2" s="62"/>
      <c r="OXX2" s="62"/>
      <c r="OXY2" s="62"/>
      <c r="OXZ2" s="62"/>
      <c r="OYA2" s="62"/>
      <c r="OYB2" s="62"/>
      <c r="OYC2" s="62"/>
      <c r="OYD2" s="62"/>
      <c r="OYE2" s="62"/>
      <c r="OYF2" s="62"/>
      <c r="OYG2" s="62"/>
      <c r="OYH2" s="62"/>
      <c r="OYI2" s="62"/>
      <c r="OYJ2" s="62"/>
      <c r="OYK2" s="62"/>
      <c r="OYL2" s="62"/>
      <c r="OYM2" s="62"/>
      <c r="OYN2" s="62"/>
      <c r="OYO2" s="62"/>
      <c r="OYP2" s="62"/>
      <c r="OYQ2" s="62"/>
      <c r="OYR2" s="62"/>
      <c r="OYS2" s="62"/>
      <c r="OYT2" s="62"/>
      <c r="OYU2" s="62"/>
      <c r="OYV2" s="62"/>
      <c r="OYW2" s="62"/>
      <c r="OYX2" s="62"/>
      <c r="OYY2" s="62"/>
      <c r="OYZ2" s="62"/>
      <c r="OZA2" s="62"/>
      <c r="OZB2" s="62"/>
      <c r="OZC2" s="62"/>
      <c r="OZD2" s="62"/>
      <c r="OZE2" s="62"/>
      <c r="OZF2" s="62"/>
      <c r="OZG2" s="62"/>
      <c r="OZH2" s="62"/>
      <c r="OZI2" s="62"/>
      <c r="OZJ2" s="62"/>
      <c r="OZK2" s="62"/>
      <c r="OZL2" s="62"/>
      <c r="OZM2" s="62"/>
      <c r="OZN2" s="62"/>
      <c r="OZO2" s="62"/>
      <c r="OZP2" s="62"/>
      <c r="OZQ2" s="62"/>
      <c r="OZR2" s="62"/>
      <c r="OZS2" s="62"/>
      <c r="OZT2" s="62"/>
      <c r="OZU2" s="62"/>
      <c r="OZV2" s="62"/>
      <c r="OZW2" s="62"/>
      <c r="OZX2" s="62"/>
      <c r="OZY2" s="62"/>
      <c r="OZZ2" s="62"/>
      <c r="PAA2" s="62"/>
      <c r="PAB2" s="62"/>
      <c r="PAC2" s="62"/>
      <c r="PAD2" s="62"/>
      <c r="PAE2" s="62"/>
      <c r="PAF2" s="62"/>
      <c r="PAG2" s="62"/>
      <c r="PAH2" s="62"/>
      <c r="PAI2" s="62"/>
      <c r="PAJ2" s="62"/>
      <c r="PAK2" s="62"/>
      <c r="PAL2" s="62"/>
      <c r="PAM2" s="62"/>
      <c r="PAN2" s="62"/>
      <c r="PAO2" s="62"/>
      <c r="PAP2" s="62"/>
      <c r="PAQ2" s="62"/>
      <c r="PAR2" s="62"/>
      <c r="PAS2" s="62"/>
      <c r="PAT2" s="62"/>
      <c r="PAU2" s="62"/>
      <c r="PAV2" s="62"/>
      <c r="PAW2" s="62"/>
      <c r="PAX2" s="62"/>
      <c r="PAY2" s="62"/>
      <c r="PAZ2" s="62"/>
      <c r="PBA2" s="62"/>
      <c r="PBB2" s="62"/>
      <c r="PBC2" s="62"/>
      <c r="PBD2" s="62"/>
      <c r="PBE2" s="62"/>
      <c r="PBF2" s="62"/>
      <c r="PBG2" s="62"/>
      <c r="PBH2" s="62"/>
      <c r="PBI2" s="62"/>
      <c r="PBJ2" s="62"/>
      <c r="PBK2" s="62"/>
      <c r="PBL2" s="62"/>
      <c r="PBM2" s="62"/>
      <c r="PBN2" s="62"/>
      <c r="PBO2" s="62"/>
      <c r="PBP2" s="62"/>
      <c r="PBQ2" s="62"/>
      <c r="PBR2" s="62"/>
      <c r="PBS2" s="62"/>
      <c r="PBT2" s="62"/>
      <c r="PBU2" s="62"/>
      <c r="PBV2" s="62"/>
      <c r="PBW2" s="62"/>
      <c r="PBX2" s="62"/>
      <c r="PBY2" s="62"/>
      <c r="PBZ2" s="62"/>
      <c r="PCA2" s="62"/>
      <c r="PCB2" s="62"/>
      <c r="PCC2" s="62"/>
      <c r="PCD2" s="62"/>
      <c r="PCE2" s="62"/>
      <c r="PCF2" s="62"/>
      <c r="PCG2" s="62"/>
      <c r="PCH2" s="62"/>
      <c r="PCI2" s="62"/>
      <c r="PCJ2" s="62"/>
      <c r="PCK2" s="62"/>
      <c r="PCL2" s="62"/>
      <c r="PCM2" s="62"/>
      <c r="PCN2" s="62"/>
      <c r="PCO2" s="62"/>
      <c r="PCP2" s="62"/>
      <c r="PCQ2" s="62"/>
      <c r="PCR2" s="62"/>
      <c r="PCS2" s="62"/>
      <c r="PCT2" s="62"/>
      <c r="PCU2" s="62"/>
      <c r="PCV2" s="62"/>
      <c r="PCW2" s="62"/>
      <c r="PCX2" s="62"/>
      <c r="PCY2" s="62"/>
      <c r="PCZ2" s="62"/>
      <c r="PDA2" s="62"/>
      <c r="PDB2" s="62"/>
      <c r="PDC2" s="62"/>
      <c r="PDD2" s="62"/>
      <c r="PDE2" s="62"/>
      <c r="PDF2" s="62"/>
      <c r="PDG2" s="62"/>
      <c r="PDH2" s="62"/>
      <c r="PDI2" s="62"/>
      <c r="PDJ2" s="62"/>
      <c r="PDK2" s="62"/>
      <c r="PDL2" s="62"/>
      <c r="PDM2" s="62"/>
      <c r="PDN2" s="62"/>
      <c r="PDO2" s="62"/>
      <c r="PDP2" s="62"/>
      <c r="PDQ2" s="62"/>
      <c r="PDR2" s="62"/>
      <c r="PDS2" s="62"/>
      <c r="PDT2" s="62"/>
      <c r="PDU2" s="62"/>
      <c r="PDV2" s="62"/>
      <c r="PDW2" s="62"/>
      <c r="PDX2" s="62"/>
      <c r="PDY2" s="62"/>
      <c r="PDZ2" s="62"/>
      <c r="PEA2" s="62"/>
      <c r="PEB2" s="62"/>
      <c r="PEC2" s="62"/>
      <c r="PED2" s="62"/>
      <c r="PEE2" s="62"/>
      <c r="PEF2" s="62"/>
      <c r="PEG2" s="62"/>
      <c r="PEH2" s="62"/>
      <c r="PEI2" s="62"/>
      <c r="PEJ2" s="62"/>
      <c r="PEK2" s="62"/>
      <c r="PEL2" s="62"/>
      <c r="PEM2" s="62"/>
      <c r="PEN2" s="62"/>
      <c r="PEO2" s="62"/>
      <c r="PEP2" s="62"/>
      <c r="PEQ2" s="62"/>
      <c r="PER2" s="62"/>
      <c r="PES2" s="62"/>
      <c r="PET2" s="62"/>
      <c r="PEU2" s="62"/>
      <c r="PEV2" s="62"/>
      <c r="PEW2" s="62"/>
      <c r="PEX2" s="62"/>
      <c r="PEY2" s="62"/>
      <c r="PEZ2" s="62"/>
      <c r="PFA2" s="62"/>
      <c r="PFB2" s="62"/>
      <c r="PFC2" s="62"/>
      <c r="PFD2" s="62"/>
      <c r="PFE2" s="62"/>
      <c r="PFF2" s="62"/>
      <c r="PFG2" s="62"/>
      <c r="PFH2" s="62"/>
      <c r="PFI2" s="62"/>
      <c r="PFJ2" s="62"/>
      <c r="PFK2" s="62"/>
      <c r="PFL2" s="62"/>
      <c r="PFM2" s="62"/>
      <c r="PFN2" s="62"/>
      <c r="PFO2" s="62"/>
      <c r="PFP2" s="62"/>
      <c r="PFQ2" s="62"/>
      <c r="PFR2" s="62"/>
      <c r="PFS2" s="62"/>
      <c r="PFT2" s="62"/>
      <c r="PFU2" s="62"/>
      <c r="PFV2" s="62"/>
      <c r="PFW2" s="62"/>
      <c r="PFX2" s="62"/>
      <c r="PFY2" s="62"/>
      <c r="PFZ2" s="62"/>
      <c r="PGA2" s="62"/>
      <c r="PGB2" s="62"/>
      <c r="PGC2" s="62"/>
      <c r="PGD2" s="62"/>
      <c r="PGE2" s="62"/>
      <c r="PGF2" s="62"/>
      <c r="PGG2" s="62"/>
      <c r="PGH2" s="62"/>
      <c r="PGI2" s="62"/>
      <c r="PGJ2" s="62"/>
      <c r="PGK2" s="62"/>
      <c r="PGL2" s="62"/>
      <c r="PGM2" s="62"/>
      <c r="PGN2" s="62"/>
      <c r="PGO2" s="62"/>
      <c r="PGP2" s="62"/>
      <c r="PGQ2" s="62"/>
      <c r="PGR2" s="62"/>
      <c r="PGS2" s="62"/>
      <c r="PGT2" s="62"/>
      <c r="PGU2" s="62"/>
      <c r="PGV2" s="62"/>
      <c r="PGW2" s="62"/>
      <c r="PGX2" s="62"/>
      <c r="PGY2" s="62"/>
      <c r="PGZ2" s="62"/>
      <c r="PHA2" s="62"/>
      <c r="PHB2" s="62"/>
      <c r="PHC2" s="62"/>
      <c r="PHD2" s="62"/>
      <c r="PHE2" s="62"/>
      <c r="PHF2" s="62"/>
      <c r="PHG2" s="62"/>
      <c r="PHH2" s="62"/>
      <c r="PHI2" s="62"/>
      <c r="PHJ2" s="62"/>
      <c r="PHK2" s="62"/>
      <c r="PHL2" s="62"/>
      <c r="PHM2" s="62"/>
      <c r="PHN2" s="62"/>
      <c r="PHO2" s="62"/>
      <c r="PHP2" s="62"/>
      <c r="PHQ2" s="62"/>
      <c r="PHR2" s="62"/>
      <c r="PHS2" s="62"/>
      <c r="PHT2" s="62"/>
      <c r="PHU2" s="62"/>
      <c r="PHV2" s="62"/>
      <c r="PHW2" s="62"/>
      <c r="PHX2" s="62"/>
      <c r="PHY2" s="62"/>
      <c r="PHZ2" s="62"/>
      <c r="PIA2" s="62"/>
      <c r="PIB2" s="62"/>
      <c r="PIC2" s="62"/>
      <c r="PID2" s="62"/>
      <c r="PIE2" s="62"/>
      <c r="PIF2" s="62"/>
      <c r="PIG2" s="62"/>
      <c r="PIH2" s="62"/>
      <c r="PII2" s="62"/>
      <c r="PIJ2" s="62"/>
      <c r="PIK2" s="62"/>
      <c r="PIL2" s="62"/>
      <c r="PIM2" s="62"/>
      <c r="PIN2" s="62"/>
      <c r="PIO2" s="62"/>
      <c r="PIP2" s="62"/>
      <c r="PIQ2" s="62"/>
      <c r="PIR2" s="62"/>
      <c r="PIS2" s="62"/>
      <c r="PIT2" s="62"/>
      <c r="PIU2" s="62"/>
      <c r="PIV2" s="62"/>
      <c r="PIW2" s="62"/>
      <c r="PIX2" s="62"/>
      <c r="PIY2" s="62"/>
      <c r="PIZ2" s="62"/>
      <c r="PJA2" s="62"/>
      <c r="PJB2" s="62"/>
      <c r="PJC2" s="62"/>
      <c r="PJD2" s="62"/>
      <c r="PJE2" s="62"/>
      <c r="PJF2" s="62"/>
      <c r="PJG2" s="62"/>
      <c r="PJH2" s="62"/>
      <c r="PJI2" s="62"/>
      <c r="PJJ2" s="62"/>
      <c r="PJK2" s="62"/>
      <c r="PJL2" s="62"/>
      <c r="PJM2" s="62"/>
      <c r="PJN2" s="62"/>
      <c r="PJO2" s="62"/>
      <c r="PJP2" s="62"/>
      <c r="PJQ2" s="62"/>
      <c r="PJR2" s="62"/>
      <c r="PJS2" s="62"/>
      <c r="PJT2" s="62"/>
      <c r="PJU2" s="62"/>
      <c r="PJV2" s="62"/>
      <c r="PJW2" s="62"/>
      <c r="PJX2" s="62"/>
      <c r="PJY2" s="62"/>
      <c r="PJZ2" s="62"/>
      <c r="PKA2" s="62"/>
      <c r="PKB2" s="62"/>
      <c r="PKC2" s="62"/>
      <c r="PKD2" s="62"/>
      <c r="PKE2" s="62"/>
      <c r="PKF2" s="62"/>
      <c r="PKG2" s="62"/>
      <c r="PKH2" s="62"/>
      <c r="PKI2" s="62"/>
      <c r="PKJ2" s="62"/>
      <c r="PKK2" s="62"/>
      <c r="PKL2" s="62"/>
      <c r="PKM2" s="62"/>
      <c r="PKN2" s="62"/>
      <c r="PKO2" s="62"/>
      <c r="PKP2" s="62"/>
      <c r="PKQ2" s="62"/>
      <c r="PKR2" s="62"/>
      <c r="PKS2" s="62"/>
      <c r="PKT2" s="62"/>
      <c r="PKU2" s="62"/>
      <c r="PKV2" s="62"/>
      <c r="PKW2" s="62"/>
      <c r="PKX2" s="62"/>
      <c r="PKY2" s="62"/>
      <c r="PKZ2" s="62"/>
      <c r="PLA2" s="62"/>
      <c r="PLB2" s="62"/>
      <c r="PLC2" s="62"/>
      <c r="PLD2" s="62"/>
      <c r="PLE2" s="62"/>
      <c r="PLF2" s="62"/>
      <c r="PLG2" s="62"/>
      <c r="PLH2" s="62"/>
      <c r="PLI2" s="62"/>
      <c r="PLJ2" s="62"/>
      <c r="PLK2" s="62"/>
      <c r="PLL2" s="62"/>
      <c r="PLM2" s="62"/>
      <c r="PLN2" s="62"/>
      <c r="PLO2" s="62"/>
      <c r="PLP2" s="62"/>
      <c r="PLQ2" s="62"/>
      <c r="PLR2" s="62"/>
      <c r="PLS2" s="62"/>
      <c r="PLT2" s="62"/>
      <c r="PLU2" s="62"/>
      <c r="PLV2" s="62"/>
      <c r="PLW2" s="62"/>
      <c r="PLX2" s="62"/>
      <c r="PLY2" s="62"/>
      <c r="PLZ2" s="62"/>
      <c r="PMA2" s="62"/>
      <c r="PMB2" s="62"/>
      <c r="PMC2" s="62"/>
      <c r="PMD2" s="62"/>
      <c r="PME2" s="62"/>
      <c r="PMF2" s="62"/>
      <c r="PMG2" s="62"/>
      <c r="PMH2" s="62"/>
      <c r="PMI2" s="62"/>
      <c r="PMJ2" s="62"/>
      <c r="PMK2" s="62"/>
      <c r="PML2" s="62"/>
      <c r="PMM2" s="62"/>
      <c r="PMN2" s="62"/>
      <c r="PMO2" s="62"/>
      <c r="PMP2" s="62"/>
      <c r="PMQ2" s="62"/>
      <c r="PMR2" s="62"/>
      <c r="PMS2" s="62"/>
      <c r="PMT2" s="62"/>
      <c r="PMU2" s="62"/>
      <c r="PMV2" s="62"/>
      <c r="PMW2" s="62"/>
      <c r="PMX2" s="62"/>
      <c r="PMY2" s="62"/>
      <c r="PMZ2" s="62"/>
      <c r="PNA2" s="62"/>
      <c r="PNB2" s="62"/>
      <c r="PNC2" s="62"/>
      <c r="PND2" s="62"/>
      <c r="PNE2" s="62"/>
      <c r="PNF2" s="62"/>
      <c r="PNG2" s="62"/>
      <c r="PNH2" s="62"/>
      <c r="PNI2" s="62"/>
      <c r="PNJ2" s="62"/>
      <c r="PNK2" s="62"/>
      <c r="PNL2" s="62"/>
      <c r="PNM2" s="62"/>
      <c r="PNN2" s="62"/>
      <c r="PNO2" s="62"/>
      <c r="PNP2" s="62"/>
      <c r="PNQ2" s="62"/>
      <c r="PNR2" s="62"/>
      <c r="PNS2" s="62"/>
      <c r="PNT2" s="62"/>
      <c r="PNU2" s="62"/>
      <c r="PNV2" s="62"/>
      <c r="PNW2" s="62"/>
      <c r="PNX2" s="62"/>
      <c r="PNY2" s="62"/>
      <c r="PNZ2" s="62"/>
      <c r="POA2" s="62"/>
      <c r="POB2" s="62"/>
      <c r="POC2" s="62"/>
      <c r="POD2" s="62"/>
      <c r="POE2" s="62"/>
      <c r="POF2" s="62"/>
      <c r="POG2" s="62"/>
      <c r="POH2" s="62"/>
      <c r="POI2" s="62"/>
      <c r="POJ2" s="62"/>
      <c r="POK2" s="62"/>
      <c r="POL2" s="62"/>
      <c r="POM2" s="62"/>
      <c r="PON2" s="62"/>
      <c r="POO2" s="62"/>
      <c r="POP2" s="62"/>
      <c r="POQ2" s="62"/>
      <c r="POR2" s="62"/>
      <c r="POS2" s="62"/>
      <c r="POT2" s="62"/>
      <c r="POU2" s="62"/>
      <c r="POV2" s="62"/>
      <c r="POW2" s="62"/>
      <c r="POX2" s="62"/>
      <c r="POY2" s="62"/>
      <c r="POZ2" s="62"/>
      <c r="PPA2" s="62"/>
      <c r="PPB2" s="62"/>
      <c r="PPC2" s="62"/>
      <c r="PPD2" s="62"/>
      <c r="PPE2" s="62"/>
      <c r="PPF2" s="62"/>
      <c r="PPG2" s="62"/>
      <c r="PPH2" s="62"/>
      <c r="PPI2" s="62"/>
      <c r="PPJ2" s="62"/>
      <c r="PPK2" s="62"/>
      <c r="PPL2" s="62"/>
      <c r="PPM2" s="62"/>
      <c r="PPN2" s="62"/>
      <c r="PPO2" s="62"/>
      <c r="PPP2" s="62"/>
      <c r="PPQ2" s="62"/>
      <c r="PPR2" s="62"/>
      <c r="PPS2" s="62"/>
      <c r="PPT2" s="62"/>
      <c r="PPU2" s="62"/>
      <c r="PPV2" s="62"/>
      <c r="PPW2" s="62"/>
      <c r="PPX2" s="62"/>
      <c r="PPY2" s="62"/>
      <c r="PPZ2" s="62"/>
      <c r="PQA2" s="62"/>
      <c r="PQB2" s="62"/>
      <c r="PQC2" s="62"/>
      <c r="PQD2" s="62"/>
      <c r="PQE2" s="62"/>
      <c r="PQF2" s="62"/>
      <c r="PQG2" s="62"/>
      <c r="PQH2" s="62"/>
      <c r="PQI2" s="62"/>
      <c r="PQJ2" s="62"/>
      <c r="PQK2" s="62"/>
      <c r="PQL2" s="62"/>
      <c r="PQM2" s="62"/>
      <c r="PQN2" s="62"/>
      <c r="PQO2" s="62"/>
      <c r="PQP2" s="62"/>
      <c r="PQQ2" s="62"/>
      <c r="PQR2" s="62"/>
      <c r="PQS2" s="62"/>
      <c r="PQT2" s="62"/>
      <c r="PQU2" s="62"/>
      <c r="PQV2" s="62"/>
      <c r="PQW2" s="62"/>
      <c r="PQX2" s="62"/>
      <c r="PQY2" s="62"/>
      <c r="PQZ2" s="62"/>
      <c r="PRA2" s="62"/>
      <c r="PRB2" s="62"/>
      <c r="PRC2" s="62"/>
      <c r="PRD2" s="62"/>
      <c r="PRE2" s="62"/>
      <c r="PRF2" s="62"/>
      <c r="PRG2" s="62"/>
      <c r="PRH2" s="62"/>
      <c r="PRI2" s="62"/>
      <c r="PRJ2" s="62"/>
      <c r="PRK2" s="62"/>
      <c r="PRL2" s="62"/>
      <c r="PRM2" s="62"/>
      <c r="PRN2" s="62"/>
      <c r="PRO2" s="62"/>
      <c r="PRP2" s="62"/>
      <c r="PRQ2" s="62"/>
      <c r="PRR2" s="62"/>
      <c r="PRS2" s="62"/>
      <c r="PRT2" s="62"/>
      <c r="PRU2" s="62"/>
      <c r="PRV2" s="62"/>
      <c r="PRW2" s="62"/>
      <c r="PRX2" s="62"/>
      <c r="PRY2" s="62"/>
      <c r="PRZ2" s="62"/>
      <c r="PSA2" s="62"/>
      <c r="PSB2" s="62"/>
      <c r="PSC2" s="62"/>
      <c r="PSD2" s="62"/>
      <c r="PSE2" s="62"/>
      <c r="PSF2" s="62"/>
      <c r="PSG2" s="62"/>
      <c r="PSH2" s="62"/>
      <c r="PSI2" s="62"/>
      <c r="PSJ2" s="62"/>
      <c r="PSK2" s="62"/>
      <c r="PSL2" s="62"/>
      <c r="PSM2" s="62"/>
      <c r="PSN2" s="62"/>
      <c r="PSO2" s="62"/>
      <c r="PSP2" s="62"/>
      <c r="PSQ2" s="62"/>
      <c r="PSR2" s="62"/>
      <c r="PSS2" s="62"/>
      <c r="PST2" s="62"/>
      <c r="PSU2" s="62"/>
      <c r="PSV2" s="62"/>
      <c r="PSW2" s="62"/>
      <c r="PSX2" s="62"/>
      <c r="PSY2" s="62"/>
      <c r="PSZ2" s="62"/>
      <c r="PTA2" s="62"/>
      <c r="PTB2" s="62"/>
      <c r="PTC2" s="62"/>
      <c r="PTD2" s="62"/>
      <c r="PTE2" s="62"/>
      <c r="PTF2" s="62"/>
      <c r="PTG2" s="62"/>
      <c r="PTH2" s="62"/>
      <c r="PTI2" s="62"/>
      <c r="PTJ2" s="62"/>
      <c r="PTK2" s="62"/>
      <c r="PTL2" s="62"/>
      <c r="PTM2" s="62"/>
      <c r="PTN2" s="62"/>
      <c r="PTO2" s="62"/>
      <c r="PTP2" s="62"/>
      <c r="PTQ2" s="62"/>
      <c r="PTR2" s="62"/>
      <c r="PTS2" s="62"/>
      <c r="PTT2" s="62"/>
      <c r="PTU2" s="62"/>
      <c r="PTV2" s="62"/>
      <c r="PTW2" s="62"/>
      <c r="PTX2" s="62"/>
      <c r="PTY2" s="62"/>
      <c r="PTZ2" s="62"/>
      <c r="PUA2" s="62"/>
      <c r="PUB2" s="62"/>
      <c r="PUC2" s="62"/>
      <c r="PUD2" s="62"/>
      <c r="PUE2" s="62"/>
      <c r="PUF2" s="62"/>
      <c r="PUG2" s="62"/>
      <c r="PUH2" s="62"/>
      <c r="PUI2" s="62"/>
      <c r="PUJ2" s="62"/>
      <c r="PUK2" s="62"/>
      <c r="PUL2" s="62"/>
      <c r="PUM2" s="62"/>
      <c r="PUN2" s="62"/>
      <c r="PUO2" s="62"/>
      <c r="PUP2" s="62"/>
      <c r="PUQ2" s="62"/>
      <c r="PUR2" s="62"/>
      <c r="PUS2" s="62"/>
      <c r="PUT2" s="62"/>
      <c r="PUU2" s="62"/>
      <c r="PUV2" s="62"/>
      <c r="PUW2" s="62"/>
      <c r="PUX2" s="62"/>
      <c r="PUY2" s="62"/>
      <c r="PUZ2" s="62"/>
      <c r="PVA2" s="62"/>
      <c r="PVB2" s="62"/>
      <c r="PVC2" s="62"/>
      <c r="PVD2" s="62"/>
      <c r="PVE2" s="62"/>
      <c r="PVF2" s="62"/>
      <c r="PVG2" s="62"/>
      <c r="PVH2" s="62"/>
      <c r="PVI2" s="62"/>
      <c r="PVJ2" s="62"/>
      <c r="PVK2" s="62"/>
      <c r="PVL2" s="62"/>
      <c r="PVM2" s="62"/>
      <c r="PVN2" s="62"/>
      <c r="PVO2" s="62"/>
      <c r="PVP2" s="62"/>
      <c r="PVQ2" s="62"/>
      <c r="PVR2" s="62"/>
      <c r="PVS2" s="62"/>
      <c r="PVT2" s="62"/>
      <c r="PVU2" s="62"/>
      <c r="PVV2" s="62"/>
      <c r="PVW2" s="62"/>
      <c r="PVX2" s="62"/>
      <c r="PVY2" s="62"/>
      <c r="PVZ2" s="62"/>
      <c r="PWA2" s="62"/>
      <c r="PWB2" s="62"/>
      <c r="PWC2" s="62"/>
      <c r="PWD2" s="62"/>
      <c r="PWE2" s="62"/>
      <c r="PWF2" s="62"/>
      <c r="PWG2" s="62"/>
      <c r="PWH2" s="62"/>
      <c r="PWI2" s="62"/>
      <c r="PWJ2" s="62"/>
      <c r="PWK2" s="62"/>
      <c r="PWL2" s="62"/>
      <c r="PWM2" s="62"/>
      <c r="PWN2" s="62"/>
      <c r="PWO2" s="62"/>
      <c r="PWP2" s="62"/>
      <c r="PWQ2" s="62"/>
      <c r="PWR2" s="62"/>
      <c r="PWS2" s="62"/>
      <c r="PWT2" s="62"/>
      <c r="PWU2" s="62"/>
      <c r="PWV2" s="62"/>
      <c r="PWW2" s="62"/>
      <c r="PWX2" s="62"/>
      <c r="PWY2" s="62"/>
      <c r="PWZ2" s="62"/>
      <c r="PXA2" s="62"/>
      <c r="PXB2" s="62"/>
      <c r="PXC2" s="62"/>
      <c r="PXD2" s="62"/>
      <c r="PXE2" s="62"/>
      <c r="PXF2" s="62"/>
      <c r="PXG2" s="62"/>
      <c r="PXH2" s="62"/>
      <c r="PXI2" s="62"/>
      <c r="PXJ2" s="62"/>
      <c r="PXK2" s="62"/>
      <c r="PXL2" s="62"/>
      <c r="PXM2" s="62"/>
      <c r="PXN2" s="62"/>
      <c r="PXO2" s="62"/>
      <c r="PXP2" s="62"/>
      <c r="PXQ2" s="62"/>
      <c r="PXR2" s="62"/>
      <c r="PXS2" s="62"/>
      <c r="PXT2" s="62"/>
      <c r="PXU2" s="62"/>
      <c r="PXV2" s="62"/>
      <c r="PXW2" s="62"/>
      <c r="PXX2" s="62"/>
      <c r="PXY2" s="62"/>
      <c r="PXZ2" s="62"/>
      <c r="PYA2" s="62"/>
      <c r="PYB2" s="62"/>
      <c r="PYC2" s="62"/>
      <c r="PYD2" s="62"/>
      <c r="PYE2" s="62"/>
      <c r="PYF2" s="62"/>
      <c r="PYG2" s="62"/>
      <c r="PYH2" s="62"/>
      <c r="PYI2" s="62"/>
      <c r="PYJ2" s="62"/>
      <c r="PYK2" s="62"/>
      <c r="PYL2" s="62"/>
      <c r="PYM2" s="62"/>
      <c r="PYN2" s="62"/>
      <c r="PYO2" s="62"/>
      <c r="PYP2" s="62"/>
      <c r="PYQ2" s="62"/>
      <c r="PYR2" s="62"/>
      <c r="PYS2" s="62"/>
      <c r="PYT2" s="62"/>
      <c r="PYU2" s="62"/>
      <c r="PYV2" s="62"/>
      <c r="PYW2" s="62"/>
      <c r="PYX2" s="62"/>
      <c r="PYY2" s="62"/>
      <c r="PYZ2" s="62"/>
      <c r="PZA2" s="62"/>
      <c r="PZB2" s="62"/>
      <c r="PZC2" s="62"/>
      <c r="PZD2" s="62"/>
      <c r="PZE2" s="62"/>
      <c r="PZF2" s="62"/>
      <c r="PZG2" s="62"/>
      <c r="PZH2" s="62"/>
      <c r="PZI2" s="62"/>
      <c r="PZJ2" s="62"/>
      <c r="PZK2" s="62"/>
      <c r="PZL2" s="62"/>
      <c r="PZM2" s="62"/>
      <c r="PZN2" s="62"/>
      <c r="PZO2" s="62"/>
      <c r="PZP2" s="62"/>
      <c r="PZQ2" s="62"/>
      <c r="PZR2" s="62"/>
      <c r="PZS2" s="62"/>
      <c r="PZT2" s="62"/>
      <c r="PZU2" s="62"/>
      <c r="PZV2" s="62"/>
      <c r="PZW2" s="62"/>
      <c r="PZX2" s="62"/>
      <c r="PZY2" s="62"/>
      <c r="PZZ2" s="62"/>
      <c r="QAA2" s="62"/>
      <c r="QAB2" s="62"/>
      <c r="QAC2" s="62"/>
      <c r="QAD2" s="62"/>
      <c r="QAE2" s="62"/>
      <c r="QAF2" s="62"/>
      <c r="QAG2" s="62"/>
      <c r="QAH2" s="62"/>
      <c r="QAI2" s="62"/>
      <c r="QAJ2" s="62"/>
      <c r="QAK2" s="62"/>
      <c r="QAL2" s="62"/>
      <c r="QAM2" s="62"/>
      <c r="QAN2" s="62"/>
      <c r="QAO2" s="62"/>
      <c r="QAP2" s="62"/>
      <c r="QAQ2" s="62"/>
      <c r="QAR2" s="62"/>
      <c r="QAS2" s="62"/>
      <c r="QAT2" s="62"/>
      <c r="QAU2" s="62"/>
      <c r="QAV2" s="62"/>
      <c r="QAW2" s="62"/>
      <c r="QAX2" s="62"/>
      <c r="QAY2" s="62"/>
      <c r="QAZ2" s="62"/>
      <c r="QBA2" s="62"/>
      <c r="QBB2" s="62"/>
      <c r="QBC2" s="62"/>
      <c r="QBD2" s="62"/>
      <c r="QBE2" s="62"/>
      <c r="QBF2" s="62"/>
      <c r="QBG2" s="62"/>
      <c r="QBH2" s="62"/>
      <c r="QBI2" s="62"/>
      <c r="QBJ2" s="62"/>
      <c r="QBK2" s="62"/>
      <c r="QBL2" s="62"/>
      <c r="QBM2" s="62"/>
      <c r="QBN2" s="62"/>
      <c r="QBO2" s="62"/>
      <c r="QBP2" s="62"/>
      <c r="QBQ2" s="62"/>
      <c r="QBR2" s="62"/>
      <c r="QBS2" s="62"/>
      <c r="QBT2" s="62"/>
      <c r="QBU2" s="62"/>
      <c r="QBV2" s="62"/>
      <c r="QBW2" s="62"/>
      <c r="QBX2" s="62"/>
      <c r="QBY2" s="62"/>
      <c r="QBZ2" s="62"/>
      <c r="QCA2" s="62"/>
      <c r="QCB2" s="62"/>
      <c r="QCC2" s="62"/>
      <c r="QCD2" s="62"/>
      <c r="QCE2" s="62"/>
      <c r="QCF2" s="62"/>
      <c r="QCG2" s="62"/>
      <c r="QCH2" s="62"/>
      <c r="QCI2" s="62"/>
      <c r="QCJ2" s="62"/>
      <c r="QCK2" s="62"/>
      <c r="QCL2" s="62"/>
      <c r="QCM2" s="62"/>
      <c r="QCN2" s="62"/>
      <c r="QCO2" s="62"/>
      <c r="QCP2" s="62"/>
      <c r="QCQ2" s="62"/>
      <c r="QCR2" s="62"/>
      <c r="QCS2" s="62"/>
      <c r="QCT2" s="62"/>
      <c r="QCU2" s="62"/>
      <c r="QCV2" s="62"/>
      <c r="QCW2" s="62"/>
      <c r="QCX2" s="62"/>
      <c r="QCY2" s="62"/>
      <c r="QCZ2" s="62"/>
      <c r="QDA2" s="62"/>
      <c r="QDB2" s="62"/>
      <c r="QDC2" s="62"/>
      <c r="QDD2" s="62"/>
      <c r="QDE2" s="62"/>
      <c r="QDF2" s="62"/>
      <c r="QDG2" s="62"/>
      <c r="QDH2" s="62"/>
      <c r="QDI2" s="62"/>
      <c r="QDJ2" s="62"/>
      <c r="QDK2" s="62"/>
      <c r="QDL2" s="62"/>
      <c r="QDM2" s="62"/>
      <c r="QDN2" s="62"/>
      <c r="QDO2" s="62"/>
      <c r="QDP2" s="62"/>
      <c r="QDQ2" s="62"/>
      <c r="QDR2" s="62"/>
      <c r="QDS2" s="62"/>
      <c r="QDT2" s="62"/>
      <c r="QDU2" s="62"/>
      <c r="QDV2" s="62"/>
      <c r="QDW2" s="62"/>
      <c r="QDX2" s="62"/>
      <c r="QDY2" s="62"/>
      <c r="QDZ2" s="62"/>
      <c r="QEA2" s="62"/>
      <c r="QEB2" s="62"/>
      <c r="QEC2" s="62"/>
      <c r="QED2" s="62"/>
      <c r="QEE2" s="62"/>
      <c r="QEF2" s="62"/>
      <c r="QEG2" s="62"/>
      <c r="QEH2" s="62"/>
      <c r="QEI2" s="62"/>
      <c r="QEJ2" s="62"/>
      <c r="QEK2" s="62"/>
      <c r="QEL2" s="62"/>
      <c r="QEM2" s="62"/>
      <c r="QEN2" s="62"/>
      <c r="QEO2" s="62"/>
      <c r="QEP2" s="62"/>
      <c r="QEQ2" s="62"/>
      <c r="QER2" s="62"/>
      <c r="QES2" s="62"/>
      <c r="QET2" s="62"/>
      <c r="QEU2" s="62"/>
      <c r="QEV2" s="62"/>
      <c r="QEW2" s="62"/>
      <c r="QEX2" s="62"/>
      <c r="QEY2" s="62"/>
      <c r="QEZ2" s="62"/>
      <c r="QFA2" s="62"/>
      <c r="QFB2" s="62"/>
      <c r="QFC2" s="62"/>
      <c r="QFD2" s="62"/>
      <c r="QFE2" s="62"/>
      <c r="QFF2" s="62"/>
      <c r="QFG2" s="62"/>
      <c r="QFH2" s="62"/>
      <c r="QFI2" s="62"/>
      <c r="QFJ2" s="62"/>
      <c r="QFK2" s="62"/>
      <c r="QFL2" s="62"/>
      <c r="QFM2" s="62"/>
      <c r="QFN2" s="62"/>
      <c r="QFO2" s="62"/>
      <c r="QFP2" s="62"/>
      <c r="QFQ2" s="62"/>
      <c r="QFR2" s="62"/>
      <c r="QFS2" s="62"/>
      <c r="QFT2" s="62"/>
      <c r="QFU2" s="62"/>
      <c r="QFV2" s="62"/>
      <c r="QFW2" s="62"/>
      <c r="QFX2" s="62"/>
      <c r="QFY2" s="62"/>
      <c r="QFZ2" s="62"/>
      <c r="QGA2" s="62"/>
      <c r="QGB2" s="62"/>
      <c r="QGC2" s="62"/>
      <c r="QGD2" s="62"/>
      <c r="QGE2" s="62"/>
      <c r="QGF2" s="62"/>
      <c r="QGG2" s="62"/>
      <c r="QGH2" s="62"/>
      <c r="QGI2" s="62"/>
      <c r="QGJ2" s="62"/>
      <c r="QGK2" s="62"/>
      <c r="QGL2" s="62"/>
      <c r="QGM2" s="62"/>
      <c r="QGN2" s="62"/>
      <c r="QGO2" s="62"/>
      <c r="QGP2" s="62"/>
      <c r="QGQ2" s="62"/>
      <c r="QGR2" s="62"/>
      <c r="QGS2" s="62"/>
      <c r="QGT2" s="62"/>
      <c r="QGU2" s="62"/>
      <c r="QGV2" s="62"/>
      <c r="QGW2" s="62"/>
      <c r="QGX2" s="62"/>
      <c r="QGY2" s="62"/>
      <c r="QGZ2" s="62"/>
      <c r="QHA2" s="62"/>
      <c r="QHB2" s="62"/>
      <c r="QHC2" s="62"/>
      <c r="QHD2" s="62"/>
      <c r="QHE2" s="62"/>
      <c r="QHF2" s="62"/>
      <c r="QHG2" s="62"/>
      <c r="QHH2" s="62"/>
      <c r="QHI2" s="62"/>
      <c r="QHJ2" s="62"/>
      <c r="QHK2" s="62"/>
      <c r="QHL2" s="62"/>
      <c r="QHM2" s="62"/>
      <c r="QHN2" s="62"/>
      <c r="QHO2" s="62"/>
      <c r="QHP2" s="62"/>
      <c r="QHQ2" s="62"/>
      <c r="QHR2" s="62"/>
      <c r="QHS2" s="62"/>
      <c r="QHT2" s="62"/>
      <c r="QHU2" s="62"/>
      <c r="QHV2" s="62"/>
      <c r="QHW2" s="62"/>
      <c r="QHX2" s="62"/>
      <c r="QHY2" s="62"/>
      <c r="QHZ2" s="62"/>
      <c r="QIA2" s="62"/>
      <c r="QIB2" s="62"/>
      <c r="QIC2" s="62"/>
      <c r="QID2" s="62"/>
      <c r="QIE2" s="62"/>
      <c r="QIF2" s="62"/>
      <c r="QIG2" s="62"/>
      <c r="QIH2" s="62"/>
      <c r="QII2" s="62"/>
      <c r="QIJ2" s="62"/>
      <c r="QIK2" s="62"/>
      <c r="QIL2" s="62"/>
      <c r="QIM2" s="62"/>
      <c r="QIN2" s="62"/>
      <c r="QIO2" s="62"/>
      <c r="QIP2" s="62"/>
      <c r="QIQ2" s="62"/>
      <c r="QIR2" s="62"/>
      <c r="QIS2" s="62"/>
      <c r="QIT2" s="62"/>
      <c r="QIU2" s="62"/>
      <c r="QIV2" s="62"/>
      <c r="QIW2" s="62"/>
      <c r="QIX2" s="62"/>
      <c r="QIY2" s="62"/>
      <c r="QIZ2" s="62"/>
      <c r="QJA2" s="62"/>
      <c r="QJB2" s="62"/>
      <c r="QJC2" s="62"/>
      <c r="QJD2" s="62"/>
      <c r="QJE2" s="62"/>
      <c r="QJF2" s="62"/>
      <c r="QJG2" s="62"/>
      <c r="QJH2" s="62"/>
      <c r="QJI2" s="62"/>
      <c r="QJJ2" s="62"/>
      <c r="QJK2" s="62"/>
      <c r="QJL2" s="62"/>
      <c r="QJM2" s="62"/>
      <c r="QJN2" s="62"/>
      <c r="QJO2" s="62"/>
      <c r="QJP2" s="62"/>
      <c r="QJQ2" s="62"/>
      <c r="QJR2" s="62"/>
      <c r="QJS2" s="62"/>
      <c r="QJT2" s="62"/>
      <c r="QJU2" s="62"/>
      <c r="QJV2" s="62"/>
      <c r="QJW2" s="62"/>
      <c r="QJX2" s="62"/>
      <c r="QJY2" s="62"/>
      <c r="QJZ2" s="62"/>
      <c r="QKA2" s="62"/>
      <c r="QKB2" s="62"/>
      <c r="QKC2" s="62"/>
      <c r="QKD2" s="62"/>
      <c r="QKE2" s="62"/>
      <c r="QKF2" s="62"/>
      <c r="QKG2" s="62"/>
      <c r="QKH2" s="62"/>
      <c r="QKI2" s="62"/>
      <c r="QKJ2" s="62"/>
      <c r="QKK2" s="62"/>
      <c r="QKL2" s="62"/>
      <c r="QKM2" s="62"/>
      <c r="QKN2" s="62"/>
      <c r="QKO2" s="62"/>
      <c r="QKP2" s="62"/>
      <c r="QKQ2" s="62"/>
      <c r="QKR2" s="62"/>
      <c r="QKS2" s="62"/>
      <c r="QKT2" s="62"/>
      <c r="QKU2" s="62"/>
      <c r="QKV2" s="62"/>
      <c r="QKW2" s="62"/>
      <c r="QKX2" s="62"/>
      <c r="QKY2" s="62"/>
      <c r="QKZ2" s="62"/>
      <c r="QLA2" s="62"/>
      <c r="QLB2" s="62"/>
      <c r="QLC2" s="62"/>
      <c r="QLD2" s="62"/>
      <c r="QLE2" s="62"/>
      <c r="QLF2" s="62"/>
      <c r="QLG2" s="62"/>
      <c r="QLH2" s="62"/>
      <c r="QLI2" s="62"/>
      <c r="QLJ2" s="62"/>
      <c r="QLK2" s="62"/>
      <c r="QLL2" s="62"/>
      <c r="QLM2" s="62"/>
      <c r="QLN2" s="62"/>
      <c r="QLO2" s="62"/>
      <c r="QLP2" s="62"/>
      <c r="QLQ2" s="62"/>
      <c r="QLR2" s="62"/>
      <c r="QLS2" s="62"/>
      <c r="QLT2" s="62"/>
      <c r="QLU2" s="62"/>
      <c r="QLV2" s="62"/>
      <c r="QLW2" s="62"/>
      <c r="QLX2" s="62"/>
      <c r="QLY2" s="62"/>
      <c r="QLZ2" s="62"/>
      <c r="QMA2" s="62"/>
      <c r="QMB2" s="62"/>
      <c r="QMC2" s="62"/>
      <c r="QMD2" s="62"/>
      <c r="QME2" s="62"/>
      <c r="QMF2" s="62"/>
      <c r="QMG2" s="62"/>
      <c r="QMH2" s="62"/>
      <c r="QMI2" s="62"/>
      <c r="QMJ2" s="62"/>
      <c r="QMK2" s="62"/>
      <c r="QML2" s="62"/>
      <c r="QMM2" s="62"/>
      <c r="QMN2" s="62"/>
      <c r="QMO2" s="62"/>
      <c r="QMP2" s="62"/>
      <c r="QMQ2" s="62"/>
      <c r="QMR2" s="62"/>
      <c r="QMS2" s="62"/>
      <c r="QMT2" s="62"/>
      <c r="QMU2" s="62"/>
      <c r="QMV2" s="62"/>
      <c r="QMW2" s="62"/>
      <c r="QMX2" s="62"/>
      <c r="QMY2" s="62"/>
      <c r="QMZ2" s="62"/>
      <c r="QNA2" s="62"/>
      <c r="QNB2" s="62"/>
      <c r="QNC2" s="62"/>
      <c r="QND2" s="62"/>
      <c r="QNE2" s="62"/>
      <c r="QNF2" s="62"/>
      <c r="QNG2" s="62"/>
      <c r="QNH2" s="62"/>
      <c r="QNI2" s="62"/>
      <c r="QNJ2" s="62"/>
      <c r="QNK2" s="62"/>
      <c r="QNL2" s="62"/>
      <c r="QNM2" s="62"/>
      <c r="QNN2" s="62"/>
      <c r="QNO2" s="62"/>
      <c r="QNP2" s="62"/>
      <c r="QNQ2" s="62"/>
      <c r="QNR2" s="62"/>
      <c r="QNS2" s="62"/>
      <c r="QNT2" s="62"/>
      <c r="QNU2" s="62"/>
      <c r="QNV2" s="62"/>
      <c r="QNW2" s="62"/>
      <c r="QNX2" s="62"/>
      <c r="QNY2" s="62"/>
      <c r="QNZ2" s="62"/>
      <c r="QOA2" s="62"/>
      <c r="QOB2" s="62"/>
      <c r="QOC2" s="62"/>
      <c r="QOD2" s="62"/>
      <c r="QOE2" s="62"/>
      <c r="QOF2" s="62"/>
      <c r="QOG2" s="62"/>
      <c r="QOH2" s="62"/>
      <c r="QOI2" s="62"/>
      <c r="QOJ2" s="62"/>
      <c r="QOK2" s="62"/>
      <c r="QOL2" s="62"/>
      <c r="QOM2" s="62"/>
      <c r="QON2" s="62"/>
      <c r="QOO2" s="62"/>
      <c r="QOP2" s="62"/>
      <c r="QOQ2" s="62"/>
      <c r="QOR2" s="62"/>
      <c r="QOS2" s="62"/>
      <c r="QOT2" s="62"/>
      <c r="QOU2" s="62"/>
      <c r="QOV2" s="62"/>
      <c r="QOW2" s="62"/>
      <c r="QOX2" s="62"/>
      <c r="QOY2" s="62"/>
      <c r="QOZ2" s="62"/>
      <c r="QPA2" s="62"/>
      <c r="QPB2" s="62"/>
      <c r="QPC2" s="62"/>
      <c r="QPD2" s="62"/>
      <c r="QPE2" s="62"/>
      <c r="QPF2" s="62"/>
      <c r="QPG2" s="62"/>
      <c r="QPH2" s="62"/>
      <c r="QPI2" s="62"/>
      <c r="QPJ2" s="62"/>
      <c r="QPK2" s="62"/>
      <c r="QPL2" s="62"/>
      <c r="QPM2" s="62"/>
      <c r="QPN2" s="62"/>
      <c r="QPO2" s="62"/>
      <c r="QPP2" s="62"/>
      <c r="QPQ2" s="62"/>
      <c r="QPR2" s="62"/>
      <c r="QPS2" s="62"/>
      <c r="QPT2" s="62"/>
      <c r="QPU2" s="62"/>
      <c r="QPV2" s="62"/>
      <c r="QPW2" s="62"/>
      <c r="QPX2" s="62"/>
      <c r="QPY2" s="62"/>
      <c r="QPZ2" s="62"/>
      <c r="QQA2" s="62"/>
      <c r="QQB2" s="62"/>
      <c r="QQC2" s="62"/>
      <c r="QQD2" s="62"/>
      <c r="QQE2" s="62"/>
      <c r="QQF2" s="62"/>
      <c r="QQG2" s="62"/>
      <c r="QQH2" s="62"/>
      <c r="QQI2" s="62"/>
      <c r="QQJ2" s="62"/>
      <c r="QQK2" s="62"/>
      <c r="QQL2" s="62"/>
      <c r="QQM2" s="62"/>
      <c r="QQN2" s="62"/>
      <c r="QQO2" s="62"/>
      <c r="QQP2" s="62"/>
      <c r="QQQ2" s="62"/>
      <c r="QQR2" s="62"/>
      <c r="QQS2" s="62"/>
      <c r="QQT2" s="62"/>
      <c r="QQU2" s="62"/>
      <c r="QQV2" s="62"/>
      <c r="QQW2" s="62"/>
      <c r="QQX2" s="62"/>
      <c r="QQY2" s="62"/>
      <c r="QQZ2" s="62"/>
      <c r="QRA2" s="62"/>
      <c r="QRB2" s="62"/>
      <c r="QRC2" s="62"/>
      <c r="QRD2" s="62"/>
      <c r="QRE2" s="62"/>
      <c r="QRF2" s="62"/>
      <c r="QRG2" s="62"/>
      <c r="QRH2" s="62"/>
      <c r="QRI2" s="62"/>
      <c r="QRJ2" s="62"/>
      <c r="QRK2" s="62"/>
      <c r="QRL2" s="62"/>
      <c r="QRM2" s="62"/>
      <c r="QRN2" s="62"/>
      <c r="QRO2" s="62"/>
      <c r="QRP2" s="62"/>
      <c r="QRQ2" s="62"/>
      <c r="QRR2" s="62"/>
      <c r="QRS2" s="62"/>
      <c r="QRT2" s="62"/>
      <c r="QRU2" s="62"/>
      <c r="QRV2" s="62"/>
      <c r="QRW2" s="62"/>
      <c r="QRX2" s="62"/>
      <c r="QRY2" s="62"/>
      <c r="QRZ2" s="62"/>
      <c r="QSA2" s="62"/>
      <c r="QSB2" s="62"/>
      <c r="QSC2" s="62"/>
      <c r="QSD2" s="62"/>
      <c r="QSE2" s="62"/>
      <c r="QSF2" s="62"/>
      <c r="QSG2" s="62"/>
      <c r="QSH2" s="62"/>
      <c r="QSI2" s="62"/>
      <c r="QSJ2" s="62"/>
      <c r="QSK2" s="62"/>
      <c r="QSL2" s="62"/>
      <c r="QSM2" s="62"/>
      <c r="QSN2" s="62"/>
      <c r="QSO2" s="62"/>
      <c r="QSP2" s="62"/>
      <c r="QSQ2" s="62"/>
      <c r="QSR2" s="62"/>
      <c r="QSS2" s="62"/>
      <c r="QST2" s="62"/>
      <c r="QSU2" s="62"/>
      <c r="QSV2" s="62"/>
      <c r="QSW2" s="62"/>
      <c r="QSX2" s="62"/>
      <c r="QSY2" s="62"/>
      <c r="QSZ2" s="62"/>
      <c r="QTA2" s="62"/>
      <c r="QTB2" s="62"/>
      <c r="QTC2" s="62"/>
      <c r="QTD2" s="62"/>
      <c r="QTE2" s="62"/>
      <c r="QTF2" s="62"/>
      <c r="QTG2" s="62"/>
      <c r="QTH2" s="62"/>
      <c r="QTI2" s="62"/>
      <c r="QTJ2" s="62"/>
      <c r="QTK2" s="62"/>
      <c r="QTL2" s="62"/>
      <c r="QTM2" s="62"/>
      <c r="QTN2" s="62"/>
      <c r="QTO2" s="62"/>
      <c r="QTP2" s="62"/>
      <c r="QTQ2" s="62"/>
      <c r="QTR2" s="62"/>
      <c r="QTS2" s="62"/>
      <c r="QTT2" s="62"/>
      <c r="QTU2" s="62"/>
      <c r="QTV2" s="62"/>
      <c r="QTW2" s="62"/>
      <c r="QTX2" s="62"/>
      <c r="QTY2" s="62"/>
      <c r="QTZ2" s="62"/>
      <c r="QUA2" s="62"/>
      <c r="QUB2" s="62"/>
      <c r="QUC2" s="62"/>
      <c r="QUD2" s="62"/>
      <c r="QUE2" s="62"/>
      <c r="QUF2" s="62"/>
      <c r="QUG2" s="62"/>
      <c r="QUH2" s="62"/>
      <c r="QUI2" s="62"/>
      <c r="QUJ2" s="62"/>
      <c r="QUK2" s="62"/>
      <c r="QUL2" s="62"/>
      <c r="QUM2" s="62"/>
      <c r="QUN2" s="62"/>
      <c r="QUO2" s="62"/>
      <c r="QUP2" s="62"/>
      <c r="QUQ2" s="62"/>
      <c r="QUR2" s="62"/>
      <c r="QUS2" s="62"/>
      <c r="QUT2" s="62"/>
      <c r="QUU2" s="62"/>
      <c r="QUV2" s="62"/>
      <c r="QUW2" s="62"/>
      <c r="QUX2" s="62"/>
      <c r="QUY2" s="62"/>
      <c r="QUZ2" s="62"/>
      <c r="QVA2" s="62"/>
      <c r="QVB2" s="62"/>
      <c r="QVC2" s="62"/>
      <c r="QVD2" s="62"/>
      <c r="QVE2" s="62"/>
      <c r="QVF2" s="62"/>
      <c r="QVG2" s="62"/>
      <c r="QVH2" s="62"/>
      <c r="QVI2" s="62"/>
      <c r="QVJ2" s="62"/>
      <c r="QVK2" s="62"/>
      <c r="QVL2" s="62"/>
      <c r="QVM2" s="62"/>
      <c r="QVN2" s="62"/>
      <c r="QVO2" s="62"/>
      <c r="QVP2" s="62"/>
      <c r="QVQ2" s="62"/>
      <c r="QVR2" s="62"/>
      <c r="QVS2" s="62"/>
      <c r="QVT2" s="62"/>
      <c r="QVU2" s="62"/>
      <c r="QVV2" s="62"/>
      <c r="QVW2" s="62"/>
      <c r="QVX2" s="62"/>
      <c r="QVY2" s="62"/>
      <c r="QVZ2" s="62"/>
      <c r="QWA2" s="62"/>
      <c r="QWB2" s="62"/>
      <c r="QWC2" s="62"/>
      <c r="QWD2" s="62"/>
      <c r="QWE2" s="62"/>
      <c r="QWF2" s="62"/>
      <c r="QWG2" s="62"/>
      <c r="QWH2" s="62"/>
      <c r="QWI2" s="62"/>
      <c r="QWJ2" s="62"/>
      <c r="QWK2" s="62"/>
      <c r="QWL2" s="62"/>
      <c r="QWM2" s="62"/>
      <c r="QWN2" s="62"/>
      <c r="QWO2" s="62"/>
      <c r="QWP2" s="62"/>
      <c r="QWQ2" s="62"/>
      <c r="QWR2" s="62"/>
      <c r="QWS2" s="62"/>
      <c r="QWT2" s="62"/>
      <c r="QWU2" s="62"/>
      <c r="QWV2" s="62"/>
      <c r="QWW2" s="62"/>
      <c r="QWX2" s="62"/>
      <c r="QWY2" s="62"/>
      <c r="QWZ2" s="62"/>
      <c r="QXA2" s="62"/>
      <c r="QXB2" s="62"/>
      <c r="QXC2" s="62"/>
      <c r="QXD2" s="62"/>
      <c r="QXE2" s="62"/>
      <c r="QXF2" s="62"/>
      <c r="QXG2" s="62"/>
      <c r="QXH2" s="62"/>
      <c r="QXI2" s="62"/>
      <c r="QXJ2" s="62"/>
      <c r="QXK2" s="62"/>
      <c r="QXL2" s="62"/>
      <c r="QXM2" s="62"/>
      <c r="QXN2" s="62"/>
      <c r="QXO2" s="62"/>
      <c r="QXP2" s="62"/>
      <c r="QXQ2" s="62"/>
      <c r="QXR2" s="62"/>
      <c r="QXS2" s="62"/>
      <c r="QXT2" s="62"/>
      <c r="QXU2" s="62"/>
      <c r="QXV2" s="62"/>
      <c r="QXW2" s="62"/>
      <c r="QXX2" s="62"/>
      <c r="QXY2" s="62"/>
      <c r="QXZ2" s="62"/>
      <c r="QYA2" s="62"/>
      <c r="QYB2" s="62"/>
      <c r="QYC2" s="62"/>
      <c r="QYD2" s="62"/>
      <c r="QYE2" s="62"/>
      <c r="QYF2" s="62"/>
      <c r="QYG2" s="62"/>
      <c r="QYH2" s="62"/>
      <c r="QYI2" s="62"/>
      <c r="QYJ2" s="62"/>
      <c r="QYK2" s="62"/>
      <c r="QYL2" s="62"/>
      <c r="QYM2" s="62"/>
      <c r="QYN2" s="62"/>
      <c r="QYO2" s="62"/>
      <c r="QYP2" s="62"/>
      <c r="QYQ2" s="62"/>
      <c r="QYR2" s="62"/>
      <c r="QYS2" s="62"/>
      <c r="QYT2" s="62"/>
      <c r="QYU2" s="62"/>
      <c r="QYV2" s="62"/>
      <c r="QYW2" s="62"/>
      <c r="QYX2" s="62"/>
      <c r="QYY2" s="62"/>
      <c r="QYZ2" s="62"/>
      <c r="QZA2" s="62"/>
      <c r="QZB2" s="62"/>
      <c r="QZC2" s="62"/>
      <c r="QZD2" s="62"/>
      <c r="QZE2" s="62"/>
      <c r="QZF2" s="62"/>
      <c r="QZG2" s="62"/>
      <c r="QZH2" s="62"/>
      <c r="QZI2" s="62"/>
      <c r="QZJ2" s="62"/>
      <c r="QZK2" s="62"/>
      <c r="QZL2" s="62"/>
      <c r="QZM2" s="62"/>
      <c r="QZN2" s="62"/>
      <c r="QZO2" s="62"/>
      <c r="QZP2" s="62"/>
      <c r="QZQ2" s="62"/>
      <c r="QZR2" s="62"/>
      <c r="QZS2" s="62"/>
      <c r="QZT2" s="62"/>
      <c r="QZU2" s="62"/>
      <c r="QZV2" s="62"/>
      <c r="QZW2" s="62"/>
      <c r="QZX2" s="62"/>
      <c r="QZY2" s="62"/>
      <c r="QZZ2" s="62"/>
      <c r="RAA2" s="62"/>
      <c r="RAB2" s="62"/>
      <c r="RAC2" s="62"/>
      <c r="RAD2" s="62"/>
      <c r="RAE2" s="62"/>
      <c r="RAF2" s="62"/>
      <c r="RAG2" s="62"/>
      <c r="RAH2" s="62"/>
      <c r="RAI2" s="62"/>
      <c r="RAJ2" s="62"/>
      <c r="RAK2" s="62"/>
      <c r="RAL2" s="62"/>
      <c r="RAM2" s="62"/>
      <c r="RAN2" s="62"/>
      <c r="RAO2" s="62"/>
      <c r="RAP2" s="62"/>
      <c r="RAQ2" s="62"/>
      <c r="RAR2" s="62"/>
      <c r="RAS2" s="62"/>
      <c r="RAT2" s="62"/>
      <c r="RAU2" s="62"/>
      <c r="RAV2" s="62"/>
      <c r="RAW2" s="62"/>
      <c r="RAX2" s="62"/>
      <c r="RAY2" s="62"/>
      <c r="RAZ2" s="62"/>
      <c r="RBA2" s="62"/>
      <c r="RBB2" s="62"/>
      <c r="RBC2" s="62"/>
      <c r="RBD2" s="62"/>
      <c r="RBE2" s="62"/>
      <c r="RBF2" s="62"/>
      <c r="RBG2" s="62"/>
      <c r="RBH2" s="62"/>
      <c r="RBI2" s="62"/>
      <c r="RBJ2" s="62"/>
      <c r="RBK2" s="62"/>
      <c r="RBL2" s="62"/>
      <c r="RBM2" s="62"/>
      <c r="RBN2" s="62"/>
      <c r="RBO2" s="62"/>
      <c r="RBP2" s="62"/>
      <c r="RBQ2" s="62"/>
      <c r="RBR2" s="62"/>
      <c r="RBS2" s="62"/>
      <c r="RBT2" s="62"/>
      <c r="RBU2" s="62"/>
      <c r="RBV2" s="62"/>
      <c r="RBW2" s="62"/>
      <c r="RBX2" s="62"/>
      <c r="RBY2" s="62"/>
      <c r="RBZ2" s="62"/>
      <c r="RCA2" s="62"/>
      <c r="RCB2" s="62"/>
      <c r="RCC2" s="62"/>
      <c r="RCD2" s="62"/>
      <c r="RCE2" s="62"/>
      <c r="RCF2" s="62"/>
      <c r="RCG2" s="62"/>
      <c r="RCH2" s="62"/>
      <c r="RCI2" s="62"/>
      <c r="RCJ2" s="62"/>
      <c r="RCK2" s="62"/>
      <c r="RCL2" s="62"/>
      <c r="RCM2" s="62"/>
      <c r="RCN2" s="62"/>
      <c r="RCO2" s="62"/>
      <c r="RCP2" s="62"/>
      <c r="RCQ2" s="62"/>
      <c r="RCR2" s="62"/>
      <c r="RCS2" s="62"/>
      <c r="RCT2" s="62"/>
      <c r="RCU2" s="62"/>
      <c r="RCV2" s="62"/>
      <c r="RCW2" s="62"/>
      <c r="RCX2" s="62"/>
      <c r="RCY2" s="62"/>
      <c r="RCZ2" s="62"/>
      <c r="RDA2" s="62"/>
      <c r="RDB2" s="62"/>
      <c r="RDC2" s="62"/>
      <c r="RDD2" s="62"/>
      <c r="RDE2" s="62"/>
      <c r="RDF2" s="62"/>
      <c r="RDG2" s="62"/>
      <c r="RDH2" s="62"/>
      <c r="RDI2" s="62"/>
      <c r="RDJ2" s="62"/>
      <c r="RDK2" s="62"/>
      <c r="RDL2" s="62"/>
      <c r="RDM2" s="62"/>
      <c r="RDN2" s="62"/>
      <c r="RDO2" s="62"/>
      <c r="RDP2" s="62"/>
      <c r="RDQ2" s="62"/>
      <c r="RDR2" s="62"/>
      <c r="RDS2" s="62"/>
      <c r="RDT2" s="62"/>
      <c r="RDU2" s="62"/>
      <c r="RDV2" s="62"/>
      <c r="RDW2" s="62"/>
      <c r="RDX2" s="62"/>
      <c r="RDY2" s="62"/>
      <c r="RDZ2" s="62"/>
      <c r="REA2" s="62"/>
      <c r="REB2" s="62"/>
      <c r="REC2" s="62"/>
      <c r="RED2" s="62"/>
      <c r="REE2" s="62"/>
      <c r="REF2" s="62"/>
      <c r="REG2" s="62"/>
      <c r="REH2" s="62"/>
      <c r="REI2" s="62"/>
      <c r="REJ2" s="62"/>
      <c r="REK2" s="62"/>
      <c r="REL2" s="62"/>
      <c r="REM2" s="62"/>
      <c r="REN2" s="62"/>
      <c r="REO2" s="62"/>
      <c r="REP2" s="62"/>
      <c r="REQ2" s="62"/>
      <c r="RER2" s="62"/>
      <c r="RES2" s="62"/>
      <c r="RET2" s="62"/>
      <c r="REU2" s="62"/>
      <c r="REV2" s="62"/>
      <c r="REW2" s="62"/>
      <c r="REX2" s="62"/>
      <c r="REY2" s="62"/>
      <c r="REZ2" s="62"/>
      <c r="RFA2" s="62"/>
      <c r="RFB2" s="62"/>
      <c r="RFC2" s="62"/>
      <c r="RFD2" s="62"/>
      <c r="RFE2" s="62"/>
      <c r="RFF2" s="62"/>
      <c r="RFG2" s="62"/>
      <c r="RFH2" s="62"/>
      <c r="RFI2" s="62"/>
      <c r="RFJ2" s="62"/>
      <c r="RFK2" s="62"/>
      <c r="RFL2" s="62"/>
      <c r="RFM2" s="62"/>
      <c r="RFN2" s="62"/>
      <c r="RFO2" s="62"/>
      <c r="RFP2" s="62"/>
      <c r="RFQ2" s="62"/>
      <c r="RFR2" s="62"/>
      <c r="RFS2" s="62"/>
      <c r="RFT2" s="62"/>
      <c r="RFU2" s="62"/>
      <c r="RFV2" s="62"/>
      <c r="RFW2" s="62"/>
      <c r="RFX2" s="62"/>
      <c r="RFY2" s="62"/>
      <c r="RFZ2" s="62"/>
      <c r="RGA2" s="62"/>
      <c r="RGB2" s="62"/>
      <c r="RGC2" s="62"/>
      <c r="RGD2" s="62"/>
      <c r="RGE2" s="62"/>
      <c r="RGF2" s="62"/>
      <c r="RGG2" s="62"/>
      <c r="RGH2" s="62"/>
      <c r="RGI2" s="62"/>
      <c r="RGJ2" s="62"/>
      <c r="RGK2" s="62"/>
      <c r="RGL2" s="62"/>
      <c r="RGM2" s="62"/>
      <c r="RGN2" s="62"/>
      <c r="RGO2" s="62"/>
      <c r="RGP2" s="62"/>
      <c r="RGQ2" s="62"/>
      <c r="RGR2" s="62"/>
      <c r="RGS2" s="62"/>
      <c r="RGT2" s="62"/>
      <c r="RGU2" s="62"/>
      <c r="RGV2" s="62"/>
      <c r="RGW2" s="62"/>
      <c r="RGX2" s="62"/>
      <c r="RGY2" s="62"/>
      <c r="RGZ2" s="62"/>
      <c r="RHA2" s="62"/>
      <c r="RHB2" s="62"/>
      <c r="RHC2" s="62"/>
      <c r="RHD2" s="62"/>
      <c r="RHE2" s="62"/>
      <c r="RHF2" s="62"/>
      <c r="RHG2" s="62"/>
      <c r="RHH2" s="62"/>
      <c r="RHI2" s="62"/>
      <c r="RHJ2" s="62"/>
      <c r="RHK2" s="62"/>
      <c r="RHL2" s="62"/>
      <c r="RHM2" s="62"/>
      <c r="RHN2" s="62"/>
      <c r="RHO2" s="62"/>
      <c r="RHP2" s="62"/>
      <c r="RHQ2" s="62"/>
      <c r="RHR2" s="62"/>
      <c r="RHS2" s="62"/>
      <c r="RHT2" s="62"/>
      <c r="RHU2" s="62"/>
      <c r="RHV2" s="62"/>
      <c r="RHW2" s="62"/>
      <c r="RHX2" s="62"/>
      <c r="RHY2" s="62"/>
      <c r="RHZ2" s="62"/>
      <c r="RIA2" s="62"/>
      <c r="RIB2" s="62"/>
      <c r="RIC2" s="62"/>
      <c r="RID2" s="62"/>
      <c r="RIE2" s="62"/>
      <c r="RIF2" s="62"/>
      <c r="RIG2" s="62"/>
      <c r="RIH2" s="62"/>
      <c r="RII2" s="62"/>
      <c r="RIJ2" s="62"/>
      <c r="RIK2" s="62"/>
      <c r="RIL2" s="62"/>
      <c r="RIM2" s="62"/>
      <c r="RIN2" s="62"/>
      <c r="RIO2" s="62"/>
      <c r="RIP2" s="62"/>
      <c r="RIQ2" s="62"/>
      <c r="RIR2" s="62"/>
      <c r="RIS2" s="62"/>
      <c r="RIT2" s="62"/>
      <c r="RIU2" s="62"/>
      <c r="RIV2" s="62"/>
      <c r="RIW2" s="62"/>
      <c r="RIX2" s="62"/>
      <c r="RIY2" s="62"/>
      <c r="RIZ2" s="62"/>
      <c r="RJA2" s="62"/>
      <c r="RJB2" s="62"/>
      <c r="RJC2" s="62"/>
      <c r="RJD2" s="62"/>
      <c r="RJE2" s="62"/>
      <c r="RJF2" s="62"/>
      <c r="RJG2" s="62"/>
      <c r="RJH2" s="62"/>
      <c r="RJI2" s="62"/>
      <c r="RJJ2" s="62"/>
      <c r="RJK2" s="62"/>
      <c r="RJL2" s="62"/>
      <c r="RJM2" s="62"/>
      <c r="RJN2" s="62"/>
      <c r="RJO2" s="62"/>
      <c r="RJP2" s="62"/>
      <c r="RJQ2" s="62"/>
      <c r="RJR2" s="62"/>
      <c r="RJS2" s="62"/>
      <c r="RJT2" s="62"/>
      <c r="RJU2" s="62"/>
      <c r="RJV2" s="62"/>
      <c r="RJW2" s="62"/>
      <c r="RJX2" s="62"/>
      <c r="RJY2" s="62"/>
      <c r="RJZ2" s="62"/>
      <c r="RKA2" s="62"/>
      <c r="RKB2" s="62"/>
      <c r="RKC2" s="62"/>
      <c r="RKD2" s="62"/>
      <c r="RKE2" s="62"/>
      <c r="RKF2" s="62"/>
      <c r="RKG2" s="62"/>
      <c r="RKH2" s="62"/>
      <c r="RKI2" s="62"/>
      <c r="RKJ2" s="62"/>
      <c r="RKK2" s="62"/>
      <c r="RKL2" s="62"/>
      <c r="RKM2" s="62"/>
      <c r="RKN2" s="62"/>
      <c r="RKO2" s="62"/>
      <c r="RKP2" s="62"/>
      <c r="RKQ2" s="62"/>
      <c r="RKR2" s="62"/>
      <c r="RKS2" s="62"/>
      <c r="RKT2" s="62"/>
      <c r="RKU2" s="62"/>
      <c r="RKV2" s="62"/>
      <c r="RKW2" s="62"/>
      <c r="RKX2" s="62"/>
      <c r="RKY2" s="62"/>
      <c r="RKZ2" s="62"/>
      <c r="RLA2" s="62"/>
      <c r="RLB2" s="62"/>
      <c r="RLC2" s="62"/>
      <c r="RLD2" s="62"/>
      <c r="RLE2" s="62"/>
      <c r="RLF2" s="62"/>
      <c r="RLG2" s="62"/>
      <c r="RLH2" s="62"/>
      <c r="RLI2" s="62"/>
      <c r="RLJ2" s="62"/>
      <c r="RLK2" s="62"/>
      <c r="RLL2" s="62"/>
      <c r="RLM2" s="62"/>
      <c r="RLN2" s="62"/>
      <c r="RLO2" s="62"/>
      <c r="RLP2" s="62"/>
      <c r="RLQ2" s="62"/>
      <c r="RLR2" s="62"/>
      <c r="RLS2" s="62"/>
      <c r="RLT2" s="62"/>
      <c r="RLU2" s="62"/>
      <c r="RLV2" s="62"/>
      <c r="RLW2" s="62"/>
      <c r="RLX2" s="62"/>
      <c r="RLY2" s="62"/>
      <c r="RLZ2" s="62"/>
      <c r="RMA2" s="62"/>
      <c r="RMB2" s="62"/>
      <c r="RMC2" s="62"/>
      <c r="RMD2" s="62"/>
      <c r="RME2" s="62"/>
      <c r="RMF2" s="62"/>
      <c r="RMG2" s="62"/>
      <c r="RMH2" s="62"/>
      <c r="RMI2" s="62"/>
      <c r="RMJ2" s="62"/>
      <c r="RMK2" s="62"/>
      <c r="RML2" s="62"/>
      <c r="RMM2" s="62"/>
      <c r="RMN2" s="62"/>
      <c r="RMO2" s="62"/>
      <c r="RMP2" s="62"/>
      <c r="RMQ2" s="62"/>
      <c r="RMR2" s="62"/>
      <c r="RMS2" s="62"/>
      <c r="RMT2" s="62"/>
      <c r="RMU2" s="62"/>
      <c r="RMV2" s="62"/>
      <c r="RMW2" s="62"/>
      <c r="RMX2" s="62"/>
      <c r="RMY2" s="62"/>
      <c r="RMZ2" s="62"/>
      <c r="RNA2" s="62"/>
      <c r="RNB2" s="62"/>
      <c r="RNC2" s="62"/>
      <c r="RND2" s="62"/>
      <c r="RNE2" s="62"/>
      <c r="RNF2" s="62"/>
      <c r="RNG2" s="62"/>
      <c r="RNH2" s="62"/>
      <c r="RNI2" s="62"/>
      <c r="RNJ2" s="62"/>
      <c r="RNK2" s="62"/>
      <c r="RNL2" s="62"/>
      <c r="RNM2" s="62"/>
      <c r="RNN2" s="62"/>
      <c r="RNO2" s="62"/>
      <c r="RNP2" s="62"/>
      <c r="RNQ2" s="62"/>
      <c r="RNR2" s="62"/>
      <c r="RNS2" s="62"/>
      <c r="RNT2" s="62"/>
      <c r="RNU2" s="62"/>
      <c r="RNV2" s="62"/>
      <c r="RNW2" s="62"/>
      <c r="RNX2" s="62"/>
      <c r="RNY2" s="62"/>
      <c r="RNZ2" s="62"/>
      <c r="ROA2" s="62"/>
      <c r="ROB2" s="62"/>
      <c r="ROC2" s="62"/>
      <c r="ROD2" s="62"/>
      <c r="ROE2" s="62"/>
      <c r="ROF2" s="62"/>
      <c r="ROG2" s="62"/>
      <c r="ROH2" s="62"/>
      <c r="ROI2" s="62"/>
      <c r="ROJ2" s="62"/>
      <c r="ROK2" s="62"/>
      <c r="ROL2" s="62"/>
      <c r="ROM2" s="62"/>
      <c r="RON2" s="62"/>
      <c r="ROO2" s="62"/>
      <c r="ROP2" s="62"/>
      <c r="ROQ2" s="62"/>
      <c r="ROR2" s="62"/>
      <c r="ROS2" s="62"/>
      <c r="ROT2" s="62"/>
      <c r="ROU2" s="62"/>
      <c r="ROV2" s="62"/>
      <c r="ROW2" s="62"/>
      <c r="ROX2" s="62"/>
      <c r="ROY2" s="62"/>
      <c r="ROZ2" s="62"/>
      <c r="RPA2" s="62"/>
      <c r="RPB2" s="62"/>
      <c r="RPC2" s="62"/>
      <c r="RPD2" s="62"/>
      <c r="RPE2" s="62"/>
      <c r="RPF2" s="62"/>
      <c r="RPG2" s="62"/>
      <c r="RPH2" s="62"/>
      <c r="RPI2" s="62"/>
      <c r="RPJ2" s="62"/>
      <c r="RPK2" s="62"/>
      <c r="RPL2" s="62"/>
      <c r="RPM2" s="62"/>
      <c r="RPN2" s="62"/>
      <c r="RPO2" s="62"/>
      <c r="RPP2" s="62"/>
      <c r="RPQ2" s="62"/>
      <c r="RPR2" s="62"/>
      <c r="RPS2" s="62"/>
      <c r="RPT2" s="62"/>
      <c r="RPU2" s="62"/>
      <c r="RPV2" s="62"/>
      <c r="RPW2" s="62"/>
      <c r="RPX2" s="62"/>
      <c r="RPY2" s="62"/>
      <c r="RPZ2" s="62"/>
      <c r="RQA2" s="62"/>
      <c r="RQB2" s="62"/>
      <c r="RQC2" s="62"/>
      <c r="RQD2" s="62"/>
      <c r="RQE2" s="62"/>
      <c r="RQF2" s="62"/>
      <c r="RQG2" s="62"/>
      <c r="RQH2" s="62"/>
      <c r="RQI2" s="62"/>
      <c r="RQJ2" s="62"/>
      <c r="RQK2" s="62"/>
      <c r="RQL2" s="62"/>
      <c r="RQM2" s="62"/>
      <c r="RQN2" s="62"/>
      <c r="RQO2" s="62"/>
      <c r="RQP2" s="62"/>
      <c r="RQQ2" s="62"/>
      <c r="RQR2" s="62"/>
      <c r="RQS2" s="62"/>
      <c r="RQT2" s="62"/>
      <c r="RQU2" s="62"/>
      <c r="RQV2" s="62"/>
      <c r="RQW2" s="62"/>
      <c r="RQX2" s="62"/>
      <c r="RQY2" s="62"/>
      <c r="RQZ2" s="62"/>
      <c r="RRA2" s="62"/>
      <c r="RRB2" s="62"/>
      <c r="RRC2" s="62"/>
      <c r="RRD2" s="62"/>
      <c r="RRE2" s="62"/>
      <c r="RRF2" s="62"/>
      <c r="RRG2" s="62"/>
      <c r="RRH2" s="62"/>
      <c r="RRI2" s="62"/>
      <c r="RRJ2" s="62"/>
      <c r="RRK2" s="62"/>
      <c r="RRL2" s="62"/>
      <c r="RRM2" s="62"/>
      <c r="RRN2" s="62"/>
      <c r="RRO2" s="62"/>
      <c r="RRP2" s="62"/>
      <c r="RRQ2" s="62"/>
      <c r="RRR2" s="62"/>
      <c r="RRS2" s="62"/>
      <c r="RRT2" s="62"/>
      <c r="RRU2" s="62"/>
      <c r="RRV2" s="62"/>
      <c r="RRW2" s="62"/>
      <c r="RRX2" s="62"/>
      <c r="RRY2" s="62"/>
      <c r="RRZ2" s="62"/>
      <c r="RSA2" s="62"/>
      <c r="RSB2" s="62"/>
      <c r="RSC2" s="62"/>
      <c r="RSD2" s="62"/>
      <c r="RSE2" s="62"/>
      <c r="RSF2" s="62"/>
      <c r="RSG2" s="62"/>
      <c r="RSH2" s="62"/>
      <c r="RSI2" s="62"/>
      <c r="RSJ2" s="62"/>
      <c r="RSK2" s="62"/>
      <c r="RSL2" s="62"/>
      <c r="RSM2" s="62"/>
      <c r="RSN2" s="62"/>
      <c r="RSO2" s="62"/>
      <c r="RSP2" s="62"/>
      <c r="RSQ2" s="62"/>
      <c r="RSR2" s="62"/>
      <c r="RSS2" s="62"/>
      <c r="RST2" s="62"/>
      <c r="RSU2" s="62"/>
      <c r="RSV2" s="62"/>
      <c r="RSW2" s="62"/>
      <c r="RSX2" s="62"/>
      <c r="RSY2" s="62"/>
      <c r="RSZ2" s="62"/>
      <c r="RTA2" s="62"/>
      <c r="RTB2" s="62"/>
      <c r="RTC2" s="62"/>
      <c r="RTD2" s="62"/>
      <c r="RTE2" s="62"/>
      <c r="RTF2" s="62"/>
      <c r="RTG2" s="62"/>
      <c r="RTH2" s="62"/>
      <c r="RTI2" s="62"/>
      <c r="RTJ2" s="62"/>
      <c r="RTK2" s="62"/>
      <c r="RTL2" s="62"/>
      <c r="RTM2" s="62"/>
      <c r="RTN2" s="62"/>
      <c r="RTO2" s="62"/>
      <c r="RTP2" s="62"/>
      <c r="RTQ2" s="62"/>
      <c r="RTR2" s="62"/>
      <c r="RTS2" s="62"/>
      <c r="RTT2" s="62"/>
      <c r="RTU2" s="62"/>
      <c r="RTV2" s="62"/>
      <c r="RTW2" s="62"/>
      <c r="RTX2" s="62"/>
      <c r="RTY2" s="62"/>
      <c r="RTZ2" s="62"/>
      <c r="RUA2" s="62"/>
      <c r="RUB2" s="62"/>
      <c r="RUC2" s="62"/>
      <c r="RUD2" s="62"/>
      <c r="RUE2" s="62"/>
      <c r="RUF2" s="62"/>
      <c r="RUG2" s="62"/>
      <c r="RUH2" s="62"/>
      <c r="RUI2" s="62"/>
      <c r="RUJ2" s="62"/>
      <c r="RUK2" s="62"/>
      <c r="RUL2" s="62"/>
      <c r="RUM2" s="62"/>
      <c r="RUN2" s="62"/>
      <c r="RUO2" s="62"/>
      <c r="RUP2" s="62"/>
      <c r="RUQ2" s="62"/>
      <c r="RUR2" s="62"/>
      <c r="RUS2" s="62"/>
      <c r="RUT2" s="62"/>
      <c r="RUU2" s="62"/>
      <c r="RUV2" s="62"/>
      <c r="RUW2" s="62"/>
      <c r="RUX2" s="62"/>
      <c r="RUY2" s="62"/>
      <c r="RUZ2" s="62"/>
      <c r="RVA2" s="62"/>
      <c r="RVB2" s="62"/>
      <c r="RVC2" s="62"/>
      <c r="RVD2" s="62"/>
      <c r="RVE2" s="62"/>
      <c r="RVF2" s="62"/>
      <c r="RVG2" s="62"/>
      <c r="RVH2" s="62"/>
      <c r="RVI2" s="62"/>
      <c r="RVJ2" s="62"/>
      <c r="RVK2" s="62"/>
      <c r="RVL2" s="62"/>
      <c r="RVM2" s="62"/>
      <c r="RVN2" s="62"/>
      <c r="RVO2" s="62"/>
      <c r="RVP2" s="62"/>
      <c r="RVQ2" s="62"/>
      <c r="RVR2" s="62"/>
      <c r="RVS2" s="62"/>
      <c r="RVT2" s="62"/>
      <c r="RVU2" s="62"/>
      <c r="RVV2" s="62"/>
      <c r="RVW2" s="62"/>
      <c r="RVX2" s="62"/>
      <c r="RVY2" s="62"/>
      <c r="RVZ2" s="62"/>
      <c r="RWA2" s="62"/>
      <c r="RWB2" s="62"/>
      <c r="RWC2" s="62"/>
      <c r="RWD2" s="62"/>
      <c r="RWE2" s="62"/>
      <c r="RWF2" s="62"/>
      <c r="RWG2" s="62"/>
      <c r="RWH2" s="62"/>
      <c r="RWI2" s="62"/>
      <c r="RWJ2" s="62"/>
      <c r="RWK2" s="62"/>
      <c r="RWL2" s="62"/>
      <c r="RWM2" s="62"/>
      <c r="RWN2" s="62"/>
      <c r="RWO2" s="62"/>
      <c r="RWP2" s="62"/>
      <c r="RWQ2" s="62"/>
      <c r="RWR2" s="62"/>
      <c r="RWS2" s="62"/>
      <c r="RWT2" s="62"/>
      <c r="RWU2" s="62"/>
      <c r="RWV2" s="62"/>
      <c r="RWW2" s="62"/>
      <c r="RWX2" s="62"/>
      <c r="RWY2" s="62"/>
      <c r="RWZ2" s="62"/>
      <c r="RXA2" s="62"/>
      <c r="RXB2" s="62"/>
      <c r="RXC2" s="62"/>
      <c r="RXD2" s="62"/>
      <c r="RXE2" s="62"/>
      <c r="RXF2" s="62"/>
      <c r="RXG2" s="62"/>
      <c r="RXH2" s="62"/>
      <c r="RXI2" s="62"/>
      <c r="RXJ2" s="62"/>
      <c r="RXK2" s="62"/>
      <c r="RXL2" s="62"/>
      <c r="RXM2" s="62"/>
      <c r="RXN2" s="62"/>
      <c r="RXO2" s="62"/>
      <c r="RXP2" s="62"/>
      <c r="RXQ2" s="62"/>
      <c r="RXR2" s="62"/>
      <c r="RXS2" s="62"/>
      <c r="RXT2" s="62"/>
      <c r="RXU2" s="62"/>
      <c r="RXV2" s="62"/>
      <c r="RXW2" s="62"/>
      <c r="RXX2" s="62"/>
      <c r="RXY2" s="62"/>
      <c r="RXZ2" s="62"/>
      <c r="RYA2" s="62"/>
      <c r="RYB2" s="62"/>
      <c r="RYC2" s="62"/>
      <c r="RYD2" s="62"/>
      <c r="RYE2" s="62"/>
      <c r="RYF2" s="62"/>
      <c r="RYG2" s="62"/>
      <c r="RYH2" s="62"/>
      <c r="RYI2" s="62"/>
      <c r="RYJ2" s="62"/>
      <c r="RYK2" s="62"/>
      <c r="RYL2" s="62"/>
      <c r="RYM2" s="62"/>
      <c r="RYN2" s="62"/>
      <c r="RYO2" s="62"/>
      <c r="RYP2" s="62"/>
      <c r="RYQ2" s="62"/>
      <c r="RYR2" s="62"/>
      <c r="RYS2" s="62"/>
      <c r="RYT2" s="62"/>
      <c r="RYU2" s="62"/>
      <c r="RYV2" s="62"/>
      <c r="RYW2" s="62"/>
      <c r="RYX2" s="62"/>
      <c r="RYY2" s="62"/>
      <c r="RYZ2" s="62"/>
      <c r="RZA2" s="62"/>
      <c r="RZB2" s="62"/>
      <c r="RZC2" s="62"/>
      <c r="RZD2" s="62"/>
      <c r="RZE2" s="62"/>
      <c r="RZF2" s="62"/>
      <c r="RZG2" s="62"/>
      <c r="RZH2" s="62"/>
      <c r="RZI2" s="62"/>
      <c r="RZJ2" s="62"/>
      <c r="RZK2" s="62"/>
      <c r="RZL2" s="62"/>
      <c r="RZM2" s="62"/>
      <c r="RZN2" s="62"/>
      <c r="RZO2" s="62"/>
      <c r="RZP2" s="62"/>
      <c r="RZQ2" s="62"/>
      <c r="RZR2" s="62"/>
      <c r="RZS2" s="62"/>
      <c r="RZT2" s="62"/>
      <c r="RZU2" s="62"/>
      <c r="RZV2" s="62"/>
      <c r="RZW2" s="62"/>
      <c r="RZX2" s="62"/>
      <c r="RZY2" s="62"/>
      <c r="RZZ2" s="62"/>
      <c r="SAA2" s="62"/>
      <c r="SAB2" s="62"/>
      <c r="SAC2" s="62"/>
      <c r="SAD2" s="62"/>
      <c r="SAE2" s="62"/>
      <c r="SAF2" s="62"/>
      <c r="SAG2" s="62"/>
      <c r="SAH2" s="62"/>
      <c r="SAI2" s="62"/>
      <c r="SAJ2" s="62"/>
      <c r="SAK2" s="62"/>
      <c r="SAL2" s="62"/>
      <c r="SAM2" s="62"/>
      <c r="SAN2" s="62"/>
      <c r="SAO2" s="62"/>
      <c r="SAP2" s="62"/>
      <c r="SAQ2" s="62"/>
      <c r="SAR2" s="62"/>
      <c r="SAS2" s="62"/>
      <c r="SAT2" s="62"/>
      <c r="SAU2" s="62"/>
      <c r="SAV2" s="62"/>
      <c r="SAW2" s="62"/>
      <c r="SAX2" s="62"/>
      <c r="SAY2" s="62"/>
      <c r="SAZ2" s="62"/>
      <c r="SBA2" s="62"/>
      <c r="SBB2" s="62"/>
      <c r="SBC2" s="62"/>
      <c r="SBD2" s="62"/>
      <c r="SBE2" s="62"/>
      <c r="SBF2" s="62"/>
      <c r="SBG2" s="62"/>
      <c r="SBH2" s="62"/>
      <c r="SBI2" s="62"/>
      <c r="SBJ2" s="62"/>
      <c r="SBK2" s="62"/>
      <c r="SBL2" s="62"/>
      <c r="SBM2" s="62"/>
      <c r="SBN2" s="62"/>
      <c r="SBO2" s="62"/>
      <c r="SBP2" s="62"/>
      <c r="SBQ2" s="62"/>
      <c r="SBR2" s="62"/>
      <c r="SBS2" s="62"/>
      <c r="SBT2" s="62"/>
      <c r="SBU2" s="62"/>
      <c r="SBV2" s="62"/>
      <c r="SBW2" s="62"/>
      <c r="SBX2" s="62"/>
      <c r="SBY2" s="62"/>
      <c r="SBZ2" s="62"/>
      <c r="SCA2" s="62"/>
      <c r="SCB2" s="62"/>
      <c r="SCC2" s="62"/>
      <c r="SCD2" s="62"/>
      <c r="SCE2" s="62"/>
      <c r="SCF2" s="62"/>
      <c r="SCG2" s="62"/>
      <c r="SCH2" s="62"/>
      <c r="SCI2" s="62"/>
      <c r="SCJ2" s="62"/>
      <c r="SCK2" s="62"/>
      <c r="SCL2" s="62"/>
      <c r="SCM2" s="62"/>
      <c r="SCN2" s="62"/>
      <c r="SCO2" s="62"/>
      <c r="SCP2" s="62"/>
      <c r="SCQ2" s="62"/>
      <c r="SCR2" s="62"/>
      <c r="SCS2" s="62"/>
      <c r="SCT2" s="62"/>
      <c r="SCU2" s="62"/>
      <c r="SCV2" s="62"/>
      <c r="SCW2" s="62"/>
      <c r="SCX2" s="62"/>
      <c r="SCY2" s="62"/>
      <c r="SCZ2" s="62"/>
      <c r="SDA2" s="62"/>
      <c r="SDB2" s="62"/>
      <c r="SDC2" s="62"/>
      <c r="SDD2" s="62"/>
      <c r="SDE2" s="62"/>
      <c r="SDF2" s="62"/>
      <c r="SDG2" s="62"/>
      <c r="SDH2" s="62"/>
      <c r="SDI2" s="62"/>
      <c r="SDJ2" s="62"/>
      <c r="SDK2" s="62"/>
      <c r="SDL2" s="62"/>
      <c r="SDM2" s="62"/>
      <c r="SDN2" s="62"/>
      <c r="SDO2" s="62"/>
      <c r="SDP2" s="62"/>
      <c r="SDQ2" s="62"/>
      <c r="SDR2" s="62"/>
      <c r="SDS2" s="62"/>
      <c r="SDT2" s="62"/>
      <c r="SDU2" s="62"/>
      <c r="SDV2" s="62"/>
      <c r="SDW2" s="62"/>
      <c r="SDX2" s="62"/>
      <c r="SDY2" s="62"/>
      <c r="SDZ2" s="62"/>
      <c r="SEA2" s="62"/>
      <c r="SEB2" s="62"/>
      <c r="SEC2" s="62"/>
      <c r="SED2" s="62"/>
      <c r="SEE2" s="62"/>
      <c r="SEF2" s="62"/>
      <c r="SEG2" s="62"/>
      <c r="SEH2" s="62"/>
      <c r="SEI2" s="62"/>
      <c r="SEJ2" s="62"/>
      <c r="SEK2" s="62"/>
      <c r="SEL2" s="62"/>
      <c r="SEM2" s="62"/>
      <c r="SEN2" s="62"/>
      <c r="SEO2" s="62"/>
      <c r="SEP2" s="62"/>
      <c r="SEQ2" s="62"/>
      <c r="SER2" s="62"/>
      <c r="SES2" s="62"/>
      <c r="SET2" s="62"/>
      <c r="SEU2" s="62"/>
      <c r="SEV2" s="62"/>
      <c r="SEW2" s="62"/>
      <c r="SEX2" s="62"/>
      <c r="SEY2" s="62"/>
      <c r="SEZ2" s="62"/>
      <c r="SFA2" s="62"/>
      <c r="SFB2" s="62"/>
      <c r="SFC2" s="62"/>
      <c r="SFD2" s="62"/>
      <c r="SFE2" s="62"/>
      <c r="SFF2" s="62"/>
      <c r="SFG2" s="62"/>
      <c r="SFH2" s="62"/>
      <c r="SFI2" s="62"/>
      <c r="SFJ2" s="62"/>
      <c r="SFK2" s="62"/>
      <c r="SFL2" s="62"/>
      <c r="SFM2" s="62"/>
      <c r="SFN2" s="62"/>
      <c r="SFO2" s="62"/>
      <c r="SFP2" s="62"/>
      <c r="SFQ2" s="62"/>
      <c r="SFR2" s="62"/>
      <c r="SFS2" s="62"/>
      <c r="SFT2" s="62"/>
      <c r="SFU2" s="62"/>
      <c r="SFV2" s="62"/>
      <c r="SFW2" s="62"/>
      <c r="SFX2" s="62"/>
      <c r="SFY2" s="62"/>
      <c r="SFZ2" s="62"/>
      <c r="SGA2" s="62"/>
      <c r="SGB2" s="62"/>
      <c r="SGC2" s="62"/>
      <c r="SGD2" s="62"/>
      <c r="SGE2" s="62"/>
      <c r="SGF2" s="62"/>
      <c r="SGG2" s="62"/>
      <c r="SGH2" s="62"/>
      <c r="SGI2" s="62"/>
      <c r="SGJ2" s="62"/>
      <c r="SGK2" s="62"/>
      <c r="SGL2" s="62"/>
      <c r="SGM2" s="62"/>
      <c r="SGN2" s="62"/>
      <c r="SGO2" s="62"/>
      <c r="SGP2" s="62"/>
      <c r="SGQ2" s="62"/>
      <c r="SGR2" s="62"/>
      <c r="SGS2" s="62"/>
      <c r="SGT2" s="62"/>
      <c r="SGU2" s="62"/>
      <c r="SGV2" s="62"/>
      <c r="SGW2" s="62"/>
      <c r="SGX2" s="62"/>
      <c r="SGY2" s="62"/>
      <c r="SGZ2" s="62"/>
      <c r="SHA2" s="62"/>
      <c r="SHB2" s="62"/>
      <c r="SHC2" s="62"/>
      <c r="SHD2" s="62"/>
      <c r="SHE2" s="62"/>
      <c r="SHF2" s="62"/>
      <c r="SHG2" s="62"/>
      <c r="SHH2" s="62"/>
      <c r="SHI2" s="62"/>
      <c r="SHJ2" s="62"/>
      <c r="SHK2" s="62"/>
      <c r="SHL2" s="62"/>
      <c r="SHM2" s="62"/>
      <c r="SHN2" s="62"/>
      <c r="SHO2" s="62"/>
      <c r="SHP2" s="62"/>
      <c r="SHQ2" s="62"/>
      <c r="SHR2" s="62"/>
      <c r="SHS2" s="62"/>
      <c r="SHT2" s="62"/>
      <c r="SHU2" s="62"/>
      <c r="SHV2" s="62"/>
      <c r="SHW2" s="62"/>
      <c r="SHX2" s="62"/>
      <c r="SHY2" s="62"/>
      <c r="SHZ2" s="62"/>
      <c r="SIA2" s="62"/>
      <c r="SIB2" s="62"/>
      <c r="SIC2" s="62"/>
      <c r="SID2" s="62"/>
      <c r="SIE2" s="62"/>
      <c r="SIF2" s="62"/>
      <c r="SIG2" s="62"/>
      <c r="SIH2" s="62"/>
      <c r="SII2" s="62"/>
      <c r="SIJ2" s="62"/>
      <c r="SIK2" s="62"/>
      <c r="SIL2" s="62"/>
      <c r="SIM2" s="62"/>
      <c r="SIN2" s="62"/>
      <c r="SIO2" s="62"/>
      <c r="SIP2" s="62"/>
      <c r="SIQ2" s="62"/>
      <c r="SIR2" s="62"/>
      <c r="SIS2" s="62"/>
      <c r="SIT2" s="62"/>
      <c r="SIU2" s="62"/>
      <c r="SIV2" s="62"/>
      <c r="SIW2" s="62"/>
      <c r="SIX2" s="62"/>
      <c r="SIY2" s="62"/>
      <c r="SIZ2" s="62"/>
      <c r="SJA2" s="62"/>
      <c r="SJB2" s="62"/>
      <c r="SJC2" s="62"/>
      <c r="SJD2" s="62"/>
      <c r="SJE2" s="62"/>
      <c r="SJF2" s="62"/>
      <c r="SJG2" s="62"/>
      <c r="SJH2" s="62"/>
      <c r="SJI2" s="62"/>
      <c r="SJJ2" s="62"/>
      <c r="SJK2" s="62"/>
      <c r="SJL2" s="62"/>
      <c r="SJM2" s="62"/>
      <c r="SJN2" s="62"/>
      <c r="SJO2" s="62"/>
      <c r="SJP2" s="62"/>
      <c r="SJQ2" s="62"/>
      <c r="SJR2" s="62"/>
      <c r="SJS2" s="62"/>
      <c r="SJT2" s="62"/>
      <c r="SJU2" s="62"/>
      <c r="SJV2" s="62"/>
      <c r="SJW2" s="62"/>
      <c r="SJX2" s="62"/>
      <c r="SJY2" s="62"/>
      <c r="SJZ2" s="62"/>
      <c r="SKA2" s="62"/>
      <c r="SKB2" s="62"/>
      <c r="SKC2" s="62"/>
      <c r="SKD2" s="62"/>
      <c r="SKE2" s="62"/>
      <c r="SKF2" s="62"/>
      <c r="SKG2" s="62"/>
      <c r="SKH2" s="62"/>
      <c r="SKI2" s="62"/>
      <c r="SKJ2" s="62"/>
      <c r="SKK2" s="62"/>
      <c r="SKL2" s="62"/>
      <c r="SKM2" s="62"/>
      <c r="SKN2" s="62"/>
      <c r="SKO2" s="62"/>
      <c r="SKP2" s="62"/>
      <c r="SKQ2" s="62"/>
      <c r="SKR2" s="62"/>
      <c r="SKS2" s="62"/>
      <c r="SKT2" s="62"/>
      <c r="SKU2" s="62"/>
      <c r="SKV2" s="62"/>
      <c r="SKW2" s="62"/>
      <c r="SKX2" s="62"/>
      <c r="SKY2" s="62"/>
      <c r="SKZ2" s="62"/>
      <c r="SLA2" s="62"/>
      <c r="SLB2" s="62"/>
      <c r="SLC2" s="62"/>
      <c r="SLD2" s="62"/>
      <c r="SLE2" s="62"/>
      <c r="SLF2" s="62"/>
      <c r="SLG2" s="62"/>
      <c r="SLH2" s="62"/>
      <c r="SLI2" s="62"/>
      <c r="SLJ2" s="62"/>
      <c r="SLK2" s="62"/>
      <c r="SLL2" s="62"/>
      <c r="SLM2" s="62"/>
      <c r="SLN2" s="62"/>
      <c r="SLO2" s="62"/>
      <c r="SLP2" s="62"/>
      <c r="SLQ2" s="62"/>
      <c r="SLR2" s="62"/>
      <c r="SLS2" s="62"/>
      <c r="SLT2" s="62"/>
      <c r="SLU2" s="62"/>
      <c r="SLV2" s="62"/>
      <c r="SLW2" s="62"/>
      <c r="SLX2" s="62"/>
      <c r="SLY2" s="62"/>
      <c r="SLZ2" s="62"/>
      <c r="SMA2" s="62"/>
      <c r="SMB2" s="62"/>
      <c r="SMC2" s="62"/>
      <c r="SMD2" s="62"/>
      <c r="SME2" s="62"/>
      <c r="SMF2" s="62"/>
      <c r="SMG2" s="62"/>
      <c r="SMH2" s="62"/>
      <c r="SMI2" s="62"/>
      <c r="SMJ2" s="62"/>
      <c r="SMK2" s="62"/>
      <c r="SML2" s="62"/>
      <c r="SMM2" s="62"/>
      <c r="SMN2" s="62"/>
      <c r="SMO2" s="62"/>
      <c r="SMP2" s="62"/>
      <c r="SMQ2" s="62"/>
      <c r="SMR2" s="62"/>
      <c r="SMS2" s="62"/>
      <c r="SMT2" s="62"/>
      <c r="SMU2" s="62"/>
      <c r="SMV2" s="62"/>
      <c r="SMW2" s="62"/>
      <c r="SMX2" s="62"/>
      <c r="SMY2" s="62"/>
      <c r="SMZ2" s="62"/>
      <c r="SNA2" s="62"/>
      <c r="SNB2" s="62"/>
      <c r="SNC2" s="62"/>
      <c r="SND2" s="62"/>
      <c r="SNE2" s="62"/>
      <c r="SNF2" s="62"/>
      <c r="SNG2" s="62"/>
      <c r="SNH2" s="62"/>
      <c r="SNI2" s="62"/>
      <c r="SNJ2" s="62"/>
      <c r="SNK2" s="62"/>
      <c r="SNL2" s="62"/>
      <c r="SNM2" s="62"/>
      <c r="SNN2" s="62"/>
      <c r="SNO2" s="62"/>
      <c r="SNP2" s="62"/>
      <c r="SNQ2" s="62"/>
      <c r="SNR2" s="62"/>
      <c r="SNS2" s="62"/>
      <c r="SNT2" s="62"/>
      <c r="SNU2" s="62"/>
      <c r="SNV2" s="62"/>
      <c r="SNW2" s="62"/>
      <c r="SNX2" s="62"/>
      <c r="SNY2" s="62"/>
      <c r="SNZ2" s="62"/>
      <c r="SOA2" s="62"/>
      <c r="SOB2" s="62"/>
      <c r="SOC2" s="62"/>
      <c r="SOD2" s="62"/>
      <c r="SOE2" s="62"/>
      <c r="SOF2" s="62"/>
      <c r="SOG2" s="62"/>
      <c r="SOH2" s="62"/>
      <c r="SOI2" s="62"/>
      <c r="SOJ2" s="62"/>
      <c r="SOK2" s="62"/>
      <c r="SOL2" s="62"/>
      <c r="SOM2" s="62"/>
      <c r="SON2" s="62"/>
      <c r="SOO2" s="62"/>
      <c r="SOP2" s="62"/>
      <c r="SOQ2" s="62"/>
      <c r="SOR2" s="62"/>
      <c r="SOS2" s="62"/>
      <c r="SOT2" s="62"/>
      <c r="SOU2" s="62"/>
      <c r="SOV2" s="62"/>
      <c r="SOW2" s="62"/>
      <c r="SOX2" s="62"/>
      <c r="SOY2" s="62"/>
      <c r="SOZ2" s="62"/>
      <c r="SPA2" s="62"/>
      <c r="SPB2" s="62"/>
      <c r="SPC2" s="62"/>
      <c r="SPD2" s="62"/>
      <c r="SPE2" s="62"/>
      <c r="SPF2" s="62"/>
      <c r="SPG2" s="62"/>
      <c r="SPH2" s="62"/>
      <c r="SPI2" s="62"/>
      <c r="SPJ2" s="62"/>
      <c r="SPK2" s="62"/>
      <c r="SPL2" s="62"/>
      <c r="SPM2" s="62"/>
      <c r="SPN2" s="62"/>
      <c r="SPO2" s="62"/>
      <c r="SPP2" s="62"/>
      <c r="SPQ2" s="62"/>
      <c r="SPR2" s="62"/>
      <c r="SPS2" s="62"/>
      <c r="SPT2" s="62"/>
      <c r="SPU2" s="62"/>
      <c r="SPV2" s="62"/>
      <c r="SPW2" s="62"/>
      <c r="SPX2" s="62"/>
      <c r="SPY2" s="62"/>
      <c r="SPZ2" s="62"/>
      <c r="SQA2" s="62"/>
      <c r="SQB2" s="62"/>
      <c r="SQC2" s="62"/>
      <c r="SQD2" s="62"/>
      <c r="SQE2" s="62"/>
      <c r="SQF2" s="62"/>
      <c r="SQG2" s="62"/>
      <c r="SQH2" s="62"/>
      <c r="SQI2" s="62"/>
      <c r="SQJ2" s="62"/>
      <c r="SQK2" s="62"/>
      <c r="SQL2" s="62"/>
      <c r="SQM2" s="62"/>
      <c r="SQN2" s="62"/>
      <c r="SQO2" s="62"/>
      <c r="SQP2" s="62"/>
      <c r="SQQ2" s="62"/>
      <c r="SQR2" s="62"/>
      <c r="SQS2" s="62"/>
      <c r="SQT2" s="62"/>
      <c r="SQU2" s="62"/>
      <c r="SQV2" s="62"/>
      <c r="SQW2" s="62"/>
      <c r="SQX2" s="62"/>
      <c r="SQY2" s="62"/>
      <c r="SQZ2" s="62"/>
      <c r="SRA2" s="62"/>
      <c r="SRB2" s="62"/>
      <c r="SRC2" s="62"/>
      <c r="SRD2" s="62"/>
      <c r="SRE2" s="62"/>
      <c r="SRF2" s="62"/>
      <c r="SRG2" s="62"/>
      <c r="SRH2" s="62"/>
      <c r="SRI2" s="62"/>
      <c r="SRJ2" s="62"/>
      <c r="SRK2" s="62"/>
      <c r="SRL2" s="62"/>
      <c r="SRM2" s="62"/>
      <c r="SRN2" s="62"/>
      <c r="SRO2" s="62"/>
      <c r="SRP2" s="62"/>
      <c r="SRQ2" s="62"/>
      <c r="SRR2" s="62"/>
      <c r="SRS2" s="62"/>
      <c r="SRT2" s="62"/>
      <c r="SRU2" s="62"/>
      <c r="SRV2" s="62"/>
      <c r="SRW2" s="62"/>
      <c r="SRX2" s="62"/>
      <c r="SRY2" s="62"/>
      <c r="SRZ2" s="62"/>
      <c r="SSA2" s="62"/>
      <c r="SSB2" s="62"/>
      <c r="SSC2" s="62"/>
      <c r="SSD2" s="62"/>
      <c r="SSE2" s="62"/>
      <c r="SSF2" s="62"/>
      <c r="SSG2" s="62"/>
      <c r="SSH2" s="62"/>
      <c r="SSI2" s="62"/>
      <c r="SSJ2" s="62"/>
      <c r="SSK2" s="62"/>
      <c r="SSL2" s="62"/>
      <c r="SSM2" s="62"/>
      <c r="SSN2" s="62"/>
      <c r="SSO2" s="62"/>
      <c r="SSP2" s="62"/>
      <c r="SSQ2" s="62"/>
      <c r="SSR2" s="62"/>
      <c r="SSS2" s="62"/>
      <c r="SST2" s="62"/>
      <c r="SSU2" s="62"/>
      <c r="SSV2" s="62"/>
      <c r="SSW2" s="62"/>
      <c r="SSX2" s="62"/>
      <c r="SSY2" s="62"/>
      <c r="SSZ2" s="62"/>
      <c r="STA2" s="62"/>
      <c r="STB2" s="62"/>
      <c r="STC2" s="62"/>
      <c r="STD2" s="62"/>
      <c r="STE2" s="62"/>
      <c r="STF2" s="62"/>
      <c r="STG2" s="62"/>
      <c r="STH2" s="62"/>
      <c r="STI2" s="62"/>
      <c r="STJ2" s="62"/>
      <c r="STK2" s="62"/>
      <c r="STL2" s="62"/>
      <c r="STM2" s="62"/>
      <c r="STN2" s="62"/>
      <c r="STO2" s="62"/>
      <c r="STP2" s="62"/>
      <c r="STQ2" s="62"/>
      <c r="STR2" s="62"/>
      <c r="STS2" s="62"/>
      <c r="STT2" s="62"/>
      <c r="STU2" s="62"/>
      <c r="STV2" s="62"/>
      <c r="STW2" s="62"/>
      <c r="STX2" s="62"/>
      <c r="STY2" s="62"/>
      <c r="STZ2" s="62"/>
      <c r="SUA2" s="62"/>
      <c r="SUB2" s="62"/>
      <c r="SUC2" s="62"/>
      <c r="SUD2" s="62"/>
      <c r="SUE2" s="62"/>
      <c r="SUF2" s="62"/>
      <c r="SUG2" s="62"/>
      <c r="SUH2" s="62"/>
      <c r="SUI2" s="62"/>
      <c r="SUJ2" s="62"/>
      <c r="SUK2" s="62"/>
      <c r="SUL2" s="62"/>
      <c r="SUM2" s="62"/>
      <c r="SUN2" s="62"/>
      <c r="SUO2" s="62"/>
      <c r="SUP2" s="62"/>
      <c r="SUQ2" s="62"/>
      <c r="SUR2" s="62"/>
      <c r="SUS2" s="62"/>
      <c r="SUT2" s="62"/>
      <c r="SUU2" s="62"/>
      <c r="SUV2" s="62"/>
      <c r="SUW2" s="62"/>
      <c r="SUX2" s="62"/>
      <c r="SUY2" s="62"/>
      <c r="SUZ2" s="62"/>
      <c r="SVA2" s="62"/>
      <c r="SVB2" s="62"/>
      <c r="SVC2" s="62"/>
      <c r="SVD2" s="62"/>
      <c r="SVE2" s="62"/>
      <c r="SVF2" s="62"/>
      <c r="SVG2" s="62"/>
      <c r="SVH2" s="62"/>
      <c r="SVI2" s="62"/>
      <c r="SVJ2" s="62"/>
      <c r="SVK2" s="62"/>
      <c r="SVL2" s="62"/>
      <c r="SVM2" s="62"/>
      <c r="SVN2" s="62"/>
      <c r="SVO2" s="62"/>
      <c r="SVP2" s="62"/>
      <c r="SVQ2" s="62"/>
      <c r="SVR2" s="62"/>
      <c r="SVS2" s="62"/>
      <c r="SVT2" s="62"/>
      <c r="SVU2" s="62"/>
      <c r="SVV2" s="62"/>
      <c r="SVW2" s="62"/>
      <c r="SVX2" s="62"/>
      <c r="SVY2" s="62"/>
      <c r="SVZ2" s="62"/>
      <c r="SWA2" s="62"/>
      <c r="SWB2" s="62"/>
      <c r="SWC2" s="62"/>
      <c r="SWD2" s="62"/>
      <c r="SWE2" s="62"/>
      <c r="SWF2" s="62"/>
      <c r="SWG2" s="62"/>
      <c r="SWH2" s="62"/>
      <c r="SWI2" s="62"/>
      <c r="SWJ2" s="62"/>
      <c r="SWK2" s="62"/>
      <c r="SWL2" s="62"/>
      <c r="SWM2" s="62"/>
      <c r="SWN2" s="62"/>
      <c r="SWO2" s="62"/>
      <c r="SWP2" s="62"/>
      <c r="SWQ2" s="62"/>
      <c r="SWR2" s="62"/>
      <c r="SWS2" s="62"/>
      <c r="SWT2" s="62"/>
      <c r="SWU2" s="62"/>
      <c r="SWV2" s="62"/>
      <c r="SWW2" s="62"/>
      <c r="SWX2" s="62"/>
      <c r="SWY2" s="62"/>
      <c r="SWZ2" s="62"/>
      <c r="SXA2" s="62"/>
      <c r="SXB2" s="62"/>
      <c r="SXC2" s="62"/>
      <c r="SXD2" s="62"/>
      <c r="SXE2" s="62"/>
      <c r="SXF2" s="62"/>
      <c r="SXG2" s="62"/>
      <c r="SXH2" s="62"/>
      <c r="SXI2" s="62"/>
      <c r="SXJ2" s="62"/>
      <c r="SXK2" s="62"/>
      <c r="SXL2" s="62"/>
      <c r="SXM2" s="62"/>
      <c r="SXN2" s="62"/>
      <c r="SXO2" s="62"/>
      <c r="SXP2" s="62"/>
      <c r="SXQ2" s="62"/>
      <c r="SXR2" s="62"/>
      <c r="SXS2" s="62"/>
      <c r="SXT2" s="62"/>
      <c r="SXU2" s="62"/>
      <c r="SXV2" s="62"/>
      <c r="SXW2" s="62"/>
      <c r="SXX2" s="62"/>
      <c r="SXY2" s="62"/>
      <c r="SXZ2" s="62"/>
      <c r="SYA2" s="62"/>
      <c r="SYB2" s="62"/>
      <c r="SYC2" s="62"/>
      <c r="SYD2" s="62"/>
      <c r="SYE2" s="62"/>
      <c r="SYF2" s="62"/>
      <c r="SYG2" s="62"/>
      <c r="SYH2" s="62"/>
      <c r="SYI2" s="62"/>
      <c r="SYJ2" s="62"/>
      <c r="SYK2" s="62"/>
      <c r="SYL2" s="62"/>
      <c r="SYM2" s="62"/>
      <c r="SYN2" s="62"/>
      <c r="SYO2" s="62"/>
      <c r="SYP2" s="62"/>
      <c r="SYQ2" s="62"/>
      <c r="SYR2" s="62"/>
      <c r="SYS2" s="62"/>
      <c r="SYT2" s="62"/>
      <c r="SYU2" s="62"/>
      <c r="SYV2" s="62"/>
      <c r="SYW2" s="62"/>
      <c r="SYX2" s="62"/>
      <c r="SYY2" s="62"/>
      <c r="SYZ2" s="62"/>
      <c r="SZA2" s="62"/>
      <c r="SZB2" s="62"/>
      <c r="SZC2" s="62"/>
      <c r="SZD2" s="62"/>
      <c r="SZE2" s="62"/>
      <c r="SZF2" s="62"/>
      <c r="SZG2" s="62"/>
      <c r="SZH2" s="62"/>
      <c r="SZI2" s="62"/>
      <c r="SZJ2" s="62"/>
      <c r="SZK2" s="62"/>
      <c r="SZL2" s="62"/>
      <c r="SZM2" s="62"/>
      <c r="SZN2" s="62"/>
      <c r="SZO2" s="62"/>
      <c r="SZP2" s="62"/>
      <c r="SZQ2" s="62"/>
      <c r="SZR2" s="62"/>
      <c r="SZS2" s="62"/>
      <c r="SZT2" s="62"/>
      <c r="SZU2" s="62"/>
      <c r="SZV2" s="62"/>
      <c r="SZW2" s="62"/>
      <c r="SZX2" s="62"/>
      <c r="SZY2" s="62"/>
      <c r="SZZ2" s="62"/>
      <c r="TAA2" s="62"/>
      <c r="TAB2" s="62"/>
      <c r="TAC2" s="62"/>
      <c r="TAD2" s="62"/>
      <c r="TAE2" s="62"/>
      <c r="TAF2" s="62"/>
      <c r="TAG2" s="62"/>
      <c r="TAH2" s="62"/>
      <c r="TAI2" s="62"/>
      <c r="TAJ2" s="62"/>
      <c r="TAK2" s="62"/>
      <c r="TAL2" s="62"/>
      <c r="TAM2" s="62"/>
      <c r="TAN2" s="62"/>
      <c r="TAO2" s="62"/>
      <c r="TAP2" s="62"/>
      <c r="TAQ2" s="62"/>
      <c r="TAR2" s="62"/>
      <c r="TAS2" s="62"/>
      <c r="TAT2" s="62"/>
      <c r="TAU2" s="62"/>
      <c r="TAV2" s="62"/>
      <c r="TAW2" s="62"/>
      <c r="TAX2" s="62"/>
      <c r="TAY2" s="62"/>
      <c r="TAZ2" s="62"/>
      <c r="TBA2" s="62"/>
      <c r="TBB2" s="62"/>
      <c r="TBC2" s="62"/>
      <c r="TBD2" s="62"/>
      <c r="TBE2" s="62"/>
      <c r="TBF2" s="62"/>
      <c r="TBG2" s="62"/>
      <c r="TBH2" s="62"/>
      <c r="TBI2" s="62"/>
      <c r="TBJ2" s="62"/>
      <c r="TBK2" s="62"/>
      <c r="TBL2" s="62"/>
      <c r="TBM2" s="62"/>
      <c r="TBN2" s="62"/>
      <c r="TBO2" s="62"/>
      <c r="TBP2" s="62"/>
      <c r="TBQ2" s="62"/>
      <c r="TBR2" s="62"/>
      <c r="TBS2" s="62"/>
      <c r="TBT2" s="62"/>
      <c r="TBU2" s="62"/>
      <c r="TBV2" s="62"/>
      <c r="TBW2" s="62"/>
      <c r="TBX2" s="62"/>
      <c r="TBY2" s="62"/>
      <c r="TBZ2" s="62"/>
      <c r="TCA2" s="62"/>
      <c r="TCB2" s="62"/>
      <c r="TCC2" s="62"/>
      <c r="TCD2" s="62"/>
      <c r="TCE2" s="62"/>
      <c r="TCF2" s="62"/>
      <c r="TCG2" s="62"/>
      <c r="TCH2" s="62"/>
      <c r="TCI2" s="62"/>
      <c r="TCJ2" s="62"/>
      <c r="TCK2" s="62"/>
      <c r="TCL2" s="62"/>
      <c r="TCM2" s="62"/>
      <c r="TCN2" s="62"/>
      <c r="TCO2" s="62"/>
      <c r="TCP2" s="62"/>
      <c r="TCQ2" s="62"/>
      <c r="TCR2" s="62"/>
      <c r="TCS2" s="62"/>
      <c r="TCT2" s="62"/>
      <c r="TCU2" s="62"/>
      <c r="TCV2" s="62"/>
      <c r="TCW2" s="62"/>
      <c r="TCX2" s="62"/>
      <c r="TCY2" s="62"/>
      <c r="TCZ2" s="62"/>
      <c r="TDA2" s="62"/>
      <c r="TDB2" s="62"/>
      <c r="TDC2" s="62"/>
      <c r="TDD2" s="62"/>
      <c r="TDE2" s="62"/>
      <c r="TDF2" s="62"/>
      <c r="TDG2" s="62"/>
      <c r="TDH2" s="62"/>
      <c r="TDI2" s="62"/>
      <c r="TDJ2" s="62"/>
      <c r="TDK2" s="62"/>
      <c r="TDL2" s="62"/>
      <c r="TDM2" s="62"/>
      <c r="TDN2" s="62"/>
      <c r="TDO2" s="62"/>
      <c r="TDP2" s="62"/>
      <c r="TDQ2" s="62"/>
      <c r="TDR2" s="62"/>
      <c r="TDS2" s="62"/>
      <c r="TDT2" s="62"/>
      <c r="TDU2" s="62"/>
      <c r="TDV2" s="62"/>
      <c r="TDW2" s="62"/>
      <c r="TDX2" s="62"/>
      <c r="TDY2" s="62"/>
      <c r="TDZ2" s="62"/>
      <c r="TEA2" s="62"/>
      <c r="TEB2" s="62"/>
      <c r="TEC2" s="62"/>
      <c r="TED2" s="62"/>
      <c r="TEE2" s="62"/>
      <c r="TEF2" s="62"/>
      <c r="TEG2" s="62"/>
      <c r="TEH2" s="62"/>
      <c r="TEI2" s="62"/>
      <c r="TEJ2" s="62"/>
      <c r="TEK2" s="62"/>
      <c r="TEL2" s="62"/>
      <c r="TEM2" s="62"/>
      <c r="TEN2" s="62"/>
      <c r="TEO2" s="62"/>
      <c r="TEP2" s="62"/>
      <c r="TEQ2" s="62"/>
      <c r="TER2" s="62"/>
      <c r="TES2" s="62"/>
      <c r="TET2" s="62"/>
      <c r="TEU2" s="62"/>
      <c r="TEV2" s="62"/>
      <c r="TEW2" s="62"/>
      <c r="TEX2" s="62"/>
      <c r="TEY2" s="62"/>
      <c r="TEZ2" s="62"/>
      <c r="TFA2" s="62"/>
      <c r="TFB2" s="62"/>
      <c r="TFC2" s="62"/>
      <c r="TFD2" s="62"/>
      <c r="TFE2" s="62"/>
      <c r="TFF2" s="62"/>
      <c r="TFG2" s="62"/>
      <c r="TFH2" s="62"/>
      <c r="TFI2" s="62"/>
      <c r="TFJ2" s="62"/>
      <c r="TFK2" s="62"/>
      <c r="TFL2" s="62"/>
      <c r="TFM2" s="62"/>
      <c r="TFN2" s="62"/>
      <c r="TFO2" s="62"/>
      <c r="TFP2" s="62"/>
      <c r="TFQ2" s="62"/>
      <c r="TFR2" s="62"/>
      <c r="TFS2" s="62"/>
      <c r="TFT2" s="62"/>
      <c r="TFU2" s="62"/>
      <c r="TFV2" s="62"/>
      <c r="TFW2" s="62"/>
      <c r="TFX2" s="62"/>
      <c r="TFY2" s="62"/>
      <c r="TFZ2" s="62"/>
      <c r="TGA2" s="62"/>
      <c r="TGB2" s="62"/>
      <c r="TGC2" s="62"/>
      <c r="TGD2" s="62"/>
      <c r="TGE2" s="62"/>
      <c r="TGF2" s="62"/>
      <c r="TGG2" s="62"/>
      <c r="TGH2" s="62"/>
      <c r="TGI2" s="62"/>
      <c r="TGJ2" s="62"/>
      <c r="TGK2" s="62"/>
      <c r="TGL2" s="62"/>
      <c r="TGM2" s="62"/>
      <c r="TGN2" s="62"/>
      <c r="TGO2" s="62"/>
      <c r="TGP2" s="62"/>
      <c r="TGQ2" s="62"/>
      <c r="TGR2" s="62"/>
      <c r="TGS2" s="62"/>
      <c r="TGT2" s="62"/>
      <c r="TGU2" s="62"/>
      <c r="TGV2" s="62"/>
      <c r="TGW2" s="62"/>
      <c r="TGX2" s="62"/>
      <c r="TGY2" s="62"/>
      <c r="TGZ2" s="62"/>
      <c r="THA2" s="62"/>
      <c r="THB2" s="62"/>
      <c r="THC2" s="62"/>
      <c r="THD2" s="62"/>
      <c r="THE2" s="62"/>
      <c r="THF2" s="62"/>
      <c r="THG2" s="62"/>
      <c r="THH2" s="62"/>
      <c r="THI2" s="62"/>
      <c r="THJ2" s="62"/>
      <c r="THK2" s="62"/>
      <c r="THL2" s="62"/>
      <c r="THM2" s="62"/>
      <c r="THN2" s="62"/>
      <c r="THO2" s="62"/>
      <c r="THP2" s="62"/>
      <c r="THQ2" s="62"/>
      <c r="THR2" s="62"/>
      <c r="THS2" s="62"/>
      <c r="THT2" s="62"/>
      <c r="THU2" s="62"/>
      <c r="THV2" s="62"/>
      <c r="THW2" s="62"/>
      <c r="THX2" s="62"/>
      <c r="THY2" s="62"/>
      <c r="THZ2" s="62"/>
      <c r="TIA2" s="62"/>
      <c r="TIB2" s="62"/>
      <c r="TIC2" s="62"/>
      <c r="TID2" s="62"/>
      <c r="TIE2" s="62"/>
      <c r="TIF2" s="62"/>
      <c r="TIG2" s="62"/>
      <c r="TIH2" s="62"/>
      <c r="TII2" s="62"/>
      <c r="TIJ2" s="62"/>
      <c r="TIK2" s="62"/>
      <c r="TIL2" s="62"/>
      <c r="TIM2" s="62"/>
      <c r="TIN2" s="62"/>
      <c r="TIO2" s="62"/>
      <c r="TIP2" s="62"/>
      <c r="TIQ2" s="62"/>
      <c r="TIR2" s="62"/>
      <c r="TIS2" s="62"/>
      <c r="TIT2" s="62"/>
      <c r="TIU2" s="62"/>
      <c r="TIV2" s="62"/>
      <c r="TIW2" s="62"/>
      <c r="TIX2" s="62"/>
      <c r="TIY2" s="62"/>
      <c r="TIZ2" s="62"/>
      <c r="TJA2" s="62"/>
      <c r="TJB2" s="62"/>
      <c r="TJC2" s="62"/>
      <c r="TJD2" s="62"/>
      <c r="TJE2" s="62"/>
      <c r="TJF2" s="62"/>
      <c r="TJG2" s="62"/>
      <c r="TJH2" s="62"/>
      <c r="TJI2" s="62"/>
      <c r="TJJ2" s="62"/>
      <c r="TJK2" s="62"/>
      <c r="TJL2" s="62"/>
      <c r="TJM2" s="62"/>
      <c r="TJN2" s="62"/>
      <c r="TJO2" s="62"/>
      <c r="TJP2" s="62"/>
      <c r="TJQ2" s="62"/>
      <c r="TJR2" s="62"/>
      <c r="TJS2" s="62"/>
      <c r="TJT2" s="62"/>
      <c r="TJU2" s="62"/>
      <c r="TJV2" s="62"/>
      <c r="TJW2" s="62"/>
      <c r="TJX2" s="62"/>
      <c r="TJY2" s="62"/>
      <c r="TJZ2" s="62"/>
      <c r="TKA2" s="62"/>
      <c r="TKB2" s="62"/>
      <c r="TKC2" s="62"/>
      <c r="TKD2" s="62"/>
      <c r="TKE2" s="62"/>
      <c r="TKF2" s="62"/>
      <c r="TKG2" s="62"/>
      <c r="TKH2" s="62"/>
      <c r="TKI2" s="62"/>
      <c r="TKJ2" s="62"/>
      <c r="TKK2" s="62"/>
      <c r="TKL2" s="62"/>
      <c r="TKM2" s="62"/>
      <c r="TKN2" s="62"/>
      <c r="TKO2" s="62"/>
      <c r="TKP2" s="62"/>
      <c r="TKQ2" s="62"/>
      <c r="TKR2" s="62"/>
      <c r="TKS2" s="62"/>
      <c r="TKT2" s="62"/>
      <c r="TKU2" s="62"/>
      <c r="TKV2" s="62"/>
      <c r="TKW2" s="62"/>
      <c r="TKX2" s="62"/>
      <c r="TKY2" s="62"/>
      <c r="TKZ2" s="62"/>
      <c r="TLA2" s="62"/>
      <c r="TLB2" s="62"/>
      <c r="TLC2" s="62"/>
      <c r="TLD2" s="62"/>
      <c r="TLE2" s="62"/>
      <c r="TLF2" s="62"/>
      <c r="TLG2" s="62"/>
      <c r="TLH2" s="62"/>
      <c r="TLI2" s="62"/>
      <c r="TLJ2" s="62"/>
      <c r="TLK2" s="62"/>
      <c r="TLL2" s="62"/>
      <c r="TLM2" s="62"/>
      <c r="TLN2" s="62"/>
      <c r="TLO2" s="62"/>
      <c r="TLP2" s="62"/>
      <c r="TLQ2" s="62"/>
      <c r="TLR2" s="62"/>
      <c r="TLS2" s="62"/>
      <c r="TLT2" s="62"/>
      <c r="TLU2" s="62"/>
      <c r="TLV2" s="62"/>
      <c r="TLW2" s="62"/>
      <c r="TLX2" s="62"/>
      <c r="TLY2" s="62"/>
      <c r="TLZ2" s="62"/>
      <c r="TMA2" s="62"/>
      <c r="TMB2" s="62"/>
      <c r="TMC2" s="62"/>
      <c r="TMD2" s="62"/>
      <c r="TME2" s="62"/>
      <c r="TMF2" s="62"/>
      <c r="TMG2" s="62"/>
      <c r="TMH2" s="62"/>
      <c r="TMI2" s="62"/>
      <c r="TMJ2" s="62"/>
      <c r="TMK2" s="62"/>
      <c r="TML2" s="62"/>
      <c r="TMM2" s="62"/>
      <c r="TMN2" s="62"/>
      <c r="TMO2" s="62"/>
      <c r="TMP2" s="62"/>
      <c r="TMQ2" s="62"/>
      <c r="TMR2" s="62"/>
      <c r="TMS2" s="62"/>
      <c r="TMT2" s="62"/>
      <c r="TMU2" s="62"/>
      <c r="TMV2" s="62"/>
      <c r="TMW2" s="62"/>
      <c r="TMX2" s="62"/>
      <c r="TMY2" s="62"/>
      <c r="TMZ2" s="62"/>
      <c r="TNA2" s="62"/>
      <c r="TNB2" s="62"/>
      <c r="TNC2" s="62"/>
      <c r="TND2" s="62"/>
      <c r="TNE2" s="62"/>
      <c r="TNF2" s="62"/>
      <c r="TNG2" s="62"/>
      <c r="TNH2" s="62"/>
      <c r="TNI2" s="62"/>
      <c r="TNJ2" s="62"/>
      <c r="TNK2" s="62"/>
      <c r="TNL2" s="62"/>
      <c r="TNM2" s="62"/>
      <c r="TNN2" s="62"/>
      <c r="TNO2" s="62"/>
      <c r="TNP2" s="62"/>
      <c r="TNQ2" s="62"/>
      <c r="TNR2" s="62"/>
      <c r="TNS2" s="62"/>
      <c r="TNT2" s="62"/>
      <c r="TNU2" s="62"/>
      <c r="TNV2" s="62"/>
      <c r="TNW2" s="62"/>
      <c r="TNX2" s="62"/>
      <c r="TNY2" s="62"/>
      <c r="TNZ2" s="62"/>
      <c r="TOA2" s="62"/>
      <c r="TOB2" s="62"/>
      <c r="TOC2" s="62"/>
      <c r="TOD2" s="62"/>
      <c r="TOE2" s="62"/>
      <c r="TOF2" s="62"/>
      <c r="TOG2" s="62"/>
      <c r="TOH2" s="62"/>
      <c r="TOI2" s="62"/>
      <c r="TOJ2" s="62"/>
      <c r="TOK2" s="62"/>
      <c r="TOL2" s="62"/>
      <c r="TOM2" s="62"/>
      <c r="TON2" s="62"/>
      <c r="TOO2" s="62"/>
      <c r="TOP2" s="62"/>
      <c r="TOQ2" s="62"/>
      <c r="TOR2" s="62"/>
      <c r="TOS2" s="62"/>
      <c r="TOT2" s="62"/>
      <c r="TOU2" s="62"/>
      <c r="TOV2" s="62"/>
      <c r="TOW2" s="62"/>
      <c r="TOX2" s="62"/>
      <c r="TOY2" s="62"/>
      <c r="TOZ2" s="62"/>
      <c r="TPA2" s="62"/>
      <c r="TPB2" s="62"/>
      <c r="TPC2" s="62"/>
      <c r="TPD2" s="62"/>
      <c r="TPE2" s="62"/>
      <c r="TPF2" s="62"/>
      <c r="TPG2" s="62"/>
      <c r="TPH2" s="62"/>
      <c r="TPI2" s="62"/>
      <c r="TPJ2" s="62"/>
      <c r="TPK2" s="62"/>
      <c r="TPL2" s="62"/>
      <c r="TPM2" s="62"/>
      <c r="TPN2" s="62"/>
      <c r="TPO2" s="62"/>
      <c r="TPP2" s="62"/>
      <c r="TPQ2" s="62"/>
      <c r="TPR2" s="62"/>
      <c r="TPS2" s="62"/>
      <c r="TPT2" s="62"/>
      <c r="TPU2" s="62"/>
      <c r="TPV2" s="62"/>
      <c r="TPW2" s="62"/>
      <c r="TPX2" s="62"/>
      <c r="TPY2" s="62"/>
      <c r="TPZ2" s="62"/>
      <c r="TQA2" s="62"/>
      <c r="TQB2" s="62"/>
      <c r="TQC2" s="62"/>
      <c r="TQD2" s="62"/>
      <c r="TQE2" s="62"/>
      <c r="TQF2" s="62"/>
      <c r="TQG2" s="62"/>
      <c r="TQH2" s="62"/>
      <c r="TQI2" s="62"/>
      <c r="TQJ2" s="62"/>
      <c r="TQK2" s="62"/>
      <c r="TQL2" s="62"/>
      <c r="TQM2" s="62"/>
      <c r="TQN2" s="62"/>
      <c r="TQO2" s="62"/>
      <c r="TQP2" s="62"/>
      <c r="TQQ2" s="62"/>
      <c r="TQR2" s="62"/>
      <c r="TQS2" s="62"/>
      <c r="TQT2" s="62"/>
      <c r="TQU2" s="62"/>
      <c r="TQV2" s="62"/>
      <c r="TQW2" s="62"/>
      <c r="TQX2" s="62"/>
      <c r="TQY2" s="62"/>
      <c r="TQZ2" s="62"/>
      <c r="TRA2" s="62"/>
      <c r="TRB2" s="62"/>
      <c r="TRC2" s="62"/>
      <c r="TRD2" s="62"/>
      <c r="TRE2" s="62"/>
      <c r="TRF2" s="62"/>
      <c r="TRG2" s="62"/>
      <c r="TRH2" s="62"/>
      <c r="TRI2" s="62"/>
      <c r="TRJ2" s="62"/>
      <c r="TRK2" s="62"/>
      <c r="TRL2" s="62"/>
      <c r="TRM2" s="62"/>
      <c r="TRN2" s="62"/>
      <c r="TRO2" s="62"/>
      <c r="TRP2" s="62"/>
      <c r="TRQ2" s="62"/>
      <c r="TRR2" s="62"/>
      <c r="TRS2" s="62"/>
      <c r="TRT2" s="62"/>
      <c r="TRU2" s="62"/>
      <c r="TRV2" s="62"/>
      <c r="TRW2" s="62"/>
      <c r="TRX2" s="62"/>
      <c r="TRY2" s="62"/>
      <c r="TRZ2" s="62"/>
      <c r="TSA2" s="62"/>
      <c r="TSB2" s="62"/>
      <c r="TSC2" s="62"/>
      <c r="TSD2" s="62"/>
      <c r="TSE2" s="62"/>
      <c r="TSF2" s="62"/>
      <c r="TSG2" s="62"/>
      <c r="TSH2" s="62"/>
      <c r="TSI2" s="62"/>
      <c r="TSJ2" s="62"/>
      <c r="TSK2" s="62"/>
      <c r="TSL2" s="62"/>
      <c r="TSM2" s="62"/>
      <c r="TSN2" s="62"/>
      <c r="TSO2" s="62"/>
      <c r="TSP2" s="62"/>
      <c r="TSQ2" s="62"/>
      <c r="TSR2" s="62"/>
      <c r="TSS2" s="62"/>
      <c r="TST2" s="62"/>
      <c r="TSU2" s="62"/>
      <c r="TSV2" s="62"/>
      <c r="TSW2" s="62"/>
      <c r="TSX2" s="62"/>
      <c r="TSY2" s="62"/>
      <c r="TSZ2" s="62"/>
      <c r="TTA2" s="62"/>
      <c r="TTB2" s="62"/>
      <c r="TTC2" s="62"/>
      <c r="TTD2" s="62"/>
      <c r="TTE2" s="62"/>
      <c r="TTF2" s="62"/>
      <c r="TTG2" s="62"/>
      <c r="TTH2" s="62"/>
      <c r="TTI2" s="62"/>
      <c r="TTJ2" s="62"/>
      <c r="TTK2" s="62"/>
      <c r="TTL2" s="62"/>
      <c r="TTM2" s="62"/>
      <c r="TTN2" s="62"/>
      <c r="TTO2" s="62"/>
      <c r="TTP2" s="62"/>
      <c r="TTQ2" s="62"/>
      <c r="TTR2" s="62"/>
      <c r="TTS2" s="62"/>
      <c r="TTT2" s="62"/>
      <c r="TTU2" s="62"/>
      <c r="TTV2" s="62"/>
      <c r="TTW2" s="62"/>
      <c r="TTX2" s="62"/>
      <c r="TTY2" s="62"/>
      <c r="TTZ2" s="62"/>
      <c r="TUA2" s="62"/>
      <c r="TUB2" s="62"/>
      <c r="TUC2" s="62"/>
      <c r="TUD2" s="62"/>
      <c r="TUE2" s="62"/>
      <c r="TUF2" s="62"/>
      <c r="TUG2" s="62"/>
      <c r="TUH2" s="62"/>
      <c r="TUI2" s="62"/>
      <c r="TUJ2" s="62"/>
      <c r="TUK2" s="62"/>
      <c r="TUL2" s="62"/>
      <c r="TUM2" s="62"/>
      <c r="TUN2" s="62"/>
      <c r="TUO2" s="62"/>
      <c r="TUP2" s="62"/>
      <c r="TUQ2" s="62"/>
      <c r="TUR2" s="62"/>
      <c r="TUS2" s="62"/>
      <c r="TUT2" s="62"/>
      <c r="TUU2" s="62"/>
      <c r="TUV2" s="62"/>
      <c r="TUW2" s="62"/>
      <c r="TUX2" s="62"/>
      <c r="TUY2" s="62"/>
      <c r="TUZ2" s="62"/>
      <c r="TVA2" s="62"/>
      <c r="TVB2" s="62"/>
      <c r="TVC2" s="62"/>
      <c r="TVD2" s="62"/>
      <c r="TVE2" s="62"/>
      <c r="TVF2" s="62"/>
      <c r="TVG2" s="62"/>
      <c r="TVH2" s="62"/>
      <c r="TVI2" s="62"/>
      <c r="TVJ2" s="62"/>
      <c r="TVK2" s="62"/>
      <c r="TVL2" s="62"/>
      <c r="TVM2" s="62"/>
      <c r="TVN2" s="62"/>
      <c r="TVO2" s="62"/>
      <c r="TVP2" s="62"/>
      <c r="TVQ2" s="62"/>
      <c r="TVR2" s="62"/>
      <c r="TVS2" s="62"/>
      <c r="TVT2" s="62"/>
      <c r="TVU2" s="62"/>
      <c r="TVV2" s="62"/>
      <c r="TVW2" s="62"/>
      <c r="TVX2" s="62"/>
      <c r="TVY2" s="62"/>
      <c r="TVZ2" s="62"/>
      <c r="TWA2" s="62"/>
      <c r="TWB2" s="62"/>
      <c r="TWC2" s="62"/>
      <c r="TWD2" s="62"/>
      <c r="TWE2" s="62"/>
      <c r="TWF2" s="62"/>
      <c r="TWG2" s="62"/>
      <c r="TWH2" s="62"/>
      <c r="TWI2" s="62"/>
      <c r="TWJ2" s="62"/>
      <c r="TWK2" s="62"/>
      <c r="TWL2" s="62"/>
      <c r="TWM2" s="62"/>
      <c r="TWN2" s="62"/>
      <c r="TWO2" s="62"/>
      <c r="TWP2" s="62"/>
      <c r="TWQ2" s="62"/>
      <c r="TWR2" s="62"/>
      <c r="TWS2" s="62"/>
      <c r="TWT2" s="62"/>
      <c r="TWU2" s="62"/>
      <c r="TWV2" s="62"/>
      <c r="TWW2" s="62"/>
      <c r="TWX2" s="62"/>
      <c r="TWY2" s="62"/>
      <c r="TWZ2" s="62"/>
      <c r="TXA2" s="62"/>
      <c r="TXB2" s="62"/>
      <c r="TXC2" s="62"/>
      <c r="TXD2" s="62"/>
      <c r="TXE2" s="62"/>
      <c r="TXF2" s="62"/>
      <c r="TXG2" s="62"/>
      <c r="TXH2" s="62"/>
      <c r="TXI2" s="62"/>
      <c r="TXJ2" s="62"/>
      <c r="TXK2" s="62"/>
      <c r="TXL2" s="62"/>
      <c r="TXM2" s="62"/>
      <c r="TXN2" s="62"/>
      <c r="TXO2" s="62"/>
      <c r="TXP2" s="62"/>
      <c r="TXQ2" s="62"/>
      <c r="TXR2" s="62"/>
      <c r="TXS2" s="62"/>
      <c r="TXT2" s="62"/>
      <c r="TXU2" s="62"/>
      <c r="TXV2" s="62"/>
      <c r="TXW2" s="62"/>
      <c r="TXX2" s="62"/>
      <c r="TXY2" s="62"/>
      <c r="TXZ2" s="62"/>
      <c r="TYA2" s="62"/>
      <c r="TYB2" s="62"/>
      <c r="TYC2" s="62"/>
      <c r="TYD2" s="62"/>
      <c r="TYE2" s="62"/>
      <c r="TYF2" s="62"/>
      <c r="TYG2" s="62"/>
      <c r="TYH2" s="62"/>
      <c r="TYI2" s="62"/>
      <c r="TYJ2" s="62"/>
      <c r="TYK2" s="62"/>
      <c r="TYL2" s="62"/>
      <c r="TYM2" s="62"/>
      <c r="TYN2" s="62"/>
      <c r="TYO2" s="62"/>
      <c r="TYP2" s="62"/>
      <c r="TYQ2" s="62"/>
      <c r="TYR2" s="62"/>
      <c r="TYS2" s="62"/>
      <c r="TYT2" s="62"/>
      <c r="TYU2" s="62"/>
      <c r="TYV2" s="62"/>
      <c r="TYW2" s="62"/>
      <c r="TYX2" s="62"/>
      <c r="TYY2" s="62"/>
      <c r="TYZ2" s="62"/>
      <c r="TZA2" s="62"/>
      <c r="TZB2" s="62"/>
      <c r="TZC2" s="62"/>
      <c r="TZD2" s="62"/>
      <c r="TZE2" s="62"/>
      <c r="TZF2" s="62"/>
      <c r="TZG2" s="62"/>
      <c r="TZH2" s="62"/>
      <c r="TZI2" s="62"/>
      <c r="TZJ2" s="62"/>
      <c r="TZK2" s="62"/>
      <c r="TZL2" s="62"/>
      <c r="TZM2" s="62"/>
      <c r="TZN2" s="62"/>
      <c r="TZO2" s="62"/>
      <c r="TZP2" s="62"/>
      <c r="TZQ2" s="62"/>
      <c r="TZR2" s="62"/>
      <c r="TZS2" s="62"/>
      <c r="TZT2" s="62"/>
      <c r="TZU2" s="62"/>
      <c r="TZV2" s="62"/>
      <c r="TZW2" s="62"/>
      <c r="TZX2" s="62"/>
      <c r="TZY2" s="62"/>
      <c r="TZZ2" s="62"/>
      <c r="UAA2" s="62"/>
      <c r="UAB2" s="62"/>
      <c r="UAC2" s="62"/>
      <c r="UAD2" s="62"/>
      <c r="UAE2" s="62"/>
      <c r="UAF2" s="62"/>
      <c r="UAG2" s="62"/>
      <c r="UAH2" s="62"/>
      <c r="UAI2" s="62"/>
      <c r="UAJ2" s="62"/>
      <c r="UAK2" s="62"/>
      <c r="UAL2" s="62"/>
      <c r="UAM2" s="62"/>
      <c r="UAN2" s="62"/>
      <c r="UAO2" s="62"/>
      <c r="UAP2" s="62"/>
      <c r="UAQ2" s="62"/>
      <c r="UAR2" s="62"/>
      <c r="UAS2" s="62"/>
      <c r="UAT2" s="62"/>
      <c r="UAU2" s="62"/>
      <c r="UAV2" s="62"/>
      <c r="UAW2" s="62"/>
      <c r="UAX2" s="62"/>
      <c r="UAY2" s="62"/>
      <c r="UAZ2" s="62"/>
      <c r="UBA2" s="62"/>
      <c r="UBB2" s="62"/>
      <c r="UBC2" s="62"/>
      <c r="UBD2" s="62"/>
      <c r="UBE2" s="62"/>
      <c r="UBF2" s="62"/>
      <c r="UBG2" s="62"/>
      <c r="UBH2" s="62"/>
      <c r="UBI2" s="62"/>
      <c r="UBJ2" s="62"/>
      <c r="UBK2" s="62"/>
      <c r="UBL2" s="62"/>
      <c r="UBM2" s="62"/>
      <c r="UBN2" s="62"/>
      <c r="UBO2" s="62"/>
      <c r="UBP2" s="62"/>
      <c r="UBQ2" s="62"/>
      <c r="UBR2" s="62"/>
      <c r="UBS2" s="62"/>
      <c r="UBT2" s="62"/>
      <c r="UBU2" s="62"/>
      <c r="UBV2" s="62"/>
      <c r="UBW2" s="62"/>
      <c r="UBX2" s="62"/>
      <c r="UBY2" s="62"/>
      <c r="UBZ2" s="62"/>
      <c r="UCA2" s="62"/>
      <c r="UCB2" s="62"/>
      <c r="UCC2" s="62"/>
      <c r="UCD2" s="62"/>
      <c r="UCE2" s="62"/>
      <c r="UCF2" s="62"/>
      <c r="UCG2" s="62"/>
      <c r="UCH2" s="62"/>
      <c r="UCI2" s="62"/>
      <c r="UCJ2" s="62"/>
      <c r="UCK2" s="62"/>
      <c r="UCL2" s="62"/>
      <c r="UCM2" s="62"/>
      <c r="UCN2" s="62"/>
      <c r="UCO2" s="62"/>
      <c r="UCP2" s="62"/>
      <c r="UCQ2" s="62"/>
      <c r="UCR2" s="62"/>
      <c r="UCS2" s="62"/>
      <c r="UCT2" s="62"/>
      <c r="UCU2" s="62"/>
      <c r="UCV2" s="62"/>
      <c r="UCW2" s="62"/>
      <c r="UCX2" s="62"/>
      <c r="UCY2" s="62"/>
      <c r="UCZ2" s="62"/>
      <c r="UDA2" s="62"/>
      <c r="UDB2" s="62"/>
      <c r="UDC2" s="62"/>
      <c r="UDD2" s="62"/>
      <c r="UDE2" s="62"/>
      <c r="UDF2" s="62"/>
      <c r="UDG2" s="62"/>
      <c r="UDH2" s="62"/>
      <c r="UDI2" s="62"/>
      <c r="UDJ2" s="62"/>
      <c r="UDK2" s="62"/>
      <c r="UDL2" s="62"/>
      <c r="UDM2" s="62"/>
      <c r="UDN2" s="62"/>
      <c r="UDO2" s="62"/>
      <c r="UDP2" s="62"/>
      <c r="UDQ2" s="62"/>
      <c r="UDR2" s="62"/>
      <c r="UDS2" s="62"/>
      <c r="UDT2" s="62"/>
      <c r="UDU2" s="62"/>
      <c r="UDV2" s="62"/>
      <c r="UDW2" s="62"/>
      <c r="UDX2" s="62"/>
      <c r="UDY2" s="62"/>
      <c r="UDZ2" s="62"/>
      <c r="UEA2" s="62"/>
      <c r="UEB2" s="62"/>
      <c r="UEC2" s="62"/>
      <c r="UED2" s="62"/>
      <c r="UEE2" s="62"/>
      <c r="UEF2" s="62"/>
      <c r="UEG2" s="62"/>
      <c r="UEH2" s="62"/>
      <c r="UEI2" s="62"/>
      <c r="UEJ2" s="62"/>
      <c r="UEK2" s="62"/>
      <c r="UEL2" s="62"/>
      <c r="UEM2" s="62"/>
      <c r="UEN2" s="62"/>
      <c r="UEO2" s="62"/>
      <c r="UEP2" s="62"/>
      <c r="UEQ2" s="62"/>
      <c r="UER2" s="62"/>
      <c r="UES2" s="62"/>
      <c r="UET2" s="62"/>
      <c r="UEU2" s="62"/>
      <c r="UEV2" s="62"/>
      <c r="UEW2" s="62"/>
      <c r="UEX2" s="62"/>
      <c r="UEY2" s="62"/>
      <c r="UEZ2" s="62"/>
      <c r="UFA2" s="62"/>
      <c r="UFB2" s="62"/>
      <c r="UFC2" s="62"/>
      <c r="UFD2" s="62"/>
      <c r="UFE2" s="62"/>
      <c r="UFF2" s="62"/>
      <c r="UFG2" s="62"/>
      <c r="UFH2" s="62"/>
      <c r="UFI2" s="62"/>
      <c r="UFJ2" s="62"/>
      <c r="UFK2" s="62"/>
      <c r="UFL2" s="62"/>
      <c r="UFM2" s="62"/>
      <c r="UFN2" s="62"/>
      <c r="UFO2" s="62"/>
      <c r="UFP2" s="62"/>
      <c r="UFQ2" s="62"/>
      <c r="UFR2" s="62"/>
      <c r="UFS2" s="62"/>
      <c r="UFT2" s="62"/>
      <c r="UFU2" s="62"/>
      <c r="UFV2" s="62"/>
      <c r="UFW2" s="62"/>
      <c r="UFX2" s="62"/>
      <c r="UFY2" s="62"/>
      <c r="UFZ2" s="62"/>
      <c r="UGA2" s="62"/>
      <c r="UGB2" s="62"/>
      <c r="UGC2" s="62"/>
      <c r="UGD2" s="62"/>
      <c r="UGE2" s="62"/>
      <c r="UGF2" s="62"/>
      <c r="UGG2" s="62"/>
      <c r="UGH2" s="62"/>
      <c r="UGI2" s="62"/>
      <c r="UGJ2" s="62"/>
      <c r="UGK2" s="62"/>
      <c r="UGL2" s="62"/>
      <c r="UGM2" s="62"/>
      <c r="UGN2" s="62"/>
      <c r="UGO2" s="62"/>
      <c r="UGP2" s="62"/>
      <c r="UGQ2" s="62"/>
      <c r="UGR2" s="62"/>
      <c r="UGS2" s="62"/>
      <c r="UGT2" s="62"/>
      <c r="UGU2" s="62"/>
      <c r="UGV2" s="62"/>
      <c r="UGW2" s="62"/>
      <c r="UGX2" s="62"/>
      <c r="UGY2" s="62"/>
      <c r="UGZ2" s="62"/>
      <c r="UHA2" s="62"/>
      <c r="UHB2" s="62"/>
      <c r="UHC2" s="62"/>
      <c r="UHD2" s="62"/>
      <c r="UHE2" s="62"/>
      <c r="UHF2" s="62"/>
      <c r="UHG2" s="62"/>
      <c r="UHH2" s="62"/>
      <c r="UHI2" s="62"/>
      <c r="UHJ2" s="62"/>
      <c r="UHK2" s="62"/>
      <c r="UHL2" s="62"/>
      <c r="UHM2" s="62"/>
      <c r="UHN2" s="62"/>
      <c r="UHO2" s="62"/>
      <c r="UHP2" s="62"/>
      <c r="UHQ2" s="62"/>
      <c r="UHR2" s="62"/>
      <c r="UHS2" s="62"/>
      <c r="UHT2" s="62"/>
      <c r="UHU2" s="62"/>
      <c r="UHV2" s="62"/>
      <c r="UHW2" s="62"/>
      <c r="UHX2" s="62"/>
      <c r="UHY2" s="62"/>
      <c r="UHZ2" s="62"/>
      <c r="UIA2" s="62"/>
      <c r="UIB2" s="62"/>
      <c r="UIC2" s="62"/>
      <c r="UID2" s="62"/>
      <c r="UIE2" s="62"/>
      <c r="UIF2" s="62"/>
      <c r="UIG2" s="62"/>
      <c r="UIH2" s="62"/>
      <c r="UII2" s="62"/>
      <c r="UIJ2" s="62"/>
      <c r="UIK2" s="62"/>
      <c r="UIL2" s="62"/>
      <c r="UIM2" s="62"/>
      <c r="UIN2" s="62"/>
      <c r="UIO2" s="62"/>
      <c r="UIP2" s="62"/>
      <c r="UIQ2" s="62"/>
      <c r="UIR2" s="62"/>
      <c r="UIS2" s="62"/>
      <c r="UIT2" s="62"/>
      <c r="UIU2" s="62"/>
      <c r="UIV2" s="62"/>
      <c r="UIW2" s="62"/>
      <c r="UIX2" s="62"/>
      <c r="UIY2" s="62"/>
      <c r="UIZ2" s="62"/>
      <c r="UJA2" s="62"/>
      <c r="UJB2" s="62"/>
      <c r="UJC2" s="62"/>
      <c r="UJD2" s="62"/>
      <c r="UJE2" s="62"/>
      <c r="UJF2" s="62"/>
      <c r="UJG2" s="62"/>
      <c r="UJH2" s="62"/>
      <c r="UJI2" s="62"/>
      <c r="UJJ2" s="62"/>
      <c r="UJK2" s="62"/>
      <c r="UJL2" s="62"/>
      <c r="UJM2" s="62"/>
      <c r="UJN2" s="62"/>
      <c r="UJO2" s="62"/>
      <c r="UJP2" s="62"/>
      <c r="UJQ2" s="62"/>
      <c r="UJR2" s="62"/>
      <c r="UJS2" s="62"/>
      <c r="UJT2" s="62"/>
      <c r="UJU2" s="62"/>
      <c r="UJV2" s="62"/>
      <c r="UJW2" s="62"/>
      <c r="UJX2" s="62"/>
      <c r="UJY2" s="62"/>
      <c r="UJZ2" s="62"/>
      <c r="UKA2" s="62"/>
      <c r="UKB2" s="62"/>
      <c r="UKC2" s="62"/>
      <c r="UKD2" s="62"/>
      <c r="UKE2" s="62"/>
      <c r="UKF2" s="62"/>
      <c r="UKG2" s="62"/>
      <c r="UKH2" s="62"/>
      <c r="UKI2" s="62"/>
      <c r="UKJ2" s="62"/>
      <c r="UKK2" s="62"/>
      <c r="UKL2" s="62"/>
      <c r="UKM2" s="62"/>
      <c r="UKN2" s="62"/>
      <c r="UKO2" s="62"/>
      <c r="UKP2" s="62"/>
      <c r="UKQ2" s="62"/>
      <c r="UKR2" s="62"/>
      <c r="UKS2" s="62"/>
      <c r="UKT2" s="62"/>
      <c r="UKU2" s="62"/>
      <c r="UKV2" s="62"/>
      <c r="UKW2" s="62"/>
      <c r="UKX2" s="62"/>
      <c r="UKY2" s="62"/>
      <c r="UKZ2" s="62"/>
      <c r="ULA2" s="62"/>
      <c r="ULB2" s="62"/>
      <c r="ULC2" s="62"/>
      <c r="ULD2" s="62"/>
      <c r="ULE2" s="62"/>
      <c r="ULF2" s="62"/>
      <c r="ULG2" s="62"/>
      <c r="ULH2" s="62"/>
      <c r="ULI2" s="62"/>
      <c r="ULJ2" s="62"/>
      <c r="ULK2" s="62"/>
      <c r="ULL2" s="62"/>
      <c r="ULM2" s="62"/>
      <c r="ULN2" s="62"/>
      <c r="ULO2" s="62"/>
      <c r="ULP2" s="62"/>
      <c r="ULQ2" s="62"/>
      <c r="ULR2" s="62"/>
      <c r="ULS2" s="62"/>
      <c r="ULT2" s="62"/>
      <c r="ULU2" s="62"/>
      <c r="ULV2" s="62"/>
      <c r="ULW2" s="62"/>
      <c r="ULX2" s="62"/>
      <c r="ULY2" s="62"/>
      <c r="ULZ2" s="62"/>
      <c r="UMA2" s="62"/>
      <c r="UMB2" s="62"/>
      <c r="UMC2" s="62"/>
      <c r="UMD2" s="62"/>
      <c r="UME2" s="62"/>
      <c r="UMF2" s="62"/>
      <c r="UMG2" s="62"/>
      <c r="UMH2" s="62"/>
      <c r="UMI2" s="62"/>
      <c r="UMJ2" s="62"/>
      <c r="UMK2" s="62"/>
      <c r="UML2" s="62"/>
      <c r="UMM2" s="62"/>
      <c r="UMN2" s="62"/>
      <c r="UMO2" s="62"/>
      <c r="UMP2" s="62"/>
      <c r="UMQ2" s="62"/>
      <c r="UMR2" s="62"/>
      <c r="UMS2" s="62"/>
      <c r="UMT2" s="62"/>
      <c r="UMU2" s="62"/>
      <c r="UMV2" s="62"/>
      <c r="UMW2" s="62"/>
      <c r="UMX2" s="62"/>
      <c r="UMY2" s="62"/>
      <c r="UMZ2" s="62"/>
      <c r="UNA2" s="62"/>
      <c r="UNB2" s="62"/>
      <c r="UNC2" s="62"/>
      <c r="UND2" s="62"/>
      <c r="UNE2" s="62"/>
      <c r="UNF2" s="62"/>
      <c r="UNG2" s="62"/>
      <c r="UNH2" s="62"/>
      <c r="UNI2" s="62"/>
      <c r="UNJ2" s="62"/>
      <c r="UNK2" s="62"/>
      <c r="UNL2" s="62"/>
      <c r="UNM2" s="62"/>
      <c r="UNN2" s="62"/>
      <c r="UNO2" s="62"/>
      <c r="UNP2" s="62"/>
      <c r="UNQ2" s="62"/>
      <c r="UNR2" s="62"/>
      <c r="UNS2" s="62"/>
      <c r="UNT2" s="62"/>
      <c r="UNU2" s="62"/>
      <c r="UNV2" s="62"/>
      <c r="UNW2" s="62"/>
      <c r="UNX2" s="62"/>
      <c r="UNY2" s="62"/>
      <c r="UNZ2" s="62"/>
      <c r="UOA2" s="62"/>
      <c r="UOB2" s="62"/>
      <c r="UOC2" s="62"/>
      <c r="UOD2" s="62"/>
      <c r="UOE2" s="62"/>
      <c r="UOF2" s="62"/>
      <c r="UOG2" s="62"/>
      <c r="UOH2" s="62"/>
      <c r="UOI2" s="62"/>
      <c r="UOJ2" s="62"/>
      <c r="UOK2" s="62"/>
      <c r="UOL2" s="62"/>
      <c r="UOM2" s="62"/>
      <c r="UON2" s="62"/>
      <c r="UOO2" s="62"/>
      <c r="UOP2" s="62"/>
      <c r="UOQ2" s="62"/>
      <c r="UOR2" s="62"/>
      <c r="UOS2" s="62"/>
      <c r="UOT2" s="62"/>
      <c r="UOU2" s="62"/>
      <c r="UOV2" s="62"/>
      <c r="UOW2" s="62"/>
      <c r="UOX2" s="62"/>
      <c r="UOY2" s="62"/>
      <c r="UOZ2" s="62"/>
      <c r="UPA2" s="62"/>
      <c r="UPB2" s="62"/>
      <c r="UPC2" s="62"/>
      <c r="UPD2" s="62"/>
      <c r="UPE2" s="62"/>
      <c r="UPF2" s="62"/>
      <c r="UPG2" s="62"/>
      <c r="UPH2" s="62"/>
      <c r="UPI2" s="62"/>
      <c r="UPJ2" s="62"/>
      <c r="UPK2" s="62"/>
      <c r="UPL2" s="62"/>
      <c r="UPM2" s="62"/>
      <c r="UPN2" s="62"/>
      <c r="UPO2" s="62"/>
      <c r="UPP2" s="62"/>
      <c r="UPQ2" s="62"/>
      <c r="UPR2" s="62"/>
      <c r="UPS2" s="62"/>
      <c r="UPT2" s="62"/>
      <c r="UPU2" s="62"/>
      <c r="UPV2" s="62"/>
      <c r="UPW2" s="62"/>
      <c r="UPX2" s="62"/>
      <c r="UPY2" s="62"/>
      <c r="UPZ2" s="62"/>
      <c r="UQA2" s="62"/>
      <c r="UQB2" s="62"/>
      <c r="UQC2" s="62"/>
      <c r="UQD2" s="62"/>
      <c r="UQE2" s="62"/>
      <c r="UQF2" s="62"/>
      <c r="UQG2" s="62"/>
      <c r="UQH2" s="62"/>
      <c r="UQI2" s="62"/>
      <c r="UQJ2" s="62"/>
      <c r="UQK2" s="62"/>
      <c r="UQL2" s="62"/>
      <c r="UQM2" s="62"/>
      <c r="UQN2" s="62"/>
      <c r="UQO2" s="62"/>
      <c r="UQP2" s="62"/>
      <c r="UQQ2" s="62"/>
      <c r="UQR2" s="62"/>
      <c r="UQS2" s="62"/>
      <c r="UQT2" s="62"/>
      <c r="UQU2" s="62"/>
      <c r="UQV2" s="62"/>
      <c r="UQW2" s="62"/>
      <c r="UQX2" s="62"/>
      <c r="UQY2" s="62"/>
      <c r="UQZ2" s="62"/>
      <c r="URA2" s="62"/>
      <c r="URB2" s="62"/>
      <c r="URC2" s="62"/>
      <c r="URD2" s="62"/>
      <c r="URE2" s="62"/>
      <c r="URF2" s="62"/>
      <c r="URG2" s="62"/>
      <c r="URH2" s="62"/>
      <c r="URI2" s="62"/>
      <c r="URJ2" s="62"/>
      <c r="URK2" s="62"/>
      <c r="URL2" s="62"/>
      <c r="URM2" s="62"/>
      <c r="URN2" s="62"/>
      <c r="URO2" s="62"/>
      <c r="URP2" s="62"/>
      <c r="URQ2" s="62"/>
      <c r="URR2" s="62"/>
      <c r="URS2" s="62"/>
      <c r="URT2" s="62"/>
      <c r="URU2" s="62"/>
      <c r="URV2" s="62"/>
      <c r="URW2" s="62"/>
      <c r="URX2" s="62"/>
      <c r="URY2" s="62"/>
      <c r="URZ2" s="62"/>
      <c r="USA2" s="62"/>
      <c r="USB2" s="62"/>
      <c r="USC2" s="62"/>
      <c r="USD2" s="62"/>
      <c r="USE2" s="62"/>
      <c r="USF2" s="62"/>
      <c r="USG2" s="62"/>
      <c r="USH2" s="62"/>
      <c r="USI2" s="62"/>
      <c r="USJ2" s="62"/>
      <c r="USK2" s="62"/>
      <c r="USL2" s="62"/>
      <c r="USM2" s="62"/>
      <c r="USN2" s="62"/>
      <c r="USO2" s="62"/>
      <c r="USP2" s="62"/>
      <c r="USQ2" s="62"/>
      <c r="USR2" s="62"/>
      <c r="USS2" s="62"/>
      <c r="UST2" s="62"/>
      <c r="USU2" s="62"/>
      <c r="USV2" s="62"/>
      <c r="USW2" s="62"/>
      <c r="USX2" s="62"/>
      <c r="USY2" s="62"/>
      <c r="USZ2" s="62"/>
      <c r="UTA2" s="62"/>
      <c r="UTB2" s="62"/>
      <c r="UTC2" s="62"/>
      <c r="UTD2" s="62"/>
      <c r="UTE2" s="62"/>
      <c r="UTF2" s="62"/>
      <c r="UTG2" s="62"/>
      <c r="UTH2" s="62"/>
      <c r="UTI2" s="62"/>
      <c r="UTJ2" s="62"/>
      <c r="UTK2" s="62"/>
      <c r="UTL2" s="62"/>
      <c r="UTM2" s="62"/>
      <c r="UTN2" s="62"/>
      <c r="UTO2" s="62"/>
      <c r="UTP2" s="62"/>
      <c r="UTQ2" s="62"/>
      <c r="UTR2" s="62"/>
      <c r="UTS2" s="62"/>
      <c r="UTT2" s="62"/>
      <c r="UTU2" s="62"/>
      <c r="UTV2" s="62"/>
      <c r="UTW2" s="62"/>
      <c r="UTX2" s="62"/>
      <c r="UTY2" s="62"/>
      <c r="UTZ2" s="62"/>
      <c r="UUA2" s="62"/>
      <c r="UUB2" s="62"/>
      <c r="UUC2" s="62"/>
      <c r="UUD2" s="62"/>
      <c r="UUE2" s="62"/>
      <c r="UUF2" s="62"/>
      <c r="UUG2" s="62"/>
      <c r="UUH2" s="62"/>
      <c r="UUI2" s="62"/>
      <c r="UUJ2" s="62"/>
      <c r="UUK2" s="62"/>
      <c r="UUL2" s="62"/>
      <c r="UUM2" s="62"/>
      <c r="UUN2" s="62"/>
      <c r="UUO2" s="62"/>
      <c r="UUP2" s="62"/>
      <c r="UUQ2" s="62"/>
      <c r="UUR2" s="62"/>
      <c r="UUS2" s="62"/>
      <c r="UUT2" s="62"/>
      <c r="UUU2" s="62"/>
      <c r="UUV2" s="62"/>
      <c r="UUW2" s="62"/>
      <c r="UUX2" s="62"/>
      <c r="UUY2" s="62"/>
      <c r="UUZ2" s="62"/>
      <c r="UVA2" s="62"/>
      <c r="UVB2" s="62"/>
      <c r="UVC2" s="62"/>
      <c r="UVD2" s="62"/>
      <c r="UVE2" s="62"/>
      <c r="UVF2" s="62"/>
      <c r="UVG2" s="62"/>
      <c r="UVH2" s="62"/>
      <c r="UVI2" s="62"/>
      <c r="UVJ2" s="62"/>
      <c r="UVK2" s="62"/>
      <c r="UVL2" s="62"/>
      <c r="UVM2" s="62"/>
      <c r="UVN2" s="62"/>
      <c r="UVO2" s="62"/>
      <c r="UVP2" s="62"/>
      <c r="UVQ2" s="62"/>
      <c r="UVR2" s="62"/>
      <c r="UVS2" s="62"/>
      <c r="UVT2" s="62"/>
      <c r="UVU2" s="62"/>
      <c r="UVV2" s="62"/>
      <c r="UVW2" s="62"/>
      <c r="UVX2" s="62"/>
      <c r="UVY2" s="62"/>
      <c r="UVZ2" s="62"/>
      <c r="UWA2" s="62"/>
      <c r="UWB2" s="62"/>
      <c r="UWC2" s="62"/>
      <c r="UWD2" s="62"/>
      <c r="UWE2" s="62"/>
      <c r="UWF2" s="62"/>
      <c r="UWG2" s="62"/>
      <c r="UWH2" s="62"/>
      <c r="UWI2" s="62"/>
      <c r="UWJ2" s="62"/>
      <c r="UWK2" s="62"/>
      <c r="UWL2" s="62"/>
      <c r="UWM2" s="62"/>
      <c r="UWN2" s="62"/>
      <c r="UWO2" s="62"/>
      <c r="UWP2" s="62"/>
      <c r="UWQ2" s="62"/>
      <c r="UWR2" s="62"/>
      <c r="UWS2" s="62"/>
      <c r="UWT2" s="62"/>
      <c r="UWU2" s="62"/>
      <c r="UWV2" s="62"/>
      <c r="UWW2" s="62"/>
      <c r="UWX2" s="62"/>
      <c r="UWY2" s="62"/>
      <c r="UWZ2" s="62"/>
      <c r="UXA2" s="62"/>
      <c r="UXB2" s="62"/>
      <c r="UXC2" s="62"/>
      <c r="UXD2" s="62"/>
      <c r="UXE2" s="62"/>
      <c r="UXF2" s="62"/>
      <c r="UXG2" s="62"/>
      <c r="UXH2" s="62"/>
      <c r="UXI2" s="62"/>
      <c r="UXJ2" s="62"/>
      <c r="UXK2" s="62"/>
      <c r="UXL2" s="62"/>
      <c r="UXM2" s="62"/>
      <c r="UXN2" s="62"/>
      <c r="UXO2" s="62"/>
      <c r="UXP2" s="62"/>
      <c r="UXQ2" s="62"/>
      <c r="UXR2" s="62"/>
      <c r="UXS2" s="62"/>
      <c r="UXT2" s="62"/>
      <c r="UXU2" s="62"/>
      <c r="UXV2" s="62"/>
      <c r="UXW2" s="62"/>
      <c r="UXX2" s="62"/>
      <c r="UXY2" s="62"/>
      <c r="UXZ2" s="62"/>
      <c r="UYA2" s="62"/>
      <c r="UYB2" s="62"/>
      <c r="UYC2" s="62"/>
      <c r="UYD2" s="62"/>
      <c r="UYE2" s="62"/>
      <c r="UYF2" s="62"/>
      <c r="UYG2" s="62"/>
      <c r="UYH2" s="62"/>
      <c r="UYI2" s="62"/>
      <c r="UYJ2" s="62"/>
      <c r="UYK2" s="62"/>
      <c r="UYL2" s="62"/>
      <c r="UYM2" s="62"/>
      <c r="UYN2" s="62"/>
      <c r="UYO2" s="62"/>
      <c r="UYP2" s="62"/>
      <c r="UYQ2" s="62"/>
      <c r="UYR2" s="62"/>
      <c r="UYS2" s="62"/>
      <c r="UYT2" s="62"/>
      <c r="UYU2" s="62"/>
      <c r="UYV2" s="62"/>
      <c r="UYW2" s="62"/>
      <c r="UYX2" s="62"/>
      <c r="UYY2" s="62"/>
      <c r="UYZ2" s="62"/>
      <c r="UZA2" s="62"/>
      <c r="UZB2" s="62"/>
      <c r="UZC2" s="62"/>
      <c r="UZD2" s="62"/>
      <c r="UZE2" s="62"/>
      <c r="UZF2" s="62"/>
      <c r="UZG2" s="62"/>
      <c r="UZH2" s="62"/>
      <c r="UZI2" s="62"/>
      <c r="UZJ2" s="62"/>
      <c r="UZK2" s="62"/>
      <c r="UZL2" s="62"/>
      <c r="UZM2" s="62"/>
      <c r="UZN2" s="62"/>
      <c r="UZO2" s="62"/>
      <c r="UZP2" s="62"/>
      <c r="UZQ2" s="62"/>
      <c r="UZR2" s="62"/>
      <c r="UZS2" s="62"/>
      <c r="UZT2" s="62"/>
      <c r="UZU2" s="62"/>
      <c r="UZV2" s="62"/>
      <c r="UZW2" s="62"/>
      <c r="UZX2" s="62"/>
      <c r="UZY2" s="62"/>
      <c r="UZZ2" s="62"/>
      <c r="VAA2" s="62"/>
      <c r="VAB2" s="62"/>
      <c r="VAC2" s="62"/>
      <c r="VAD2" s="62"/>
      <c r="VAE2" s="62"/>
      <c r="VAF2" s="62"/>
      <c r="VAG2" s="62"/>
      <c r="VAH2" s="62"/>
      <c r="VAI2" s="62"/>
      <c r="VAJ2" s="62"/>
      <c r="VAK2" s="62"/>
      <c r="VAL2" s="62"/>
      <c r="VAM2" s="62"/>
      <c r="VAN2" s="62"/>
      <c r="VAO2" s="62"/>
      <c r="VAP2" s="62"/>
      <c r="VAQ2" s="62"/>
      <c r="VAR2" s="62"/>
      <c r="VAS2" s="62"/>
      <c r="VAT2" s="62"/>
      <c r="VAU2" s="62"/>
      <c r="VAV2" s="62"/>
      <c r="VAW2" s="62"/>
      <c r="VAX2" s="62"/>
      <c r="VAY2" s="62"/>
      <c r="VAZ2" s="62"/>
      <c r="VBA2" s="62"/>
      <c r="VBB2" s="62"/>
      <c r="VBC2" s="62"/>
      <c r="VBD2" s="62"/>
      <c r="VBE2" s="62"/>
      <c r="VBF2" s="62"/>
      <c r="VBG2" s="62"/>
      <c r="VBH2" s="62"/>
      <c r="VBI2" s="62"/>
      <c r="VBJ2" s="62"/>
      <c r="VBK2" s="62"/>
      <c r="VBL2" s="62"/>
      <c r="VBM2" s="62"/>
      <c r="VBN2" s="62"/>
      <c r="VBO2" s="62"/>
      <c r="VBP2" s="62"/>
      <c r="VBQ2" s="62"/>
      <c r="VBR2" s="62"/>
      <c r="VBS2" s="62"/>
      <c r="VBT2" s="62"/>
      <c r="VBU2" s="62"/>
      <c r="VBV2" s="62"/>
      <c r="VBW2" s="62"/>
      <c r="VBX2" s="62"/>
      <c r="VBY2" s="62"/>
      <c r="VBZ2" s="62"/>
      <c r="VCA2" s="62"/>
      <c r="VCB2" s="62"/>
      <c r="VCC2" s="62"/>
      <c r="VCD2" s="62"/>
      <c r="VCE2" s="62"/>
      <c r="VCF2" s="62"/>
      <c r="VCG2" s="62"/>
      <c r="VCH2" s="62"/>
      <c r="VCI2" s="62"/>
      <c r="VCJ2" s="62"/>
      <c r="VCK2" s="62"/>
      <c r="VCL2" s="62"/>
      <c r="VCM2" s="62"/>
      <c r="VCN2" s="62"/>
      <c r="VCO2" s="62"/>
      <c r="VCP2" s="62"/>
      <c r="VCQ2" s="62"/>
      <c r="VCR2" s="62"/>
      <c r="VCS2" s="62"/>
      <c r="VCT2" s="62"/>
      <c r="VCU2" s="62"/>
      <c r="VCV2" s="62"/>
      <c r="VCW2" s="62"/>
      <c r="VCX2" s="62"/>
      <c r="VCY2" s="62"/>
      <c r="VCZ2" s="62"/>
      <c r="VDA2" s="62"/>
      <c r="VDB2" s="62"/>
      <c r="VDC2" s="62"/>
      <c r="VDD2" s="62"/>
      <c r="VDE2" s="62"/>
      <c r="VDF2" s="62"/>
      <c r="VDG2" s="62"/>
      <c r="VDH2" s="62"/>
      <c r="VDI2" s="62"/>
      <c r="VDJ2" s="62"/>
      <c r="VDK2" s="62"/>
      <c r="VDL2" s="62"/>
      <c r="VDM2" s="62"/>
      <c r="VDN2" s="62"/>
      <c r="VDO2" s="62"/>
      <c r="VDP2" s="62"/>
      <c r="VDQ2" s="62"/>
      <c r="VDR2" s="62"/>
      <c r="VDS2" s="62"/>
      <c r="VDT2" s="62"/>
      <c r="VDU2" s="62"/>
      <c r="VDV2" s="62"/>
      <c r="VDW2" s="62"/>
      <c r="VDX2" s="62"/>
      <c r="VDY2" s="62"/>
      <c r="VDZ2" s="62"/>
      <c r="VEA2" s="62"/>
      <c r="VEB2" s="62"/>
      <c r="VEC2" s="62"/>
      <c r="VED2" s="62"/>
      <c r="VEE2" s="62"/>
      <c r="VEF2" s="62"/>
      <c r="VEG2" s="62"/>
      <c r="VEH2" s="62"/>
      <c r="VEI2" s="62"/>
      <c r="VEJ2" s="62"/>
      <c r="VEK2" s="62"/>
      <c r="VEL2" s="62"/>
      <c r="VEM2" s="62"/>
      <c r="VEN2" s="62"/>
      <c r="VEO2" s="62"/>
      <c r="VEP2" s="62"/>
      <c r="VEQ2" s="62"/>
      <c r="VER2" s="62"/>
      <c r="VES2" s="62"/>
      <c r="VET2" s="62"/>
      <c r="VEU2" s="62"/>
      <c r="VEV2" s="62"/>
      <c r="VEW2" s="62"/>
      <c r="VEX2" s="62"/>
      <c r="VEY2" s="62"/>
      <c r="VEZ2" s="62"/>
      <c r="VFA2" s="62"/>
      <c r="VFB2" s="62"/>
      <c r="VFC2" s="62"/>
      <c r="VFD2" s="62"/>
      <c r="VFE2" s="62"/>
      <c r="VFF2" s="62"/>
      <c r="VFG2" s="62"/>
      <c r="VFH2" s="62"/>
      <c r="VFI2" s="62"/>
      <c r="VFJ2" s="62"/>
      <c r="VFK2" s="62"/>
      <c r="VFL2" s="62"/>
      <c r="VFM2" s="62"/>
      <c r="VFN2" s="62"/>
      <c r="VFO2" s="62"/>
      <c r="VFP2" s="62"/>
      <c r="VFQ2" s="62"/>
      <c r="VFR2" s="62"/>
      <c r="VFS2" s="62"/>
      <c r="VFT2" s="62"/>
      <c r="VFU2" s="62"/>
      <c r="VFV2" s="62"/>
      <c r="VFW2" s="62"/>
      <c r="VFX2" s="62"/>
      <c r="VFY2" s="62"/>
      <c r="VFZ2" s="62"/>
      <c r="VGA2" s="62"/>
      <c r="VGB2" s="62"/>
      <c r="VGC2" s="62"/>
      <c r="VGD2" s="62"/>
      <c r="VGE2" s="62"/>
      <c r="VGF2" s="62"/>
      <c r="VGG2" s="62"/>
      <c r="VGH2" s="62"/>
      <c r="VGI2" s="62"/>
      <c r="VGJ2" s="62"/>
      <c r="VGK2" s="62"/>
      <c r="VGL2" s="62"/>
      <c r="VGM2" s="62"/>
      <c r="VGN2" s="62"/>
      <c r="VGO2" s="62"/>
      <c r="VGP2" s="62"/>
      <c r="VGQ2" s="62"/>
      <c r="VGR2" s="62"/>
      <c r="VGS2" s="62"/>
      <c r="VGT2" s="62"/>
      <c r="VGU2" s="62"/>
      <c r="VGV2" s="62"/>
      <c r="VGW2" s="62"/>
      <c r="VGX2" s="62"/>
      <c r="VGY2" s="62"/>
      <c r="VGZ2" s="62"/>
      <c r="VHA2" s="62"/>
      <c r="VHB2" s="62"/>
      <c r="VHC2" s="62"/>
      <c r="VHD2" s="62"/>
      <c r="VHE2" s="62"/>
      <c r="VHF2" s="62"/>
      <c r="VHG2" s="62"/>
      <c r="VHH2" s="62"/>
      <c r="VHI2" s="62"/>
      <c r="VHJ2" s="62"/>
      <c r="VHK2" s="62"/>
      <c r="VHL2" s="62"/>
      <c r="VHM2" s="62"/>
      <c r="VHN2" s="62"/>
      <c r="VHO2" s="62"/>
      <c r="VHP2" s="62"/>
      <c r="VHQ2" s="62"/>
      <c r="VHR2" s="62"/>
      <c r="VHS2" s="62"/>
      <c r="VHT2" s="62"/>
      <c r="VHU2" s="62"/>
      <c r="VHV2" s="62"/>
      <c r="VHW2" s="62"/>
      <c r="VHX2" s="62"/>
      <c r="VHY2" s="62"/>
      <c r="VHZ2" s="62"/>
      <c r="VIA2" s="62"/>
      <c r="VIB2" s="62"/>
      <c r="VIC2" s="62"/>
      <c r="VID2" s="62"/>
      <c r="VIE2" s="62"/>
      <c r="VIF2" s="62"/>
      <c r="VIG2" s="62"/>
      <c r="VIH2" s="62"/>
      <c r="VII2" s="62"/>
      <c r="VIJ2" s="62"/>
      <c r="VIK2" s="62"/>
      <c r="VIL2" s="62"/>
      <c r="VIM2" s="62"/>
      <c r="VIN2" s="62"/>
      <c r="VIO2" s="62"/>
      <c r="VIP2" s="62"/>
      <c r="VIQ2" s="62"/>
      <c r="VIR2" s="62"/>
      <c r="VIS2" s="62"/>
      <c r="VIT2" s="62"/>
      <c r="VIU2" s="62"/>
      <c r="VIV2" s="62"/>
      <c r="VIW2" s="62"/>
      <c r="VIX2" s="62"/>
      <c r="VIY2" s="62"/>
      <c r="VIZ2" s="62"/>
      <c r="VJA2" s="62"/>
      <c r="VJB2" s="62"/>
      <c r="VJC2" s="62"/>
      <c r="VJD2" s="62"/>
      <c r="VJE2" s="62"/>
      <c r="VJF2" s="62"/>
      <c r="VJG2" s="62"/>
      <c r="VJH2" s="62"/>
      <c r="VJI2" s="62"/>
      <c r="VJJ2" s="62"/>
      <c r="VJK2" s="62"/>
      <c r="VJL2" s="62"/>
      <c r="VJM2" s="62"/>
      <c r="VJN2" s="62"/>
      <c r="VJO2" s="62"/>
      <c r="VJP2" s="62"/>
      <c r="VJQ2" s="62"/>
      <c r="VJR2" s="62"/>
      <c r="VJS2" s="62"/>
      <c r="VJT2" s="62"/>
      <c r="VJU2" s="62"/>
      <c r="VJV2" s="62"/>
      <c r="VJW2" s="62"/>
      <c r="VJX2" s="62"/>
      <c r="VJY2" s="62"/>
      <c r="VJZ2" s="62"/>
      <c r="VKA2" s="62"/>
      <c r="VKB2" s="62"/>
      <c r="VKC2" s="62"/>
      <c r="VKD2" s="62"/>
      <c r="VKE2" s="62"/>
      <c r="VKF2" s="62"/>
      <c r="VKG2" s="62"/>
      <c r="VKH2" s="62"/>
      <c r="VKI2" s="62"/>
      <c r="VKJ2" s="62"/>
      <c r="VKK2" s="62"/>
      <c r="VKL2" s="62"/>
      <c r="VKM2" s="62"/>
      <c r="VKN2" s="62"/>
      <c r="VKO2" s="62"/>
      <c r="VKP2" s="62"/>
      <c r="VKQ2" s="62"/>
      <c r="VKR2" s="62"/>
      <c r="VKS2" s="62"/>
      <c r="VKT2" s="62"/>
      <c r="VKU2" s="62"/>
      <c r="VKV2" s="62"/>
      <c r="VKW2" s="62"/>
      <c r="VKX2" s="62"/>
      <c r="VKY2" s="62"/>
      <c r="VKZ2" s="62"/>
      <c r="VLA2" s="62"/>
      <c r="VLB2" s="62"/>
      <c r="VLC2" s="62"/>
      <c r="VLD2" s="62"/>
      <c r="VLE2" s="62"/>
      <c r="VLF2" s="62"/>
      <c r="VLG2" s="62"/>
      <c r="VLH2" s="62"/>
      <c r="VLI2" s="62"/>
      <c r="VLJ2" s="62"/>
      <c r="VLK2" s="62"/>
      <c r="VLL2" s="62"/>
      <c r="VLM2" s="62"/>
      <c r="VLN2" s="62"/>
      <c r="VLO2" s="62"/>
      <c r="VLP2" s="62"/>
      <c r="VLQ2" s="62"/>
      <c r="VLR2" s="62"/>
      <c r="VLS2" s="62"/>
      <c r="VLT2" s="62"/>
      <c r="VLU2" s="62"/>
      <c r="VLV2" s="62"/>
      <c r="VLW2" s="62"/>
      <c r="VLX2" s="62"/>
      <c r="VLY2" s="62"/>
      <c r="VLZ2" s="62"/>
      <c r="VMA2" s="62"/>
      <c r="VMB2" s="62"/>
      <c r="VMC2" s="62"/>
      <c r="VMD2" s="62"/>
      <c r="VME2" s="62"/>
      <c r="VMF2" s="62"/>
      <c r="VMG2" s="62"/>
      <c r="VMH2" s="62"/>
      <c r="VMI2" s="62"/>
      <c r="VMJ2" s="62"/>
      <c r="VMK2" s="62"/>
      <c r="VML2" s="62"/>
      <c r="VMM2" s="62"/>
      <c r="VMN2" s="62"/>
      <c r="VMO2" s="62"/>
      <c r="VMP2" s="62"/>
      <c r="VMQ2" s="62"/>
      <c r="VMR2" s="62"/>
      <c r="VMS2" s="62"/>
      <c r="VMT2" s="62"/>
      <c r="VMU2" s="62"/>
      <c r="VMV2" s="62"/>
      <c r="VMW2" s="62"/>
      <c r="VMX2" s="62"/>
      <c r="VMY2" s="62"/>
      <c r="VMZ2" s="62"/>
      <c r="VNA2" s="62"/>
      <c r="VNB2" s="62"/>
      <c r="VNC2" s="62"/>
      <c r="VND2" s="62"/>
      <c r="VNE2" s="62"/>
      <c r="VNF2" s="62"/>
      <c r="VNG2" s="62"/>
      <c r="VNH2" s="62"/>
      <c r="VNI2" s="62"/>
      <c r="VNJ2" s="62"/>
      <c r="VNK2" s="62"/>
      <c r="VNL2" s="62"/>
      <c r="VNM2" s="62"/>
      <c r="VNN2" s="62"/>
      <c r="VNO2" s="62"/>
      <c r="VNP2" s="62"/>
      <c r="VNQ2" s="62"/>
      <c r="VNR2" s="62"/>
      <c r="VNS2" s="62"/>
      <c r="VNT2" s="62"/>
      <c r="VNU2" s="62"/>
      <c r="VNV2" s="62"/>
      <c r="VNW2" s="62"/>
      <c r="VNX2" s="62"/>
      <c r="VNY2" s="62"/>
      <c r="VNZ2" s="62"/>
      <c r="VOA2" s="62"/>
      <c r="VOB2" s="62"/>
      <c r="VOC2" s="62"/>
      <c r="VOD2" s="62"/>
      <c r="VOE2" s="62"/>
      <c r="VOF2" s="62"/>
      <c r="VOG2" s="62"/>
      <c r="VOH2" s="62"/>
      <c r="VOI2" s="62"/>
      <c r="VOJ2" s="62"/>
      <c r="VOK2" s="62"/>
      <c r="VOL2" s="62"/>
      <c r="VOM2" s="62"/>
      <c r="VON2" s="62"/>
      <c r="VOO2" s="62"/>
      <c r="VOP2" s="62"/>
      <c r="VOQ2" s="62"/>
      <c r="VOR2" s="62"/>
      <c r="VOS2" s="62"/>
      <c r="VOT2" s="62"/>
      <c r="VOU2" s="62"/>
      <c r="VOV2" s="62"/>
      <c r="VOW2" s="62"/>
      <c r="VOX2" s="62"/>
      <c r="VOY2" s="62"/>
      <c r="VOZ2" s="62"/>
      <c r="VPA2" s="62"/>
      <c r="VPB2" s="62"/>
      <c r="VPC2" s="62"/>
      <c r="VPD2" s="62"/>
      <c r="VPE2" s="62"/>
      <c r="VPF2" s="62"/>
      <c r="VPG2" s="62"/>
      <c r="VPH2" s="62"/>
      <c r="VPI2" s="62"/>
      <c r="VPJ2" s="62"/>
      <c r="VPK2" s="62"/>
      <c r="VPL2" s="62"/>
      <c r="VPM2" s="62"/>
      <c r="VPN2" s="62"/>
      <c r="VPO2" s="62"/>
      <c r="VPP2" s="62"/>
      <c r="VPQ2" s="62"/>
      <c r="VPR2" s="62"/>
      <c r="VPS2" s="62"/>
      <c r="VPT2" s="62"/>
      <c r="VPU2" s="62"/>
      <c r="VPV2" s="62"/>
      <c r="VPW2" s="62"/>
      <c r="VPX2" s="62"/>
      <c r="VPY2" s="62"/>
      <c r="VPZ2" s="62"/>
      <c r="VQA2" s="62"/>
      <c r="VQB2" s="62"/>
      <c r="VQC2" s="62"/>
      <c r="VQD2" s="62"/>
      <c r="VQE2" s="62"/>
      <c r="VQF2" s="62"/>
      <c r="VQG2" s="62"/>
      <c r="VQH2" s="62"/>
      <c r="VQI2" s="62"/>
      <c r="VQJ2" s="62"/>
      <c r="VQK2" s="62"/>
      <c r="VQL2" s="62"/>
      <c r="VQM2" s="62"/>
      <c r="VQN2" s="62"/>
      <c r="VQO2" s="62"/>
      <c r="VQP2" s="62"/>
      <c r="VQQ2" s="62"/>
      <c r="VQR2" s="62"/>
      <c r="VQS2" s="62"/>
      <c r="VQT2" s="62"/>
      <c r="VQU2" s="62"/>
      <c r="VQV2" s="62"/>
      <c r="VQW2" s="62"/>
      <c r="VQX2" s="62"/>
      <c r="VQY2" s="62"/>
      <c r="VQZ2" s="62"/>
      <c r="VRA2" s="62"/>
      <c r="VRB2" s="62"/>
      <c r="VRC2" s="62"/>
      <c r="VRD2" s="62"/>
      <c r="VRE2" s="62"/>
      <c r="VRF2" s="62"/>
      <c r="VRG2" s="62"/>
      <c r="VRH2" s="62"/>
      <c r="VRI2" s="62"/>
      <c r="VRJ2" s="62"/>
      <c r="VRK2" s="62"/>
      <c r="VRL2" s="62"/>
      <c r="VRM2" s="62"/>
      <c r="VRN2" s="62"/>
      <c r="VRO2" s="62"/>
      <c r="VRP2" s="62"/>
      <c r="VRQ2" s="62"/>
      <c r="VRR2" s="62"/>
      <c r="VRS2" s="62"/>
      <c r="VRT2" s="62"/>
      <c r="VRU2" s="62"/>
      <c r="VRV2" s="62"/>
      <c r="VRW2" s="62"/>
      <c r="VRX2" s="62"/>
      <c r="VRY2" s="62"/>
      <c r="VRZ2" s="62"/>
      <c r="VSA2" s="62"/>
      <c r="VSB2" s="62"/>
      <c r="VSC2" s="62"/>
      <c r="VSD2" s="62"/>
      <c r="VSE2" s="62"/>
      <c r="VSF2" s="62"/>
      <c r="VSG2" s="62"/>
      <c r="VSH2" s="62"/>
      <c r="VSI2" s="62"/>
      <c r="VSJ2" s="62"/>
      <c r="VSK2" s="62"/>
      <c r="VSL2" s="62"/>
      <c r="VSM2" s="62"/>
      <c r="VSN2" s="62"/>
      <c r="VSO2" s="62"/>
      <c r="VSP2" s="62"/>
      <c r="VSQ2" s="62"/>
      <c r="VSR2" s="62"/>
      <c r="VSS2" s="62"/>
      <c r="VST2" s="62"/>
      <c r="VSU2" s="62"/>
      <c r="VSV2" s="62"/>
      <c r="VSW2" s="62"/>
      <c r="VSX2" s="62"/>
      <c r="VSY2" s="62"/>
      <c r="VSZ2" s="62"/>
      <c r="VTA2" s="62"/>
      <c r="VTB2" s="62"/>
      <c r="VTC2" s="62"/>
      <c r="VTD2" s="62"/>
      <c r="VTE2" s="62"/>
      <c r="VTF2" s="62"/>
      <c r="VTG2" s="62"/>
      <c r="VTH2" s="62"/>
      <c r="VTI2" s="62"/>
      <c r="VTJ2" s="62"/>
      <c r="VTK2" s="62"/>
      <c r="VTL2" s="62"/>
      <c r="VTM2" s="62"/>
      <c r="VTN2" s="62"/>
      <c r="VTO2" s="62"/>
      <c r="VTP2" s="62"/>
      <c r="VTQ2" s="62"/>
      <c r="VTR2" s="62"/>
      <c r="VTS2" s="62"/>
      <c r="VTT2" s="62"/>
      <c r="VTU2" s="62"/>
      <c r="VTV2" s="62"/>
      <c r="VTW2" s="62"/>
      <c r="VTX2" s="62"/>
      <c r="VTY2" s="62"/>
      <c r="VTZ2" s="62"/>
      <c r="VUA2" s="62"/>
      <c r="VUB2" s="62"/>
      <c r="VUC2" s="62"/>
      <c r="VUD2" s="62"/>
      <c r="VUE2" s="62"/>
      <c r="VUF2" s="62"/>
      <c r="VUG2" s="62"/>
      <c r="VUH2" s="62"/>
      <c r="VUI2" s="62"/>
      <c r="VUJ2" s="62"/>
      <c r="VUK2" s="62"/>
      <c r="VUL2" s="62"/>
      <c r="VUM2" s="62"/>
      <c r="VUN2" s="62"/>
      <c r="VUO2" s="62"/>
      <c r="VUP2" s="62"/>
      <c r="VUQ2" s="62"/>
      <c r="VUR2" s="62"/>
      <c r="VUS2" s="62"/>
      <c r="VUT2" s="62"/>
      <c r="VUU2" s="62"/>
      <c r="VUV2" s="62"/>
      <c r="VUW2" s="62"/>
      <c r="VUX2" s="62"/>
      <c r="VUY2" s="62"/>
      <c r="VUZ2" s="62"/>
      <c r="VVA2" s="62"/>
      <c r="VVB2" s="62"/>
      <c r="VVC2" s="62"/>
      <c r="VVD2" s="62"/>
      <c r="VVE2" s="62"/>
      <c r="VVF2" s="62"/>
      <c r="VVG2" s="62"/>
      <c r="VVH2" s="62"/>
      <c r="VVI2" s="62"/>
      <c r="VVJ2" s="62"/>
      <c r="VVK2" s="62"/>
      <c r="VVL2" s="62"/>
      <c r="VVM2" s="62"/>
      <c r="VVN2" s="62"/>
      <c r="VVO2" s="62"/>
      <c r="VVP2" s="62"/>
      <c r="VVQ2" s="62"/>
      <c r="VVR2" s="62"/>
      <c r="VVS2" s="62"/>
      <c r="VVT2" s="62"/>
      <c r="VVU2" s="62"/>
      <c r="VVV2" s="62"/>
      <c r="VVW2" s="62"/>
      <c r="VVX2" s="62"/>
      <c r="VVY2" s="62"/>
      <c r="VVZ2" s="62"/>
      <c r="VWA2" s="62"/>
      <c r="VWB2" s="62"/>
      <c r="VWC2" s="62"/>
      <c r="VWD2" s="62"/>
      <c r="VWE2" s="62"/>
      <c r="VWF2" s="62"/>
      <c r="VWG2" s="62"/>
      <c r="VWH2" s="62"/>
      <c r="VWI2" s="62"/>
      <c r="VWJ2" s="62"/>
      <c r="VWK2" s="62"/>
      <c r="VWL2" s="62"/>
      <c r="VWM2" s="62"/>
      <c r="VWN2" s="62"/>
      <c r="VWO2" s="62"/>
      <c r="VWP2" s="62"/>
      <c r="VWQ2" s="62"/>
      <c r="VWR2" s="62"/>
      <c r="VWS2" s="62"/>
      <c r="VWT2" s="62"/>
      <c r="VWU2" s="62"/>
      <c r="VWV2" s="62"/>
      <c r="VWW2" s="62"/>
      <c r="VWX2" s="62"/>
      <c r="VWY2" s="62"/>
      <c r="VWZ2" s="62"/>
      <c r="VXA2" s="62"/>
      <c r="VXB2" s="62"/>
      <c r="VXC2" s="62"/>
      <c r="VXD2" s="62"/>
      <c r="VXE2" s="62"/>
      <c r="VXF2" s="62"/>
      <c r="VXG2" s="62"/>
      <c r="VXH2" s="62"/>
      <c r="VXI2" s="62"/>
      <c r="VXJ2" s="62"/>
      <c r="VXK2" s="62"/>
      <c r="VXL2" s="62"/>
      <c r="VXM2" s="62"/>
      <c r="VXN2" s="62"/>
      <c r="VXO2" s="62"/>
      <c r="VXP2" s="62"/>
      <c r="VXQ2" s="62"/>
      <c r="VXR2" s="62"/>
      <c r="VXS2" s="62"/>
      <c r="VXT2" s="62"/>
      <c r="VXU2" s="62"/>
      <c r="VXV2" s="62"/>
      <c r="VXW2" s="62"/>
      <c r="VXX2" s="62"/>
      <c r="VXY2" s="62"/>
      <c r="VXZ2" s="62"/>
      <c r="VYA2" s="62"/>
      <c r="VYB2" s="62"/>
      <c r="VYC2" s="62"/>
      <c r="VYD2" s="62"/>
      <c r="VYE2" s="62"/>
      <c r="VYF2" s="62"/>
      <c r="VYG2" s="62"/>
      <c r="VYH2" s="62"/>
      <c r="VYI2" s="62"/>
      <c r="VYJ2" s="62"/>
      <c r="VYK2" s="62"/>
      <c r="VYL2" s="62"/>
      <c r="VYM2" s="62"/>
      <c r="VYN2" s="62"/>
      <c r="VYO2" s="62"/>
      <c r="VYP2" s="62"/>
      <c r="VYQ2" s="62"/>
      <c r="VYR2" s="62"/>
      <c r="VYS2" s="62"/>
      <c r="VYT2" s="62"/>
      <c r="VYU2" s="62"/>
      <c r="VYV2" s="62"/>
      <c r="VYW2" s="62"/>
      <c r="VYX2" s="62"/>
      <c r="VYY2" s="62"/>
      <c r="VYZ2" s="62"/>
      <c r="VZA2" s="62"/>
      <c r="VZB2" s="62"/>
      <c r="VZC2" s="62"/>
      <c r="VZD2" s="62"/>
      <c r="VZE2" s="62"/>
      <c r="VZF2" s="62"/>
      <c r="VZG2" s="62"/>
      <c r="VZH2" s="62"/>
      <c r="VZI2" s="62"/>
      <c r="VZJ2" s="62"/>
      <c r="VZK2" s="62"/>
      <c r="VZL2" s="62"/>
      <c r="VZM2" s="62"/>
      <c r="VZN2" s="62"/>
      <c r="VZO2" s="62"/>
      <c r="VZP2" s="62"/>
      <c r="VZQ2" s="62"/>
      <c r="VZR2" s="62"/>
      <c r="VZS2" s="62"/>
      <c r="VZT2" s="62"/>
      <c r="VZU2" s="62"/>
      <c r="VZV2" s="62"/>
      <c r="VZW2" s="62"/>
      <c r="VZX2" s="62"/>
      <c r="VZY2" s="62"/>
      <c r="VZZ2" s="62"/>
      <c r="WAA2" s="62"/>
      <c r="WAB2" s="62"/>
      <c r="WAC2" s="62"/>
      <c r="WAD2" s="62"/>
      <c r="WAE2" s="62"/>
      <c r="WAF2" s="62"/>
      <c r="WAG2" s="62"/>
      <c r="WAH2" s="62"/>
      <c r="WAI2" s="62"/>
      <c r="WAJ2" s="62"/>
      <c r="WAK2" s="62"/>
      <c r="WAL2" s="62"/>
      <c r="WAM2" s="62"/>
      <c r="WAN2" s="62"/>
      <c r="WAO2" s="62"/>
      <c r="WAP2" s="62"/>
      <c r="WAQ2" s="62"/>
      <c r="WAR2" s="62"/>
      <c r="WAS2" s="62"/>
      <c r="WAT2" s="62"/>
      <c r="WAU2" s="62"/>
      <c r="WAV2" s="62"/>
      <c r="WAW2" s="62"/>
      <c r="WAX2" s="62"/>
      <c r="WAY2" s="62"/>
      <c r="WAZ2" s="62"/>
      <c r="WBA2" s="62"/>
      <c r="WBB2" s="62"/>
      <c r="WBC2" s="62"/>
      <c r="WBD2" s="62"/>
      <c r="WBE2" s="62"/>
      <c r="WBF2" s="62"/>
      <c r="WBG2" s="62"/>
      <c r="WBH2" s="62"/>
      <c r="WBI2" s="62"/>
      <c r="WBJ2" s="62"/>
      <c r="WBK2" s="62"/>
      <c r="WBL2" s="62"/>
      <c r="WBM2" s="62"/>
      <c r="WBN2" s="62"/>
      <c r="WBO2" s="62"/>
      <c r="WBP2" s="62"/>
      <c r="WBQ2" s="62"/>
      <c r="WBR2" s="62"/>
      <c r="WBS2" s="62"/>
      <c r="WBT2" s="62"/>
      <c r="WBU2" s="62"/>
      <c r="WBV2" s="62"/>
      <c r="WBW2" s="62"/>
      <c r="WBX2" s="62"/>
      <c r="WBY2" s="62"/>
      <c r="WBZ2" s="62"/>
      <c r="WCA2" s="62"/>
      <c r="WCB2" s="62"/>
      <c r="WCC2" s="62"/>
      <c r="WCD2" s="62"/>
      <c r="WCE2" s="62"/>
      <c r="WCF2" s="62"/>
      <c r="WCG2" s="62"/>
      <c r="WCH2" s="62"/>
      <c r="WCI2" s="62"/>
      <c r="WCJ2" s="62"/>
      <c r="WCK2" s="62"/>
      <c r="WCL2" s="62"/>
      <c r="WCM2" s="62"/>
      <c r="WCN2" s="62"/>
      <c r="WCO2" s="62"/>
      <c r="WCP2" s="62"/>
      <c r="WCQ2" s="62"/>
      <c r="WCR2" s="62"/>
      <c r="WCS2" s="62"/>
      <c r="WCT2" s="62"/>
      <c r="WCU2" s="62"/>
      <c r="WCV2" s="62"/>
      <c r="WCW2" s="62"/>
      <c r="WCX2" s="62"/>
      <c r="WCY2" s="62"/>
      <c r="WCZ2" s="62"/>
      <c r="WDA2" s="62"/>
      <c r="WDB2" s="62"/>
      <c r="WDC2" s="62"/>
      <c r="WDD2" s="62"/>
      <c r="WDE2" s="62"/>
      <c r="WDF2" s="62"/>
      <c r="WDG2" s="62"/>
      <c r="WDH2" s="62"/>
      <c r="WDI2" s="62"/>
      <c r="WDJ2" s="62"/>
      <c r="WDK2" s="62"/>
      <c r="WDL2" s="62"/>
      <c r="WDM2" s="62"/>
      <c r="WDN2" s="62"/>
      <c r="WDO2" s="62"/>
      <c r="WDP2" s="62"/>
      <c r="WDQ2" s="62"/>
      <c r="WDR2" s="62"/>
      <c r="WDS2" s="62"/>
      <c r="WDT2" s="62"/>
      <c r="WDU2" s="62"/>
      <c r="WDV2" s="62"/>
      <c r="WDW2" s="62"/>
      <c r="WDX2" s="62"/>
      <c r="WDY2" s="62"/>
      <c r="WDZ2" s="62"/>
      <c r="WEA2" s="62"/>
      <c r="WEB2" s="62"/>
      <c r="WEC2" s="62"/>
      <c r="WED2" s="62"/>
      <c r="WEE2" s="62"/>
      <c r="WEF2" s="62"/>
      <c r="WEG2" s="62"/>
      <c r="WEH2" s="62"/>
      <c r="WEI2" s="62"/>
      <c r="WEJ2" s="62"/>
      <c r="WEK2" s="62"/>
      <c r="WEL2" s="62"/>
      <c r="WEM2" s="62"/>
      <c r="WEN2" s="62"/>
      <c r="WEO2" s="62"/>
      <c r="WEP2" s="62"/>
      <c r="WEQ2" s="62"/>
      <c r="WER2" s="62"/>
      <c r="WES2" s="62"/>
      <c r="WET2" s="62"/>
      <c r="WEU2" s="62"/>
      <c r="WEV2" s="62"/>
      <c r="WEW2" s="62"/>
      <c r="WEX2" s="62"/>
      <c r="WEY2" s="62"/>
      <c r="WEZ2" s="62"/>
      <c r="WFA2" s="62"/>
      <c r="WFB2" s="62"/>
      <c r="WFC2" s="62"/>
      <c r="WFD2" s="62"/>
      <c r="WFE2" s="62"/>
      <c r="WFF2" s="62"/>
      <c r="WFG2" s="62"/>
      <c r="WFH2" s="62"/>
      <c r="WFI2" s="62"/>
      <c r="WFJ2" s="62"/>
      <c r="WFK2" s="62"/>
      <c r="WFL2" s="62"/>
      <c r="WFM2" s="62"/>
      <c r="WFN2" s="62"/>
      <c r="WFO2" s="62"/>
      <c r="WFP2" s="62"/>
      <c r="WFQ2" s="62"/>
      <c r="WFR2" s="62"/>
      <c r="WFS2" s="62"/>
      <c r="WFT2" s="62"/>
      <c r="WFU2" s="62"/>
      <c r="WFV2" s="62"/>
      <c r="WFW2" s="62"/>
      <c r="WFX2" s="62"/>
      <c r="WFY2" s="62"/>
      <c r="WFZ2" s="62"/>
      <c r="WGA2" s="62"/>
      <c r="WGB2" s="62"/>
      <c r="WGC2" s="62"/>
      <c r="WGD2" s="62"/>
      <c r="WGE2" s="62"/>
      <c r="WGF2" s="62"/>
      <c r="WGG2" s="62"/>
      <c r="WGH2" s="62"/>
      <c r="WGI2" s="62"/>
      <c r="WGJ2" s="62"/>
      <c r="WGK2" s="62"/>
      <c r="WGL2" s="62"/>
      <c r="WGM2" s="62"/>
      <c r="WGN2" s="62"/>
      <c r="WGO2" s="62"/>
      <c r="WGP2" s="62"/>
      <c r="WGQ2" s="62"/>
      <c r="WGR2" s="62"/>
      <c r="WGS2" s="62"/>
      <c r="WGT2" s="62"/>
      <c r="WGU2" s="62"/>
      <c r="WGV2" s="62"/>
      <c r="WGW2" s="62"/>
      <c r="WGX2" s="62"/>
      <c r="WGY2" s="62"/>
      <c r="WGZ2" s="62"/>
      <c r="WHA2" s="62"/>
      <c r="WHB2" s="62"/>
      <c r="WHC2" s="62"/>
      <c r="WHD2" s="62"/>
      <c r="WHE2" s="62"/>
      <c r="WHF2" s="62"/>
      <c r="WHG2" s="62"/>
      <c r="WHH2" s="62"/>
      <c r="WHI2" s="62"/>
      <c r="WHJ2" s="62"/>
      <c r="WHK2" s="62"/>
      <c r="WHL2" s="62"/>
      <c r="WHM2" s="62"/>
      <c r="WHN2" s="62"/>
      <c r="WHO2" s="62"/>
      <c r="WHP2" s="62"/>
      <c r="WHQ2" s="62"/>
      <c r="WHR2" s="62"/>
      <c r="WHS2" s="62"/>
      <c r="WHT2" s="62"/>
      <c r="WHU2" s="62"/>
      <c r="WHV2" s="62"/>
      <c r="WHW2" s="62"/>
      <c r="WHX2" s="62"/>
      <c r="WHY2" s="62"/>
      <c r="WHZ2" s="62"/>
      <c r="WIA2" s="62"/>
      <c r="WIB2" s="62"/>
      <c r="WIC2" s="62"/>
      <c r="WID2" s="62"/>
      <c r="WIE2" s="62"/>
      <c r="WIF2" s="62"/>
      <c r="WIG2" s="62"/>
      <c r="WIH2" s="62"/>
      <c r="WII2" s="62"/>
      <c r="WIJ2" s="62"/>
      <c r="WIK2" s="62"/>
      <c r="WIL2" s="62"/>
      <c r="WIM2" s="62"/>
      <c r="WIN2" s="62"/>
      <c r="WIO2" s="62"/>
      <c r="WIP2" s="62"/>
      <c r="WIQ2" s="62"/>
      <c r="WIR2" s="62"/>
      <c r="WIS2" s="62"/>
      <c r="WIT2" s="62"/>
      <c r="WIU2" s="62"/>
      <c r="WIV2" s="62"/>
      <c r="WIW2" s="62"/>
      <c r="WIX2" s="62"/>
      <c r="WIY2" s="62"/>
      <c r="WIZ2" s="62"/>
      <c r="WJA2" s="62"/>
      <c r="WJB2" s="62"/>
      <c r="WJC2" s="62"/>
      <c r="WJD2" s="62"/>
      <c r="WJE2" s="62"/>
      <c r="WJF2" s="62"/>
      <c r="WJG2" s="62"/>
      <c r="WJH2" s="62"/>
      <c r="WJI2" s="62"/>
      <c r="WJJ2" s="62"/>
      <c r="WJK2" s="62"/>
      <c r="WJL2" s="62"/>
      <c r="WJM2" s="62"/>
      <c r="WJN2" s="62"/>
      <c r="WJO2" s="62"/>
      <c r="WJP2" s="62"/>
      <c r="WJQ2" s="62"/>
      <c r="WJR2" s="62"/>
      <c r="WJS2" s="62"/>
      <c r="WJT2" s="62"/>
      <c r="WJU2" s="62"/>
      <c r="WJV2" s="62"/>
      <c r="WJW2" s="62"/>
      <c r="WJX2" s="62"/>
      <c r="WJY2" s="62"/>
      <c r="WJZ2" s="62"/>
      <c r="WKA2" s="62"/>
      <c r="WKB2" s="62"/>
      <c r="WKC2" s="62"/>
      <c r="WKD2" s="62"/>
      <c r="WKE2" s="62"/>
      <c r="WKF2" s="62"/>
      <c r="WKG2" s="62"/>
      <c r="WKH2" s="62"/>
      <c r="WKI2" s="62"/>
      <c r="WKJ2" s="62"/>
      <c r="WKK2" s="62"/>
      <c r="WKL2" s="62"/>
      <c r="WKM2" s="62"/>
      <c r="WKN2" s="62"/>
      <c r="WKO2" s="62"/>
      <c r="WKP2" s="62"/>
      <c r="WKQ2" s="62"/>
      <c r="WKR2" s="62"/>
      <c r="WKS2" s="62"/>
      <c r="WKT2" s="62"/>
      <c r="WKU2" s="62"/>
      <c r="WKV2" s="62"/>
      <c r="WKW2" s="62"/>
      <c r="WKX2" s="62"/>
      <c r="WKY2" s="62"/>
      <c r="WKZ2" s="62"/>
      <c r="WLA2" s="62"/>
      <c r="WLB2" s="62"/>
      <c r="WLC2" s="62"/>
      <c r="WLD2" s="62"/>
      <c r="WLE2" s="62"/>
      <c r="WLF2" s="62"/>
      <c r="WLG2" s="62"/>
      <c r="WLH2" s="62"/>
      <c r="WLI2" s="62"/>
      <c r="WLJ2" s="62"/>
      <c r="WLK2" s="62"/>
      <c r="WLL2" s="62"/>
      <c r="WLM2" s="62"/>
      <c r="WLN2" s="62"/>
      <c r="WLO2" s="62"/>
      <c r="WLP2" s="62"/>
      <c r="WLQ2" s="62"/>
      <c r="WLR2" s="62"/>
      <c r="WLS2" s="62"/>
      <c r="WLT2" s="62"/>
      <c r="WLU2" s="62"/>
      <c r="WLV2" s="62"/>
      <c r="WLW2" s="62"/>
      <c r="WLX2" s="62"/>
      <c r="WLY2" s="62"/>
      <c r="WLZ2" s="62"/>
      <c r="WMA2" s="62"/>
      <c r="WMB2" s="62"/>
      <c r="WMC2" s="62"/>
      <c r="WMD2" s="62"/>
      <c r="WME2" s="62"/>
      <c r="WMF2" s="62"/>
      <c r="WMG2" s="62"/>
      <c r="WMH2" s="62"/>
      <c r="WMI2" s="62"/>
      <c r="WMJ2" s="62"/>
      <c r="WMK2" s="62"/>
      <c r="WML2" s="62"/>
      <c r="WMM2" s="62"/>
      <c r="WMN2" s="62"/>
      <c r="WMO2" s="62"/>
      <c r="WMP2" s="62"/>
      <c r="WMQ2" s="62"/>
      <c r="WMR2" s="62"/>
      <c r="WMS2" s="62"/>
      <c r="WMT2" s="62"/>
      <c r="WMU2" s="62"/>
      <c r="WMV2" s="62"/>
      <c r="WMW2" s="62"/>
      <c r="WMX2" s="62"/>
      <c r="WMY2" s="62"/>
      <c r="WMZ2" s="62"/>
      <c r="WNA2" s="62"/>
      <c r="WNB2" s="62"/>
      <c r="WNC2" s="62"/>
      <c r="WND2" s="62"/>
      <c r="WNE2" s="62"/>
      <c r="WNF2" s="62"/>
      <c r="WNG2" s="62"/>
      <c r="WNH2" s="62"/>
      <c r="WNI2" s="62"/>
      <c r="WNJ2" s="62"/>
      <c r="WNK2" s="62"/>
      <c r="WNL2" s="62"/>
      <c r="WNM2" s="62"/>
      <c r="WNN2" s="62"/>
      <c r="WNO2" s="62"/>
      <c r="WNP2" s="62"/>
      <c r="WNQ2" s="62"/>
      <c r="WNR2" s="62"/>
      <c r="WNS2" s="62"/>
      <c r="WNT2" s="62"/>
      <c r="WNU2" s="62"/>
      <c r="WNV2" s="62"/>
      <c r="WNW2" s="62"/>
      <c r="WNX2" s="62"/>
      <c r="WNY2" s="62"/>
      <c r="WNZ2" s="62"/>
      <c r="WOA2" s="62"/>
      <c r="WOB2" s="62"/>
      <c r="WOC2" s="62"/>
      <c r="WOD2" s="62"/>
      <c r="WOE2" s="62"/>
      <c r="WOF2" s="62"/>
      <c r="WOG2" s="62"/>
      <c r="WOH2" s="62"/>
      <c r="WOI2" s="62"/>
      <c r="WOJ2" s="62"/>
      <c r="WOK2" s="62"/>
      <c r="WOL2" s="62"/>
      <c r="WOM2" s="62"/>
      <c r="WON2" s="62"/>
      <c r="WOO2" s="62"/>
      <c r="WOP2" s="62"/>
      <c r="WOQ2" s="62"/>
      <c r="WOR2" s="62"/>
      <c r="WOS2" s="62"/>
      <c r="WOT2" s="62"/>
      <c r="WOU2" s="62"/>
      <c r="WOV2" s="62"/>
      <c r="WOW2" s="62"/>
      <c r="WOX2" s="62"/>
      <c r="WOY2" s="62"/>
      <c r="WOZ2" s="62"/>
      <c r="WPA2" s="62"/>
      <c r="WPB2" s="62"/>
      <c r="WPC2" s="62"/>
      <c r="WPD2" s="62"/>
      <c r="WPE2" s="62"/>
      <c r="WPF2" s="62"/>
      <c r="WPG2" s="62"/>
      <c r="WPH2" s="62"/>
      <c r="WPI2" s="62"/>
      <c r="WPJ2" s="62"/>
      <c r="WPK2" s="62"/>
      <c r="WPL2" s="62"/>
      <c r="WPM2" s="62"/>
      <c r="WPN2" s="62"/>
      <c r="WPO2" s="62"/>
      <c r="WPP2" s="62"/>
      <c r="WPQ2" s="62"/>
      <c r="WPR2" s="62"/>
      <c r="WPS2" s="62"/>
      <c r="WPT2" s="62"/>
      <c r="WPU2" s="62"/>
      <c r="WPV2" s="62"/>
      <c r="WPW2" s="62"/>
      <c r="WPX2" s="62"/>
      <c r="WPY2" s="62"/>
      <c r="WPZ2" s="62"/>
      <c r="WQA2" s="62"/>
      <c r="WQB2" s="62"/>
      <c r="WQC2" s="62"/>
      <c r="WQD2" s="62"/>
      <c r="WQE2" s="62"/>
      <c r="WQF2" s="62"/>
      <c r="WQG2" s="62"/>
      <c r="WQH2" s="62"/>
      <c r="WQI2" s="62"/>
      <c r="WQJ2" s="62"/>
      <c r="WQK2" s="62"/>
      <c r="WQL2" s="62"/>
      <c r="WQM2" s="62"/>
      <c r="WQN2" s="62"/>
      <c r="WQO2" s="62"/>
      <c r="WQP2" s="62"/>
      <c r="WQQ2" s="62"/>
      <c r="WQR2" s="62"/>
      <c r="WQS2" s="62"/>
      <c r="WQT2" s="62"/>
      <c r="WQU2" s="62"/>
      <c r="WQV2" s="62"/>
      <c r="WQW2" s="62"/>
      <c r="WQX2" s="62"/>
      <c r="WQY2" s="62"/>
      <c r="WQZ2" s="62"/>
      <c r="WRA2" s="62"/>
      <c r="WRB2" s="62"/>
      <c r="WRC2" s="62"/>
      <c r="WRD2" s="62"/>
      <c r="WRE2" s="62"/>
      <c r="WRF2" s="62"/>
      <c r="WRG2" s="62"/>
      <c r="WRH2" s="62"/>
      <c r="WRI2" s="62"/>
      <c r="WRJ2" s="62"/>
      <c r="WRK2" s="62"/>
      <c r="WRL2" s="62"/>
      <c r="WRM2" s="62"/>
      <c r="WRN2" s="62"/>
      <c r="WRO2" s="62"/>
      <c r="WRP2" s="62"/>
      <c r="WRQ2" s="62"/>
      <c r="WRR2" s="62"/>
      <c r="WRS2" s="62"/>
      <c r="WRT2" s="62"/>
      <c r="WRU2" s="62"/>
      <c r="WRV2" s="62"/>
      <c r="WRW2" s="62"/>
      <c r="WRX2" s="62"/>
      <c r="WRY2" s="62"/>
      <c r="WRZ2" s="62"/>
      <c r="WSA2" s="62"/>
      <c r="WSB2" s="62"/>
      <c r="WSC2" s="62"/>
      <c r="WSD2" s="62"/>
      <c r="WSE2" s="62"/>
      <c r="WSF2" s="62"/>
      <c r="WSG2" s="62"/>
      <c r="WSH2" s="62"/>
      <c r="WSI2" s="62"/>
      <c r="WSJ2" s="62"/>
      <c r="WSK2" s="62"/>
      <c r="WSL2" s="62"/>
      <c r="WSM2" s="62"/>
      <c r="WSN2" s="62"/>
      <c r="WSO2" s="62"/>
      <c r="WSP2" s="62"/>
      <c r="WSQ2" s="62"/>
      <c r="WSR2" s="62"/>
      <c r="WSS2" s="62"/>
      <c r="WST2" s="62"/>
      <c r="WSU2" s="62"/>
      <c r="WSV2" s="62"/>
      <c r="WSW2" s="62"/>
      <c r="WSX2" s="62"/>
      <c r="WSY2" s="62"/>
      <c r="WSZ2" s="62"/>
      <c r="WTA2" s="62"/>
      <c r="WTB2" s="62"/>
      <c r="WTC2" s="62"/>
      <c r="WTD2" s="62"/>
      <c r="WTE2" s="62"/>
      <c r="WTF2" s="62"/>
      <c r="WTG2" s="62"/>
      <c r="WTH2" s="62"/>
      <c r="WTI2" s="62"/>
      <c r="WTJ2" s="62"/>
      <c r="WTK2" s="62"/>
      <c r="WTL2" s="62"/>
      <c r="WTM2" s="62"/>
      <c r="WTN2" s="62"/>
      <c r="WTO2" s="62"/>
      <c r="WTP2" s="62"/>
      <c r="WTQ2" s="62"/>
      <c r="WTR2" s="62"/>
      <c r="WTS2" s="62"/>
      <c r="WTT2" s="62"/>
      <c r="WTU2" s="62"/>
      <c r="WTV2" s="62"/>
      <c r="WTW2" s="62"/>
      <c r="WTX2" s="62"/>
      <c r="WTY2" s="62"/>
      <c r="WTZ2" s="62"/>
      <c r="WUA2" s="62"/>
      <c r="WUB2" s="62"/>
      <c r="WUC2" s="62"/>
      <c r="WUD2" s="62"/>
      <c r="WUE2" s="62"/>
      <c r="WUF2" s="62"/>
      <c r="WUG2" s="62"/>
      <c r="WUH2" s="62"/>
      <c r="WUI2" s="62"/>
      <c r="WUJ2" s="62"/>
      <c r="WUK2" s="62"/>
      <c r="WUL2" s="62"/>
      <c r="WUM2" s="62"/>
      <c r="WUN2" s="62"/>
      <c r="WUO2" s="62"/>
      <c r="WUP2" s="62"/>
      <c r="WUQ2" s="62"/>
      <c r="WUR2" s="62"/>
      <c r="WUS2" s="62"/>
      <c r="WUT2" s="62"/>
      <c r="WUU2" s="62"/>
      <c r="WUV2" s="62"/>
      <c r="WUW2" s="62"/>
      <c r="WUX2" s="62"/>
      <c r="WUY2" s="62"/>
      <c r="WUZ2" s="62"/>
      <c r="WVA2" s="62"/>
      <c r="WVB2" s="62"/>
      <c r="WVC2" s="62"/>
      <c r="WVD2" s="62"/>
      <c r="WVE2" s="62"/>
      <c r="WVF2" s="62"/>
      <c r="WVG2" s="62"/>
      <c r="WVH2" s="62"/>
      <c r="WVI2" s="62"/>
      <c r="WVJ2" s="62"/>
      <c r="WVK2" s="62"/>
      <c r="WVL2" s="62"/>
      <c r="WVM2" s="62"/>
      <c r="WVN2" s="62"/>
      <c r="WVO2" s="62"/>
      <c r="WVP2" s="62"/>
      <c r="WVQ2" s="62"/>
      <c r="WVR2" s="62"/>
      <c r="WVS2" s="62"/>
      <c r="WVT2" s="62"/>
      <c r="WVU2" s="62"/>
      <c r="WVV2" s="62"/>
      <c r="WVW2" s="62"/>
      <c r="WVX2" s="62"/>
      <c r="WVY2" s="62"/>
      <c r="WVZ2" s="62"/>
      <c r="WWA2" s="62"/>
      <c r="WWB2" s="62"/>
      <c r="WWC2" s="62"/>
      <c r="WWD2" s="62"/>
      <c r="WWE2" s="62"/>
      <c r="WWF2" s="62"/>
      <c r="WWG2" s="62"/>
      <c r="WWH2" s="62"/>
      <c r="WWI2" s="62"/>
      <c r="WWJ2" s="62"/>
      <c r="WWK2" s="62"/>
      <c r="WWL2" s="62"/>
      <c r="WWM2" s="62"/>
      <c r="WWN2" s="62"/>
      <c r="WWO2" s="62"/>
      <c r="WWP2" s="62"/>
      <c r="WWQ2" s="62"/>
      <c r="WWR2" s="62"/>
      <c r="WWS2" s="62"/>
      <c r="WWT2" s="62"/>
      <c r="WWU2" s="62"/>
      <c r="WWV2" s="62"/>
      <c r="WWW2" s="62"/>
      <c r="WWX2" s="62"/>
      <c r="WWY2" s="62"/>
      <c r="WWZ2" s="62"/>
      <c r="WXA2" s="62"/>
      <c r="WXB2" s="62"/>
      <c r="WXC2" s="62"/>
      <c r="WXD2" s="62"/>
      <c r="WXE2" s="62"/>
      <c r="WXF2" s="62"/>
      <c r="WXG2" s="62"/>
      <c r="WXH2" s="62"/>
      <c r="WXI2" s="62"/>
      <c r="WXJ2" s="62"/>
      <c r="WXK2" s="62"/>
      <c r="WXL2" s="62"/>
      <c r="WXM2" s="62"/>
      <c r="WXN2" s="62"/>
      <c r="WXO2" s="62"/>
      <c r="WXP2" s="62"/>
      <c r="WXQ2" s="62"/>
      <c r="WXR2" s="62"/>
      <c r="WXS2" s="62"/>
      <c r="WXT2" s="62"/>
      <c r="WXU2" s="62"/>
      <c r="WXV2" s="62"/>
      <c r="WXW2" s="62"/>
      <c r="WXX2" s="62"/>
      <c r="WXY2" s="62"/>
      <c r="WXZ2" s="62"/>
      <c r="WYA2" s="62"/>
      <c r="WYB2" s="62"/>
      <c r="WYC2" s="62"/>
      <c r="WYD2" s="62"/>
      <c r="WYE2" s="62"/>
      <c r="WYF2" s="62"/>
      <c r="WYG2" s="62"/>
      <c r="WYH2" s="62"/>
      <c r="WYI2" s="62"/>
      <c r="WYJ2" s="62"/>
      <c r="WYK2" s="62"/>
      <c r="WYL2" s="62"/>
      <c r="WYM2" s="62"/>
      <c r="WYN2" s="62"/>
      <c r="WYO2" s="62"/>
      <c r="WYP2" s="62"/>
      <c r="WYQ2" s="62"/>
      <c r="WYR2" s="62"/>
      <c r="WYS2" s="62"/>
      <c r="WYT2" s="62"/>
      <c r="WYU2" s="62"/>
      <c r="WYV2" s="62"/>
      <c r="WYW2" s="62"/>
      <c r="WYX2" s="62"/>
      <c r="WYY2" s="62"/>
      <c r="WYZ2" s="62"/>
      <c r="WZA2" s="62"/>
      <c r="WZB2" s="62"/>
      <c r="WZC2" s="62"/>
      <c r="WZD2" s="62"/>
      <c r="WZE2" s="62"/>
      <c r="WZF2" s="62"/>
      <c r="WZG2" s="62"/>
      <c r="WZH2" s="62"/>
      <c r="WZI2" s="62"/>
      <c r="WZJ2" s="62"/>
      <c r="WZK2" s="62"/>
      <c r="WZL2" s="62"/>
      <c r="WZM2" s="62"/>
      <c r="WZN2" s="62"/>
      <c r="WZO2" s="62"/>
      <c r="WZP2" s="62"/>
      <c r="WZQ2" s="62"/>
      <c r="WZR2" s="62"/>
      <c r="WZS2" s="62"/>
      <c r="WZT2" s="62"/>
      <c r="WZU2" s="62"/>
      <c r="WZV2" s="62"/>
      <c r="WZW2" s="62"/>
      <c r="WZX2" s="62"/>
      <c r="WZY2" s="62"/>
      <c r="WZZ2" s="62"/>
      <c r="XAA2" s="62"/>
      <c r="XAB2" s="62"/>
      <c r="XAC2" s="62"/>
      <c r="XAD2" s="62"/>
      <c r="XAE2" s="62"/>
      <c r="XAF2" s="62"/>
      <c r="XAG2" s="62"/>
      <c r="XAH2" s="62"/>
      <c r="XAI2" s="62"/>
      <c r="XAJ2" s="62"/>
      <c r="XAK2" s="62"/>
      <c r="XAL2" s="62"/>
      <c r="XAM2" s="62"/>
      <c r="XAN2" s="62"/>
      <c r="XAO2" s="62"/>
      <c r="XAP2" s="62"/>
      <c r="XAQ2" s="62"/>
      <c r="XAR2" s="62"/>
      <c r="XAS2" s="62"/>
      <c r="XAT2" s="62"/>
      <c r="XAU2" s="62"/>
      <c r="XAV2" s="62"/>
      <c r="XAW2" s="62"/>
      <c r="XAX2" s="62"/>
      <c r="XAY2" s="62"/>
      <c r="XAZ2" s="62"/>
      <c r="XBA2" s="62"/>
      <c r="XBB2" s="62"/>
      <c r="XBC2" s="62"/>
      <c r="XBD2" s="62"/>
      <c r="XBE2" s="62"/>
      <c r="XBF2" s="62"/>
      <c r="XBG2" s="62"/>
      <c r="XBH2" s="62"/>
      <c r="XBI2" s="62"/>
      <c r="XBJ2" s="62"/>
      <c r="XBK2" s="62"/>
      <c r="XBL2" s="62"/>
      <c r="XBM2" s="62"/>
      <c r="XBN2" s="62"/>
      <c r="XBO2" s="62"/>
      <c r="XBP2" s="62"/>
      <c r="XBQ2" s="62"/>
      <c r="XBR2" s="62"/>
      <c r="XBS2" s="62"/>
      <c r="XBT2" s="62"/>
      <c r="XBU2" s="62"/>
      <c r="XBV2" s="62"/>
      <c r="XBW2" s="62"/>
      <c r="XBX2" s="62"/>
      <c r="XBY2" s="62"/>
      <c r="XBZ2" s="62"/>
      <c r="XCA2" s="62"/>
      <c r="XCB2" s="62"/>
      <c r="XCC2" s="62"/>
      <c r="XCD2" s="62"/>
      <c r="XCE2" s="62"/>
      <c r="XCF2" s="62"/>
      <c r="XCG2" s="62"/>
      <c r="XCH2" s="62"/>
      <c r="XCI2" s="62"/>
      <c r="XCJ2" s="62"/>
      <c r="XCK2" s="62"/>
      <c r="XCL2" s="62"/>
      <c r="XCM2" s="62"/>
      <c r="XCN2" s="62"/>
      <c r="XCO2" s="62"/>
      <c r="XCP2" s="62"/>
      <c r="XCQ2" s="62"/>
      <c r="XCR2" s="62"/>
      <c r="XCS2" s="62"/>
      <c r="XCT2" s="62"/>
      <c r="XCU2" s="62"/>
      <c r="XCV2" s="62"/>
      <c r="XCW2" s="62"/>
      <c r="XCX2" s="62"/>
      <c r="XCY2" s="62"/>
      <c r="XCZ2" s="62"/>
      <c r="XDA2" s="62"/>
      <c r="XDB2" s="62"/>
      <c r="XDC2" s="62"/>
      <c r="XDD2" s="62"/>
      <c r="XDE2" s="62"/>
      <c r="XDF2" s="62"/>
      <c r="XDG2" s="62"/>
      <c r="XDH2" s="62"/>
      <c r="XDI2" s="62"/>
      <c r="XDJ2" s="62"/>
      <c r="XDK2" s="62"/>
      <c r="XDL2" s="62"/>
      <c r="XDM2" s="62"/>
      <c r="XDN2" s="62"/>
      <c r="XDO2" s="62"/>
      <c r="XDP2" s="62"/>
      <c r="XDQ2" s="62"/>
      <c r="XDR2" s="62"/>
      <c r="XDS2" s="62"/>
      <c r="XDT2" s="62"/>
      <c r="XDU2" s="62"/>
      <c r="XDV2" s="62"/>
      <c r="XDW2" s="62"/>
      <c r="XDX2" s="62"/>
      <c r="XDY2" s="62"/>
      <c r="XDZ2" s="62"/>
      <c r="XEA2" s="62"/>
      <c r="XEB2" s="62"/>
      <c r="XEC2" s="62"/>
      <c r="XED2" s="62"/>
      <c r="XEE2" s="62"/>
      <c r="XEF2" s="62"/>
      <c r="XEG2" s="62"/>
      <c r="XEH2" s="62"/>
      <c r="XEI2" s="62"/>
      <c r="XEJ2" s="62"/>
      <c r="XEK2" s="62"/>
      <c r="XEL2" s="62"/>
      <c r="XEM2" s="62"/>
      <c r="XEN2" s="62"/>
      <c r="XEO2" s="62"/>
      <c r="XEP2" s="62"/>
      <c r="XEQ2" s="62"/>
      <c r="XER2" s="62"/>
      <c r="XES2" s="66"/>
      <c r="XET2" s="66"/>
      <c r="XEU2" s="66"/>
      <c r="XEV2" s="66"/>
      <c r="XEW2" s="66"/>
      <c r="XEX2" s="66"/>
    </row>
    <row r="3" s="66" customFormat="1" ht="23" customHeight="1" spans="1:1024 1025:16378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67">
        <f>灯价格!A3</f>
        <v>0</v>
      </c>
      <c r="M3" s="67">
        <f>灯价格!B3</f>
        <v>0</v>
      </c>
      <c r="N3" s="67">
        <f>灯价格!C3</f>
        <v>0</v>
      </c>
      <c r="O3" s="45"/>
      <c r="P3" s="84"/>
      <c r="Q3" s="45"/>
      <c r="R3" s="45"/>
      <c r="S3" s="62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38">
        <f>灯价格!A7</f>
        <v>0</v>
      </c>
      <c r="AF3" s="38">
        <f>灯价格!B7</f>
        <v>0</v>
      </c>
      <c r="AG3" s="38">
        <f>灯价格!C7</f>
        <v>0</v>
      </c>
      <c r="AH3" s="39"/>
      <c r="AI3" s="40"/>
      <c r="AJ3" s="39"/>
      <c r="AK3" s="39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  <c r="FK3" s="62"/>
      <c r="FL3" s="62"/>
      <c r="FM3" s="62"/>
      <c r="FN3" s="62"/>
      <c r="FO3" s="62"/>
      <c r="FP3" s="62"/>
      <c r="FQ3" s="62"/>
      <c r="FR3" s="62"/>
      <c r="FS3" s="62"/>
      <c r="FT3" s="62"/>
      <c r="FU3" s="62"/>
      <c r="FV3" s="62"/>
      <c r="FW3" s="62"/>
      <c r="FX3" s="62"/>
      <c r="FY3" s="62"/>
      <c r="FZ3" s="62"/>
      <c r="GA3" s="62"/>
      <c r="GB3" s="62"/>
      <c r="GC3" s="62"/>
      <c r="GD3" s="62"/>
      <c r="GE3" s="62"/>
      <c r="GF3" s="62"/>
      <c r="GG3" s="62"/>
      <c r="GH3" s="62"/>
      <c r="GI3" s="62"/>
      <c r="GJ3" s="62"/>
      <c r="GK3" s="62"/>
      <c r="GL3" s="62"/>
      <c r="GM3" s="62"/>
      <c r="GN3" s="62"/>
      <c r="GO3" s="62"/>
      <c r="GP3" s="62"/>
      <c r="GQ3" s="62"/>
      <c r="GR3" s="62"/>
      <c r="GS3" s="62"/>
      <c r="GT3" s="62"/>
      <c r="GU3" s="62"/>
      <c r="GV3" s="62"/>
      <c r="GW3" s="62"/>
      <c r="GX3" s="62"/>
      <c r="GY3" s="62"/>
      <c r="GZ3" s="62"/>
      <c r="HA3" s="62"/>
      <c r="HB3" s="62"/>
      <c r="HC3" s="62"/>
      <c r="HD3" s="62"/>
      <c r="HE3" s="62"/>
      <c r="HF3" s="62"/>
      <c r="HG3" s="62"/>
      <c r="HH3" s="62"/>
      <c r="HI3" s="62"/>
      <c r="HJ3" s="62"/>
      <c r="HK3" s="62"/>
      <c r="HL3" s="62"/>
      <c r="HM3" s="62"/>
      <c r="HN3" s="62"/>
      <c r="HO3" s="62"/>
      <c r="HP3" s="62"/>
      <c r="HQ3" s="62"/>
      <c r="HR3" s="62"/>
      <c r="HS3" s="62"/>
      <c r="HT3" s="62"/>
      <c r="HU3" s="62"/>
      <c r="HV3" s="62"/>
      <c r="HW3" s="62"/>
      <c r="HX3" s="62"/>
      <c r="HY3" s="62"/>
      <c r="HZ3" s="62"/>
      <c r="IA3" s="62"/>
      <c r="IB3" s="62"/>
      <c r="IC3" s="62"/>
      <c r="ID3" s="62"/>
      <c r="IE3" s="62"/>
      <c r="IF3" s="62"/>
      <c r="IG3" s="62"/>
      <c r="IH3" s="62"/>
      <c r="II3" s="62"/>
      <c r="IJ3" s="62"/>
      <c r="IK3" s="62"/>
      <c r="IL3" s="62"/>
      <c r="IM3" s="62"/>
      <c r="IN3" s="62"/>
      <c r="IO3" s="62"/>
      <c r="IP3" s="62"/>
      <c r="IQ3" s="62"/>
      <c r="IR3" s="62"/>
      <c r="IS3" s="62"/>
      <c r="IT3" s="62"/>
      <c r="IU3" s="62"/>
      <c r="IV3" s="62"/>
      <c r="IW3" s="62"/>
      <c r="IX3" s="62"/>
      <c r="IY3" s="62"/>
      <c r="IZ3" s="62"/>
      <c r="JA3" s="62"/>
      <c r="JB3" s="62"/>
      <c r="JC3" s="62"/>
      <c r="JD3" s="62"/>
      <c r="JE3" s="62"/>
      <c r="JF3" s="62"/>
      <c r="JG3" s="62"/>
      <c r="JH3" s="62"/>
      <c r="JI3" s="62"/>
      <c r="JJ3" s="62"/>
      <c r="JK3" s="62"/>
      <c r="JL3" s="62"/>
      <c r="JM3" s="62"/>
      <c r="JN3" s="62"/>
      <c r="JO3" s="62"/>
      <c r="JP3" s="62"/>
      <c r="JQ3" s="62"/>
      <c r="JR3" s="62"/>
      <c r="JS3" s="62"/>
      <c r="JT3" s="62"/>
      <c r="JU3" s="62"/>
      <c r="JV3" s="62"/>
      <c r="JW3" s="62"/>
      <c r="JX3" s="62"/>
      <c r="JY3" s="62"/>
      <c r="JZ3" s="62"/>
      <c r="KA3" s="62"/>
      <c r="KB3" s="62"/>
      <c r="KC3" s="62"/>
      <c r="KD3" s="62"/>
      <c r="KE3" s="62"/>
      <c r="KF3" s="62"/>
      <c r="KG3" s="62"/>
      <c r="KH3" s="62"/>
      <c r="KI3" s="62"/>
      <c r="KJ3" s="62"/>
      <c r="KK3" s="62"/>
      <c r="KL3" s="62"/>
      <c r="KM3" s="62"/>
      <c r="KN3" s="62"/>
      <c r="KO3" s="62"/>
      <c r="KP3" s="62"/>
      <c r="KQ3" s="62"/>
      <c r="KR3" s="62"/>
      <c r="KS3" s="62"/>
      <c r="KT3" s="62"/>
      <c r="KU3" s="62"/>
      <c r="KV3" s="62"/>
      <c r="KW3" s="62"/>
      <c r="KX3" s="62"/>
      <c r="KY3" s="62"/>
      <c r="KZ3" s="62"/>
      <c r="LA3" s="62"/>
      <c r="LB3" s="62"/>
      <c r="LC3" s="62"/>
      <c r="LD3" s="62"/>
      <c r="LE3" s="62"/>
      <c r="LF3" s="62"/>
      <c r="LG3" s="62"/>
      <c r="LH3" s="62"/>
      <c r="LI3" s="62"/>
      <c r="LJ3" s="62"/>
      <c r="LK3" s="62"/>
      <c r="LL3" s="62"/>
      <c r="LM3" s="62"/>
      <c r="LN3" s="62"/>
      <c r="LO3" s="62"/>
      <c r="LP3" s="62"/>
      <c r="LQ3" s="62"/>
      <c r="LR3" s="62"/>
      <c r="LS3" s="62"/>
      <c r="LT3" s="62"/>
      <c r="LU3" s="62"/>
      <c r="LV3" s="62"/>
      <c r="LW3" s="62"/>
      <c r="LX3" s="62"/>
      <c r="LY3" s="62"/>
      <c r="LZ3" s="62"/>
      <c r="MA3" s="62"/>
      <c r="MB3" s="62"/>
      <c r="MC3" s="62"/>
      <c r="MD3" s="62"/>
      <c r="ME3" s="62"/>
      <c r="MF3" s="62"/>
      <c r="MG3" s="62"/>
      <c r="MH3" s="62"/>
      <c r="MI3" s="62"/>
      <c r="MJ3" s="62"/>
      <c r="MK3" s="62"/>
      <c r="ML3" s="62"/>
      <c r="MM3" s="62"/>
      <c r="MN3" s="62"/>
      <c r="MO3" s="62"/>
      <c r="MP3" s="62"/>
      <c r="MQ3" s="62"/>
      <c r="MR3" s="62"/>
      <c r="MS3" s="62"/>
      <c r="MT3" s="62"/>
      <c r="MU3" s="62"/>
      <c r="MV3" s="62"/>
      <c r="MW3" s="62"/>
      <c r="MX3" s="62"/>
      <c r="MY3" s="62"/>
      <c r="MZ3" s="62"/>
      <c r="NA3" s="62"/>
      <c r="NB3" s="62"/>
      <c r="NC3" s="62"/>
      <c r="ND3" s="62"/>
      <c r="NE3" s="62"/>
      <c r="NF3" s="62"/>
      <c r="NG3" s="62"/>
      <c r="NH3" s="62"/>
      <c r="NI3" s="62"/>
      <c r="NJ3" s="62"/>
      <c r="NK3" s="62"/>
      <c r="NL3" s="62"/>
      <c r="NM3" s="62"/>
      <c r="NN3" s="62"/>
      <c r="NO3" s="62"/>
      <c r="NP3" s="62"/>
      <c r="NQ3" s="62"/>
      <c r="NR3" s="62"/>
      <c r="NS3" s="62"/>
      <c r="NT3" s="62"/>
      <c r="NU3" s="62"/>
      <c r="NV3" s="62"/>
      <c r="NW3" s="62"/>
      <c r="NX3" s="62"/>
      <c r="NY3" s="62"/>
      <c r="NZ3" s="62"/>
      <c r="OA3" s="62"/>
      <c r="OB3" s="62"/>
      <c r="OC3" s="62"/>
      <c r="OD3" s="62"/>
      <c r="OE3" s="62"/>
      <c r="OF3" s="62"/>
      <c r="OG3" s="62"/>
      <c r="OH3" s="62"/>
      <c r="OI3" s="62"/>
      <c r="OJ3" s="62"/>
      <c r="OK3" s="62"/>
      <c r="OL3" s="62"/>
      <c r="OM3" s="62"/>
      <c r="ON3" s="62"/>
      <c r="OO3" s="62"/>
      <c r="OP3" s="62"/>
      <c r="OQ3" s="62"/>
      <c r="OR3" s="62"/>
      <c r="OS3" s="62"/>
      <c r="OT3" s="62"/>
      <c r="OU3" s="62"/>
      <c r="OV3" s="62"/>
      <c r="OW3" s="62"/>
      <c r="OX3" s="62"/>
      <c r="OY3" s="62"/>
      <c r="OZ3" s="62"/>
      <c r="PA3" s="62"/>
      <c r="PB3" s="62"/>
      <c r="PC3" s="62"/>
      <c r="PD3" s="62"/>
      <c r="PE3" s="62"/>
      <c r="PF3" s="62"/>
      <c r="PG3" s="62"/>
      <c r="PH3" s="62"/>
      <c r="PI3" s="62"/>
      <c r="PJ3" s="62"/>
      <c r="PK3" s="62"/>
      <c r="PL3" s="62"/>
      <c r="PM3" s="62"/>
      <c r="PN3" s="62"/>
      <c r="PO3" s="62"/>
      <c r="PP3" s="62"/>
      <c r="PQ3" s="62"/>
      <c r="PR3" s="62"/>
      <c r="PS3" s="62"/>
      <c r="PT3" s="62"/>
      <c r="PU3" s="62"/>
      <c r="PV3" s="62"/>
      <c r="PW3" s="62"/>
      <c r="PX3" s="62"/>
      <c r="PY3" s="62"/>
      <c r="PZ3" s="62"/>
      <c r="QA3" s="62"/>
      <c r="QB3" s="62"/>
      <c r="QC3" s="62"/>
      <c r="QD3" s="62"/>
      <c r="QE3" s="62"/>
      <c r="QF3" s="62"/>
      <c r="QG3" s="62"/>
      <c r="QH3" s="62"/>
      <c r="QI3" s="62"/>
      <c r="QJ3" s="62"/>
      <c r="QK3" s="62"/>
      <c r="QL3" s="62"/>
      <c r="QM3" s="62"/>
      <c r="QN3" s="62"/>
      <c r="QO3" s="62"/>
      <c r="QP3" s="62"/>
      <c r="QQ3" s="62"/>
      <c r="QR3" s="62"/>
      <c r="QS3" s="62"/>
      <c r="QT3" s="62"/>
      <c r="QU3" s="62"/>
      <c r="QV3" s="62"/>
      <c r="QW3" s="62"/>
      <c r="QX3" s="62"/>
      <c r="QY3" s="62"/>
      <c r="QZ3" s="62"/>
      <c r="RA3" s="62"/>
      <c r="RB3" s="62"/>
      <c r="RC3" s="62"/>
      <c r="RD3" s="62"/>
      <c r="RE3" s="62"/>
      <c r="RF3" s="62"/>
      <c r="RG3" s="62"/>
      <c r="RH3" s="62"/>
      <c r="RI3" s="62"/>
      <c r="RJ3" s="62"/>
      <c r="RK3" s="62"/>
      <c r="RL3" s="62"/>
      <c r="RM3" s="62"/>
      <c r="RN3" s="62"/>
      <c r="RO3" s="62"/>
      <c r="RP3" s="62"/>
      <c r="RQ3" s="62"/>
      <c r="RR3" s="62"/>
      <c r="RS3" s="62"/>
      <c r="RT3" s="62"/>
      <c r="RU3" s="62"/>
      <c r="RV3" s="62"/>
      <c r="RW3" s="62"/>
      <c r="RX3" s="62"/>
      <c r="RY3" s="62"/>
      <c r="RZ3" s="62"/>
      <c r="SA3" s="62"/>
      <c r="SB3" s="62"/>
      <c r="SC3" s="62"/>
      <c r="SD3" s="62"/>
      <c r="SE3" s="62"/>
      <c r="SF3" s="62"/>
      <c r="SG3" s="62"/>
      <c r="SH3" s="62"/>
      <c r="SI3" s="62"/>
      <c r="SJ3" s="62"/>
      <c r="SK3" s="62"/>
      <c r="SL3" s="62"/>
      <c r="SM3" s="62"/>
      <c r="SN3" s="62"/>
      <c r="SO3" s="62"/>
      <c r="SP3" s="62"/>
      <c r="SQ3" s="62"/>
      <c r="SR3" s="62"/>
      <c r="SS3" s="62"/>
      <c r="ST3" s="62"/>
      <c r="SU3" s="62"/>
      <c r="SV3" s="62"/>
      <c r="SW3" s="62"/>
      <c r="SX3" s="62"/>
      <c r="SY3" s="62"/>
      <c r="SZ3" s="62"/>
      <c r="TA3" s="62"/>
      <c r="TB3" s="62"/>
      <c r="TC3" s="62"/>
      <c r="TD3" s="62"/>
      <c r="TE3" s="62"/>
      <c r="TF3" s="62"/>
      <c r="TG3" s="62"/>
      <c r="TH3" s="62"/>
      <c r="TI3" s="62"/>
      <c r="TJ3" s="62"/>
      <c r="TK3" s="62"/>
      <c r="TL3" s="62"/>
      <c r="TM3" s="62"/>
      <c r="TN3" s="62"/>
      <c r="TO3" s="62"/>
      <c r="TP3" s="62"/>
      <c r="TQ3" s="62"/>
      <c r="TR3" s="62"/>
      <c r="TS3" s="62"/>
      <c r="TT3" s="62"/>
      <c r="TU3" s="62"/>
      <c r="TV3" s="62"/>
      <c r="TW3" s="62"/>
      <c r="TX3" s="62"/>
      <c r="TY3" s="62"/>
      <c r="TZ3" s="62"/>
      <c r="UA3" s="62"/>
      <c r="UB3" s="62"/>
      <c r="UC3" s="62"/>
      <c r="UD3" s="62"/>
      <c r="UE3" s="62"/>
      <c r="UF3" s="62"/>
      <c r="UG3" s="62"/>
      <c r="UH3" s="62"/>
      <c r="UI3" s="62"/>
      <c r="UJ3" s="62"/>
      <c r="UK3" s="62"/>
      <c r="UL3" s="62"/>
      <c r="UM3" s="62"/>
      <c r="UN3" s="62"/>
      <c r="UO3" s="62"/>
      <c r="UP3" s="62"/>
      <c r="UQ3" s="62"/>
      <c r="UR3" s="62"/>
      <c r="US3" s="62"/>
      <c r="UT3" s="62"/>
      <c r="UU3" s="62"/>
      <c r="UV3" s="62"/>
      <c r="UW3" s="62"/>
      <c r="UX3" s="62"/>
      <c r="UY3" s="62"/>
      <c r="UZ3" s="62"/>
      <c r="VA3" s="62"/>
      <c r="VB3" s="62"/>
      <c r="VC3" s="62"/>
      <c r="VD3" s="62"/>
      <c r="VE3" s="62"/>
      <c r="VF3" s="62"/>
      <c r="VG3" s="62"/>
      <c r="VH3" s="62"/>
      <c r="VI3" s="62"/>
      <c r="VJ3" s="62"/>
      <c r="VK3" s="62"/>
      <c r="VL3" s="62"/>
      <c r="VM3" s="62"/>
      <c r="VN3" s="62"/>
      <c r="VO3" s="62"/>
      <c r="VP3" s="62"/>
      <c r="VQ3" s="62"/>
      <c r="VR3" s="62"/>
      <c r="VS3" s="62"/>
      <c r="VT3" s="62"/>
      <c r="VU3" s="62"/>
      <c r="VV3" s="62"/>
      <c r="VW3" s="62"/>
      <c r="VX3" s="62"/>
      <c r="VY3" s="62"/>
      <c r="VZ3" s="62"/>
      <c r="WA3" s="62"/>
      <c r="WB3" s="62"/>
      <c r="WC3" s="62"/>
      <c r="WD3" s="62"/>
      <c r="WE3" s="62"/>
      <c r="WF3" s="62"/>
      <c r="WG3" s="62"/>
      <c r="WH3" s="62"/>
      <c r="WI3" s="62"/>
      <c r="WJ3" s="62"/>
      <c r="WK3" s="62"/>
      <c r="WL3" s="62"/>
      <c r="WM3" s="62"/>
      <c r="WN3" s="62"/>
      <c r="WO3" s="62"/>
      <c r="WP3" s="62"/>
      <c r="WQ3" s="62"/>
      <c r="WR3" s="62"/>
      <c r="WS3" s="62"/>
      <c r="WT3" s="62"/>
      <c r="WU3" s="62"/>
      <c r="WV3" s="62"/>
      <c r="WW3" s="62"/>
      <c r="WX3" s="62"/>
      <c r="WY3" s="62"/>
      <c r="WZ3" s="62"/>
      <c r="XA3" s="62"/>
      <c r="XB3" s="62"/>
      <c r="XC3" s="62"/>
      <c r="XD3" s="62"/>
      <c r="XE3" s="62"/>
      <c r="XF3" s="62"/>
      <c r="XG3" s="62"/>
      <c r="XH3" s="62"/>
      <c r="XI3" s="62"/>
      <c r="XJ3" s="62"/>
      <c r="XK3" s="62"/>
      <c r="XL3" s="62"/>
      <c r="XM3" s="62"/>
      <c r="XN3" s="62"/>
      <c r="XO3" s="62"/>
      <c r="XP3" s="62"/>
      <c r="XQ3" s="62"/>
      <c r="XR3" s="62"/>
      <c r="XS3" s="62"/>
      <c r="XT3" s="62"/>
      <c r="XU3" s="62"/>
      <c r="XV3" s="62"/>
      <c r="XW3" s="62"/>
      <c r="XX3" s="62"/>
      <c r="XY3" s="62"/>
      <c r="XZ3" s="62"/>
      <c r="YA3" s="62"/>
      <c r="YB3" s="62"/>
      <c r="YC3" s="62"/>
      <c r="YD3" s="62"/>
      <c r="YE3" s="62"/>
      <c r="YF3" s="62"/>
      <c r="YG3" s="62"/>
      <c r="YH3" s="62"/>
      <c r="YI3" s="62"/>
      <c r="YJ3" s="62"/>
      <c r="YK3" s="62"/>
      <c r="YL3" s="62"/>
      <c r="YM3" s="62"/>
      <c r="YN3" s="62"/>
      <c r="YO3" s="62"/>
      <c r="YP3" s="62"/>
      <c r="YQ3" s="62"/>
      <c r="YR3" s="62"/>
      <c r="YS3" s="62"/>
      <c r="YT3" s="62"/>
      <c r="YU3" s="62"/>
      <c r="YV3" s="62"/>
      <c r="YW3" s="62"/>
      <c r="YX3" s="62"/>
      <c r="YY3" s="62"/>
      <c r="YZ3" s="62"/>
      <c r="ZA3" s="62"/>
      <c r="ZB3" s="62"/>
      <c r="ZC3" s="62"/>
      <c r="ZD3" s="62"/>
      <c r="ZE3" s="62"/>
      <c r="ZF3" s="62"/>
      <c r="ZG3" s="62"/>
      <c r="ZH3" s="62"/>
      <c r="ZI3" s="62"/>
      <c r="ZJ3" s="62"/>
      <c r="ZK3" s="62"/>
      <c r="ZL3" s="62"/>
      <c r="ZM3" s="62"/>
      <c r="ZN3" s="62"/>
      <c r="ZO3" s="62"/>
      <c r="ZP3" s="62"/>
      <c r="ZQ3" s="62"/>
      <c r="ZR3" s="62"/>
      <c r="ZS3" s="62"/>
      <c r="ZT3" s="62"/>
      <c r="ZU3" s="62"/>
      <c r="ZV3" s="62"/>
      <c r="ZW3" s="62"/>
      <c r="ZX3" s="62"/>
      <c r="ZY3" s="62"/>
      <c r="ZZ3" s="62"/>
      <c r="AAA3" s="62"/>
      <c r="AAB3" s="62"/>
      <c r="AAC3" s="62"/>
      <c r="AAD3" s="62"/>
      <c r="AAE3" s="62"/>
      <c r="AAF3" s="62"/>
      <c r="AAG3" s="62"/>
      <c r="AAH3" s="62"/>
      <c r="AAI3" s="62"/>
      <c r="AAJ3" s="62"/>
      <c r="AAK3" s="62"/>
      <c r="AAL3" s="62"/>
      <c r="AAM3" s="62"/>
      <c r="AAN3" s="62"/>
      <c r="AAO3" s="62"/>
      <c r="AAP3" s="62"/>
      <c r="AAQ3" s="62"/>
      <c r="AAR3" s="62"/>
      <c r="AAS3" s="62"/>
      <c r="AAT3" s="62"/>
      <c r="AAU3" s="62"/>
      <c r="AAV3" s="62"/>
      <c r="AAW3" s="62"/>
      <c r="AAX3" s="62"/>
      <c r="AAY3" s="62"/>
      <c r="AAZ3" s="62"/>
      <c r="ABA3" s="62"/>
      <c r="ABB3" s="62"/>
      <c r="ABC3" s="62"/>
      <c r="ABD3" s="62"/>
      <c r="ABE3" s="62"/>
      <c r="ABF3" s="62"/>
      <c r="ABG3" s="62"/>
      <c r="ABH3" s="62"/>
      <c r="ABI3" s="62"/>
      <c r="ABJ3" s="62"/>
      <c r="ABK3" s="62"/>
      <c r="ABL3" s="62"/>
      <c r="ABM3" s="62"/>
      <c r="ABN3" s="62"/>
      <c r="ABO3" s="62"/>
      <c r="ABP3" s="62"/>
      <c r="ABQ3" s="62"/>
      <c r="ABR3" s="62"/>
      <c r="ABS3" s="62"/>
      <c r="ABT3" s="62"/>
      <c r="ABU3" s="62"/>
      <c r="ABV3" s="62"/>
      <c r="ABW3" s="62"/>
      <c r="ABX3" s="62"/>
      <c r="ABY3" s="62"/>
      <c r="ABZ3" s="62"/>
      <c r="ACA3" s="62"/>
      <c r="ACB3" s="62"/>
      <c r="ACC3" s="62"/>
      <c r="ACD3" s="62"/>
      <c r="ACE3" s="62"/>
      <c r="ACF3" s="62"/>
      <c r="ACG3" s="62"/>
      <c r="ACH3" s="62"/>
      <c r="ACI3" s="62"/>
      <c r="ACJ3" s="62"/>
      <c r="ACK3" s="62"/>
      <c r="ACL3" s="62"/>
      <c r="ACM3" s="62"/>
      <c r="ACN3" s="62"/>
      <c r="ACO3" s="62"/>
      <c r="ACP3" s="62"/>
      <c r="ACQ3" s="62"/>
      <c r="ACR3" s="62"/>
      <c r="ACS3" s="62"/>
      <c r="ACT3" s="62"/>
      <c r="ACU3" s="62"/>
      <c r="ACV3" s="62"/>
      <c r="ACW3" s="62"/>
      <c r="ACX3" s="62"/>
      <c r="ACY3" s="62"/>
      <c r="ACZ3" s="62"/>
      <c r="ADA3" s="62"/>
      <c r="ADB3" s="62"/>
      <c r="ADC3" s="62"/>
      <c r="ADD3" s="62"/>
      <c r="ADE3" s="62"/>
      <c r="ADF3" s="62"/>
      <c r="ADG3" s="62"/>
      <c r="ADH3" s="62"/>
      <c r="ADI3" s="62"/>
      <c r="ADJ3" s="62"/>
      <c r="ADK3" s="62"/>
      <c r="ADL3" s="62"/>
      <c r="ADM3" s="62"/>
      <c r="ADN3" s="62"/>
      <c r="ADO3" s="62"/>
      <c r="ADP3" s="62"/>
      <c r="ADQ3" s="62"/>
      <c r="ADR3" s="62"/>
      <c r="ADS3" s="62"/>
      <c r="ADT3" s="62"/>
      <c r="ADU3" s="62"/>
      <c r="ADV3" s="62"/>
      <c r="ADW3" s="62"/>
      <c r="ADX3" s="62"/>
      <c r="ADY3" s="62"/>
      <c r="ADZ3" s="62"/>
      <c r="AEA3" s="62"/>
      <c r="AEB3" s="62"/>
      <c r="AEC3" s="62"/>
      <c r="AED3" s="62"/>
      <c r="AEE3" s="62"/>
      <c r="AEF3" s="62"/>
      <c r="AEG3" s="62"/>
      <c r="AEH3" s="62"/>
      <c r="AEI3" s="62"/>
      <c r="AEJ3" s="62"/>
      <c r="AEK3" s="62"/>
      <c r="AEL3" s="62"/>
      <c r="AEM3" s="62"/>
      <c r="AEN3" s="62"/>
      <c r="AEO3" s="62"/>
      <c r="AEP3" s="62"/>
      <c r="AEQ3" s="62"/>
      <c r="AER3" s="62"/>
      <c r="AES3" s="62"/>
      <c r="AET3" s="62"/>
      <c r="AEU3" s="62"/>
      <c r="AEV3" s="62"/>
      <c r="AEW3" s="62"/>
      <c r="AEX3" s="62"/>
      <c r="AEY3" s="62"/>
      <c r="AEZ3" s="62"/>
      <c r="AFA3" s="62"/>
      <c r="AFB3" s="62"/>
      <c r="AFC3" s="62"/>
      <c r="AFD3" s="62"/>
      <c r="AFE3" s="62"/>
      <c r="AFF3" s="62"/>
      <c r="AFG3" s="62"/>
      <c r="AFH3" s="62"/>
      <c r="AFI3" s="62"/>
      <c r="AFJ3" s="62"/>
      <c r="AFK3" s="62"/>
      <c r="AFL3" s="62"/>
      <c r="AFM3" s="62"/>
      <c r="AFN3" s="62"/>
      <c r="AFO3" s="62"/>
      <c r="AFP3" s="62"/>
      <c r="AFQ3" s="62"/>
      <c r="AFR3" s="62"/>
      <c r="AFS3" s="62"/>
      <c r="AFT3" s="62"/>
      <c r="AFU3" s="62"/>
      <c r="AFV3" s="62"/>
      <c r="AFW3" s="62"/>
      <c r="AFX3" s="62"/>
      <c r="AFY3" s="62"/>
      <c r="AFZ3" s="62"/>
      <c r="AGA3" s="62"/>
      <c r="AGB3" s="62"/>
      <c r="AGC3" s="62"/>
      <c r="AGD3" s="62"/>
      <c r="AGE3" s="62"/>
      <c r="AGF3" s="62"/>
      <c r="AGG3" s="62"/>
      <c r="AGH3" s="62"/>
      <c r="AGI3" s="62"/>
      <c r="AGJ3" s="62"/>
      <c r="AGK3" s="62"/>
      <c r="AGL3" s="62"/>
      <c r="AGM3" s="62"/>
      <c r="AGN3" s="62"/>
      <c r="AGO3" s="62"/>
      <c r="AGP3" s="62"/>
      <c r="AGQ3" s="62"/>
      <c r="AGR3" s="62"/>
      <c r="AGS3" s="62"/>
      <c r="AGT3" s="62"/>
      <c r="AGU3" s="62"/>
      <c r="AGV3" s="62"/>
      <c r="AGW3" s="62"/>
      <c r="AGX3" s="62"/>
      <c r="AGY3" s="62"/>
      <c r="AGZ3" s="62"/>
      <c r="AHA3" s="62"/>
      <c r="AHB3" s="62"/>
      <c r="AHC3" s="62"/>
      <c r="AHD3" s="62"/>
      <c r="AHE3" s="62"/>
      <c r="AHF3" s="62"/>
      <c r="AHG3" s="62"/>
      <c r="AHH3" s="62"/>
      <c r="AHI3" s="62"/>
      <c r="AHJ3" s="62"/>
      <c r="AHK3" s="62"/>
      <c r="AHL3" s="62"/>
      <c r="AHM3" s="62"/>
      <c r="AHN3" s="62"/>
      <c r="AHO3" s="62"/>
      <c r="AHP3" s="62"/>
      <c r="AHQ3" s="62"/>
      <c r="AHR3" s="62"/>
      <c r="AHS3" s="62"/>
      <c r="AHT3" s="62"/>
      <c r="AHU3" s="62"/>
      <c r="AHV3" s="62"/>
      <c r="AHW3" s="62"/>
      <c r="AHX3" s="62"/>
      <c r="AHY3" s="62"/>
      <c r="AHZ3" s="62"/>
      <c r="AIA3" s="62"/>
      <c r="AIB3" s="62"/>
      <c r="AIC3" s="62"/>
      <c r="AID3" s="62"/>
      <c r="AIE3" s="62"/>
      <c r="AIF3" s="62"/>
      <c r="AIG3" s="62"/>
      <c r="AIH3" s="62"/>
      <c r="AII3" s="62"/>
      <c r="AIJ3" s="62"/>
      <c r="AIK3" s="62"/>
      <c r="AIL3" s="62"/>
      <c r="AIM3" s="62"/>
      <c r="AIN3" s="62"/>
      <c r="AIO3" s="62"/>
      <c r="AIP3" s="62"/>
      <c r="AIQ3" s="62"/>
      <c r="AIR3" s="62"/>
      <c r="AIS3" s="62"/>
      <c r="AIT3" s="62"/>
      <c r="AIU3" s="62"/>
      <c r="AIV3" s="62"/>
      <c r="AIW3" s="62"/>
      <c r="AIX3" s="62"/>
      <c r="AIY3" s="62"/>
      <c r="AIZ3" s="62"/>
      <c r="AJA3" s="62"/>
      <c r="AJB3" s="62"/>
      <c r="AJC3" s="62"/>
      <c r="AJD3" s="62"/>
      <c r="AJE3" s="62"/>
      <c r="AJF3" s="62"/>
      <c r="AJG3" s="62"/>
      <c r="AJH3" s="62"/>
      <c r="AJI3" s="62"/>
      <c r="AJJ3" s="62"/>
      <c r="AJK3" s="62"/>
      <c r="AJL3" s="62"/>
      <c r="AJM3" s="62"/>
      <c r="AJN3" s="62"/>
      <c r="AJO3" s="62"/>
      <c r="AJP3" s="62"/>
      <c r="AJQ3" s="62"/>
      <c r="AJR3" s="62"/>
      <c r="AJS3" s="62"/>
      <c r="AJT3" s="62"/>
      <c r="AJU3" s="62"/>
      <c r="AJV3" s="62"/>
      <c r="AJW3" s="62"/>
      <c r="AJX3" s="62"/>
      <c r="AJY3" s="62"/>
      <c r="AJZ3" s="62"/>
      <c r="AKA3" s="62"/>
      <c r="AKB3" s="62"/>
      <c r="AKC3" s="62"/>
      <c r="AKD3" s="62"/>
      <c r="AKE3" s="62"/>
      <c r="AKF3" s="62"/>
      <c r="AKG3" s="62"/>
      <c r="AKH3" s="62"/>
      <c r="AKI3" s="62"/>
      <c r="AKJ3" s="62"/>
      <c r="AKK3" s="62"/>
      <c r="AKL3" s="62"/>
      <c r="AKM3" s="62"/>
      <c r="AKN3" s="62"/>
      <c r="AKO3" s="62"/>
      <c r="AKP3" s="62"/>
      <c r="AKQ3" s="62"/>
      <c r="AKR3" s="62"/>
      <c r="AKS3" s="62"/>
      <c r="AKT3" s="62"/>
      <c r="AKU3" s="62"/>
      <c r="AKV3" s="62"/>
      <c r="AKW3" s="62"/>
      <c r="AKX3" s="62"/>
      <c r="AKY3" s="62"/>
      <c r="AKZ3" s="62"/>
      <c r="ALA3" s="62"/>
      <c r="ALB3" s="62"/>
      <c r="ALC3" s="62"/>
      <c r="ALD3" s="62"/>
      <c r="ALE3" s="62"/>
      <c r="ALF3" s="62"/>
      <c r="ALG3" s="62"/>
      <c r="ALH3" s="62"/>
      <c r="ALI3" s="62"/>
      <c r="ALJ3" s="62"/>
      <c r="ALK3" s="62"/>
      <c r="ALL3" s="62"/>
      <c r="ALM3" s="62"/>
      <c r="ALN3" s="62"/>
      <c r="ALO3" s="62"/>
      <c r="ALP3" s="62"/>
      <c r="ALQ3" s="62"/>
      <c r="ALR3" s="62"/>
      <c r="ALS3" s="62"/>
      <c r="ALT3" s="62"/>
      <c r="ALU3" s="62"/>
      <c r="ALV3" s="62"/>
      <c r="ALW3" s="62"/>
      <c r="ALX3" s="62"/>
      <c r="ALY3" s="62"/>
      <c r="ALZ3" s="62"/>
      <c r="AMA3" s="62"/>
      <c r="AMB3" s="62"/>
      <c r="AMC3" s="62"/>
      <c r="AMD3" s="62"/>
      <c r="AME3" s="62"/>
      <c r="AMF3" s="62"/>
      <c r="AMG3" s="62"/>
      <c r="AMH3" s="62"/>
      <c r="AMI3" s="62"/>
      <c r="AMJ3" s="62"/>
      <c r="AMK3" s="62"/>
      <c r="AML3" s="62"/>
      <c r="AMM3" s="62"/>
      <c r="AMN3" s="62"/>
      <c r="AMO3" s="62"/>
      <c r="AMP3" s="62"/>
      <c r="AMQ3" s="62"/>
      <c r="AMR3" s="62"/>
      <c r="AMS3" s="62"/>
      <c r="AMT3" s="62"/>
      <c r="AMU3" s="62"/>
      <c r="AMV3" s="62"/>
      <c r="AMW3" s="62"/>
      <c r="AMX3" s="62"/>
      <c r="AMY3" s="62"/>
      <c r="AMZ3" s="62"/>
      <c r="ANA3" s="62"/>
      <c r="ANB3" s="62"/>
      <c r="ANC3" s="62"/>
      <c r="AND3" s="62"/>
      <c r="ANE3" s="62"/>
      <c r="ANF3" s="62"/>
      <c r="ANG3" s="62"/>
      <c r="ANH3" s="62"/>
      <c r="ANI3" s="62"/>
      <c r="ANJ3" s="62"/>
      <c r="ANK3" s="62"/>
      <c r="ANL3" s="62"/>
      <c r="ANM3" s="62"/>
      <c r="ANN3" s="62"/>
      <c r="ANO3" s="62"/>
      <c r="ANP3" s="62"/>
      <c r="ANQ3" s="62"/>
      <c r="ANR3" s="62"/>
      <c r="ANS3" s="62"/>
      <c r="ANT3" s="62"/>
      <c r="ANU3" s="62"/>
      <c r="ANV3" s="62"/>
      <c r="ANW3" s="62"/>
      <c r="ANX3" s="62"/>
      <c r="ANY3" s="62"/>
      <c r="ANZ3" s="62"/>
      <c r="AOA3" s="62"/>
      <c r="AOB3" s="62"/>
      <c r="AOC3" s="62"/>
      <c r="AOD3" s="62"/>
      <c r="AOE3" s="62"/>
      <c r="AOF3" s="62"/>
      <c r="AOG3" s="62"/>
      <c r="AOH3" s="62"/>
      <c r="AOI3" s="62"/>
      <c r="AOJ3" s="62"/>
      <c r="AOK3" s="62"/>
      <c r="AOL3" s="62"/>
      <c r="AOM3" s="62"/>
      <c r="AON3" s="62"/>
      <c r="AOO3" s="62"/>
      <c r="AOP3" s="62"/>
      <c r="AOQ3" s="62"/>
      <c r="AOR3" s="62"/>
      <c r="AOS3" s="62"/>
      <c r="AOT3" s="62"/>
      <c r="AOU3" s="62"/>
      <c r="AOV3" s="62"/>
      <c r="AOW3" s="62"/>
      <c r="AOX3" s="62"/>
      <c r="AOY3" s="62"/>
      <c r="AOZ3" s="62"/>
      <c r="APA3" s="62"/>
      <c r="APB3" s="62"/>
      <c r="APC3" s="62"/>
      <c r="APD3" s="62"/>
      <c r="APE3" s="62"/>
      <c r="APF3" s="62"/>
      <c r="APG3" s="62"/>
      <c r="APH3" s="62"/>
      <c r="API3" s="62"/>
      <c r="APJ3" s="62"/>
      <c r="APK3" s="62"/>
      <c r="APL3" s="62"/>
      <c r="APM3" s="62"/>
      <c r="APN3" s="62"/>
      <c r="APO3" s="62"/>
      <c r="APP3" s="62"/>
      <c r="APQ3" s="62"/>
      <c r="APR3" s="62"/>
      <c r="APS3" s="62"/>
      <c r="APT3" s="62"/>
      <c r="APU3" s="62"/>
      <c r="APV3" s="62"/>
      <c r="APW3" s="62"/>
      <c r="APX3" s="62"/>
      <c r="APY3" s="62"/>
      <c r="APZ3" s="62"/>
      <c r="AQA3" s="62"/>
      <c r="AQB3" s="62"/>
      <c r="AQC3" s="62"/>
      <c r="AQD3" s="62"/>
      <c r="AQE3" s="62"/>
      <c r="AQF3" s="62"/>
      <c r="AQG3" s="62"/>
      <c r="AQH3" s="62"/>
      <c r="AQI3" s="62"/>
      <c r="AQJ3" s="62"/>
      <c r="AQK3" s="62"/>
      <c r="AQL3" s="62"/>
      <c r="AQM3" s="62"/>
      <c r="AQN3" s="62"/>
      <c r="AQO3" s="62"/>
      <c r="AQP3" s="62"/>
      <c r="AQQ3" s="62"/>
      <c r="AQR3" s="62"/>
      <c r="AQS3" s="62"/>
      <c r="AQT3" s="62"/>
      <c r="AQU3" s="62"/>
      <c r="AQV3" s="62"/>
      <c r="AQW3" s="62"/>
      <c r="AQX3" s="62"/>
      <c r="AQY3" s="62"/>
      <c r="AQZ3" s="62"/>
      <c r="ARA3" s="62"/>
      <c r="ARB3" s="62"/>
      <c r="ARC3" s="62"/>
      <c r="ARD3" s="62"/>
      <c r="ARE3" s="62"/>
      <c r="ARF3" s="62"/>
      <c r="ARG3" s="62"/>
      <c r="ARH3" s="62"/>
      <c r="ARI3" s="62"/>
      <c r="ARJ3" s="62"/>
      <c r="ARK3" s="62"/>
      <c r="ARL3" s="62"/>
      <c r="ARM3" s="62"/>
      <c r="ARN3" s="62"/>
      <c r="ARO3" s="62"/>
      <c r="ARP3" s="62"/>
      <c r="ARQ3" s="62"/>
      <c r="ARR3" s="62"/>
      <c r="ARS3" s="62"/>
      <c r="ART3" s="62"/>
      <c r="ARU3" s="62"/>
      <c r="ARV3" s="62"/>
      <c r="ARW3" s="62"/>
      <c r="ARX3" s="62"/>
      <c r="ARY3" s="62"/>
      <c r="ARZ3" s="62"/>
      <c r="ASA3" s="62"/>
      <c r="ASB3" s="62"/>
      <c r="ASC3" s="62"/>
      <c r="ASD3" s="62"/>
      <c r="ASE3" s="62"/>
      <c r="ASF3" s="62"/>
      <c r="ASG3" s="62"/>
      <c r="ASH3" s="62"/>
      <c r="ASI3" s="62"/>
      <c r="ASJ3" s="62"/>
      <c r="ASK3" s="62"/>
      <c r="ASL3" s="62"/>
      <c r="ASM3" s="62"/>
      <c r="ASN3" s="62"/>
      <c r="ASO3" s="62"/>
      <c r="ASP3" s="62"/>
      <c r="ASQ3" s="62"/>
      <c r="ASR3" s="62"/>
      <c r="ASS3" s="62"/>
      <c r="AST3" s="62"/>
      <c r="ASU3" s="62"/>
      <c r="ASV3" s="62"/>
      <c r="ASW3" s="62"/>
      <c r="ASX3" s="62"/>
      <c r="ASY3" s="62"/>
      <c r="ASZ3" s="62"/>
      <c r="ATA3" s="62"/>
      <c r="ATB3" s="62"/>
      <c r="ATC3" s="62"/>
      <c r="ATD3" s="62"/>
      <c r="ATE3" s="62"/>
      <c r="ATF3" s="62"/>
      <c r="ATG3" s="62"/>
      <c r="ATH3" s="62"/>
      <c r="ATI3" s="62"/>
      <c r="ATJ3" s="62"/>
      <c r="ATK3" s="62"/>
      <c r="ATL3" s="62"/>
      <c r="ATM3" s="62"/>
      <c r="ATN3" s="62"/>
      <c r="ATO3" s="62"/>
      <c r="ATP3" s="62"/>
      <c r="ATQ3" s="62"/>
      <c r="ATR3" s="62"/>
      <c r="ATS3" s="62"/>
      <c r="ATT3" s="62"/>
      <c r="ATU3" s="62"/>
      <c r="ATV3" s="62"/>
      <c r="ATW3" s="62"/>
      <c r="ATX3" s="62"/>
      <c r="ATY3" s="62"/>
      <c r="ATZ3" s="62"/>
      <c r="AUA3" s="62"/>
      <c r="AUB3" s="62"/>
      <c r="AUC3" s="62"/>
      <c r="AUD3" s="62"/>
      <c r="AUE3" s="62"/>
      <c r="AUF3" s="62"/>
      <c r="AUG3" s="62"/>
      <c r="AUH3" s="62"/>
      <c r="AUI3" s="62"/>
      <c r="AUJ3" s="62"/>
      <c r="AUK3" s="62"/>
      <c r="AUL3" s="62"/>
      <c r="AUM3" s="62"/>
      <c r="AUN3" s="62"/>
      <c r="AUO3" s="62"/>
      <c r="AUP3" s="62"/>
      <c r="AUQ3" s="62"/>
      <c r="AUR3" s="62"/>
      <c r="AUS3" s="62"/>
      <c r="AUT3" s="62"/>
      <c r="AUU3" s="62"/>
      <c r="AUV3" s="62"/>
      <c r="AUW3" s="62"/>
      <c r="AUX3" s="62"/>
      <c r="AUY3" s="62"/>
      <c r="AUZ3" s="62"/>
      <c r="AVA3" s="62"/>
      <c r="AVB3" s="62"/>
      <c r="AVC3" s="62"/>
      <c r="AVD3" s="62"/>
      <c r="AVE3" s="62"/>
      <c r="AVF3" s="62"/>
      <c r="AVG3" s="62"/>
      <c r="AVH3" s="62"/>
      <c r="AVI3" s="62"/>
      <c r="AVJ3" s="62"/>
      <c r="AVK3" s="62"/>
      <c r="AVL3" s="62"/>
      <c r="AVM3" s="62"/>
      <c r="AVN3" s="62"/>
      <c r="AVO3" s="62"/>
      <c r="AVP3" s="62"/>
      <c r="AVQ3" s="62"/>
      <c r="AVR3" s="62"/>
      <c r="AVS3" s="62"/>
      <c r="AVT3" s="62"/>
      <c r="AVU3" s="62"/>
      <c r="AVV3" s="62"/>
      <c r="AVW3" s="62"/>
      <c r="AVX3" s="62"/>
      <c r="AVY3" s="62"/>
      <c r="AVZ3" s="62"/>
      <c r="AWA3" s="62"/>
      <c r="AWB3" s="62"/>
      <c r="AWC3" s="62"/>
      <c r="AWD3" s="62"/>
      <c r="AWE3" s="62"/>
      <c r="AWF3" s="62"/>
      <c r="AWG3" s="62"/>
      <c r="AWH3" s="62"/>
      <c r="AWI3" s="62"/>
      <c r="AWJ3" s="62"/>
      <c r="AWK3" s="62"/>
      <c r="AWL3" s="62"/>
      <c r="AWM3" s="62"/>
      <c r="AWN3" s="62"/>
      <c r="AWO3" s="62"/>
      <c r="AWP3" s="62"/>
      <c r="AWQ3" s="62"/>
      <c r="AWR3" s="62"/>
      <c r="AWS3" s="62"/>
      <c r="AWT3" s="62"/>
      <c r="AWU3" s="62"/>
      <c r="AWV3" s="62"/>
      <c r="AWW3" s="62"/>
      <c r="AWX3" s="62"/>
      <c r="AWY3" s="62"/>
      <c r="AWZ3" s="62"/>
      <c r="AXA3" s="62"/>
      <c r="AXB3" s="62"/>
      <c r="AXC3" s="62"/>
      <c r="AXD3" s="62"/>
      <c r="AXE3" s="62"/>
      <c r="AXF3" s="62"/>
      <c r="AXG3" s="62"/>
      <c r="AXH3" s="62"/>
      <c r="AXI3" s="62"/>
      <c r="AXJ3" s="62"/>
      <c r="AXK3" s="62"/>
      <c r="AXL3" s="62"/>
      <c r="AXM3" s="62"/>
      <c r="AXN3" s="62"/>
      <c r="AXO3" s="62"/>
      <c r="AXP3" s="62"/>
      <c r="AXQ3" s="62"/>
      <c r="AXR3" s="62"/>
      <c r="AXS3" s="62"/>
      <c r="AXT3" s="62"/>
      <c r="AXU3" s="62"/>
      <c r="AXV3" s="62"/>
      <c r="AXW3" s="62"/>
      <c r="AXX3" s="62"/>
      <c r="AXY3" s="62"/>
      <c r="AXZ3" s="62"/>
      <c r="AYA3" s="62"/>
      <c r="AYB3" s="62"/>
      <c r="AYC3" s="62"/>
      <c r="AYD3" s="62"/>
      <c r="AYE3" s="62"/>
      <c r="AYF3" s="62"/>
      <c r="AYG3" s="62"/>
      <c r="AYH3" s="62"/>
      <c r="AYI3" s="62"/>
      <c r="AYJ3" s="62"/>
      <c r="AYK3" s="62"/>
      <c r="AYL3" s="62"/>
      <c r="AYM3" s="62"/>
      <c r="AYN3" s="62"/>
      <c r="AYO3" s="62"/>
      <c r="AYP3" s="62"/>
      <c r="AYQ3" s="62"/>
      <c r="AYR3" s="62"/>
      <c r="AYS3" s="62"/>
      <c r="AYT3" s="62"/>
      <c r="AYU3" s="62"/>
      <c r="AYV3" s="62"/>
      <c r="AYW3" s="62"/>
      <c r="AYX3" s="62"/>
      <c r="AYY3" s="62"/>
      <c r="AYZ3" s="62"/>
      <c r="AZA3" s="62"/>
      <c r="AZB3" s="62"/>
      <c r="AZC3" s="62"/>
      <c r="AZD3" s="62"/>
      <c r="AZE3" s="62"/>
      <c r="AZF3" s="62"/>
      <c r="AZG3" s="62"/>
      <c r="AZH3" s="62"/>
      <c r="AZI3" s="62"/>
      <c r="AZJ3" s="62"/>
      <c r="AZK3" s="62"/>
      <c r="AZL3" s="62"/>
      <c r="AZM3" s="62"/>
      <c r="AZN3" s="62"/>
      <c r="AZO3" s="62"/>
      <c r="AZP3" s="62"/>
      <c r="AZQ3" s="62"/>
      <c r="AZR3" s="62"/>
      <c r="AZS3" s="62"/>
      <c r="AZT3" s="62"/>
      <c r="AZU3" s="62"/>
      <c r="AZV3" s="62"/>
      <c r="AZW3" s="62"/>
      <c r="AZX3" s="62"/>
      <c r="AZY3" s="62"/>
      <c r="AZZ3" s="62"/>
      <c r="BAA3" s="62"/>
      <c r="BAB3" s="62"/>
      <c r="BAC3" s="62"/>
      <c r="BAD3" s="62"/>
      <c r="BAE3" s="62"/>
      <c r="BAF3" s="62"/>
      <c r="BAG3" s="62"/>
      <c r="BAH3" s="62"/>
      <c r="BAI3" s="62"/>
      <c r="BAJ3" s="62"/>
      <c r="BAK3" s="62"/>
      <c r="BAL3" s="62"/>
      <c r="BAM3" s="62"/>
      <c r="BAN3" s="62"/>
      <c r="BAO3" s="62"/>
      <c r="BAP3" s="62"/>
      <c r="BAQ3" s="62"/>
      <c r="BAR3" s="62"/>
      <c r="BAS3" s="62"/>
      <c r="BAT3" s="62"/>
      <c r="BAU3" s="62"/>
      <c r="BAV3" s="62"/>
      <c r="BAW3" s="62"/>
      <c r="BAX3" s="62"/>
      <c r="BAY3" s="62"/>
      <c r="BAZ3" s="62"/>
      <c r="BBA3" s="62"/>
      <c r="BBB3" s="62"/>
      <c r="BBC3" s="62"/>
      <c r="BBD3" s="62"/>
      <c r="BBE3" s="62"/>
      <c r="BBF3" s="62"/>
      <c r="BBG3" s="62"/>
      <c r="BBH3" s="62"/>
      <c r="BBI3" s="62"/>
      <c r="BBJ3" s="62"/>
      <c r="BBK3" s="62"/>
      <c r="BBL3" s="62"/>
      <c r="BBM3" s="62"/>
      <c r="BBN3" s="62"/>
      <c r="BBO3" s="62"/>
      <c r="BBP3" s="62"/>
      <c r="BBQ3" s="62"/>
      <c r="BBR3" s="62"/>
      <c r="BBS3" s="62"/>
      <c r="BBT3" s="62"/>
      <c r="BBU3" s="62"/>
      <c r="BBV3" s="62"/>
      <c r="BBW3" s="62"/>
      <c r="BBX3" s="62"/>
      <c r="BBY3" s="62"/>
      <c r="BBZ3" s="62"/>
      <c r="BCA3" s="62"/>
      <c r="BCB3" s="62"/>
      <c r="BCC3" s="62"/>
      <c r="BCD3" s="62"/>
      <c r="BCE3" s="62"/>
      <c r="BCF3" s="62"/>
      <c r="BCG3" s="62"/>
      <c r="BCH3" s="62"/>
      <c r="BCI3" s="62"/>
      <c r="BCJ3" s="62"/>
      <c r="BCK3" s="62"/>
      <c r="BCL3" s="62"/>
      <c r="BCM3" s="62"/>
      <c r="BCN3" s="62"/>
      <c r="BCO3" s="62"/>
      <c r="BCP3" s="62"/>
      <c r="BCQ3" s="62"/>
      <c r="BCR3" s="62"/>
      <c r="BCS3" s="62"/>
      <c r="BCT3" s="62"/>
      <c r="BCU3" s="62"/>
      <c r="BCV3" s="62"/>
      <c r="BCW3" s="62"/>
      <c r="BCX3" s="62"/>
      <c r="BCY3" s="62"/>
      <c r="BCZ3" s="62"/>
      <c r="BDA3" s="62"/>
      <c r="BDB3" s="62"/>
      <c r="BDC3" s="62"/>
      <c r="BDD3" s="62"/>
      <c r="BDE3" s="62"/>
      <c r="BDF3" s="62"/>
      <c r="BDG3" s="62"/>
      <c r="BDH3" s="62"/>
      <c r="BDI3" s="62"/>
      <c r="BDJ3" s="62"/>
      <c r="BDK3" s="62"/>
      <c r="BDL3" s="62"/>
      <c r="BDM3" s="62"/>
      <c r="BDN3" s="62"/>
      <c r="BDO3" s="62"/>
      <c r="BDP3" s="62"/>
      <c r="BDQ3" s="62"/>
      <c r="BDR3" s="62"/>
      <c r="BDS3" s="62"/>
      <c r="BDT3" s="62"/>
      <c r="BDU3" s="62"/>
      <c r="BDV3" s="62"/>
      <c r="BDW3" s="62"/>
      <c r="BDX3" s="62"/>
      <c r="BDY3" s="62"/>
      <c r="BDZ3" s="62"/>
      <c r="BEA3" s="62"/>
      <c r="BEB3" s="62"/>
      <c r="BEC3" s="62"/>
      <c r="BED3" s="62"/>
      <c r="BEE3" s="62"/>
      <c r="BEF3" s="62"/>
      <c r="BEG3" s="62"/>
      <c r="BEH3" s="62"/>
      <c r="BEI3" s="62"/>
      <c r="BEJ3" s="62"/>
      <c r="BEK3" s="62"/>
      <c r="BEL3" s="62"/>
      <c r="BEM3" s="62"/>
      <c r="BEN3" s="62"/>
      <c r="BEO3" s="62"/>
      <c r="BEP3" s="62"/>
      <c r="BEQ3" s="62"/>
      <c r="BER3" s="62"/>
      <c r="BES3" s="62"/>
      <c r="BET3" s="62"/>
      <c r="BEU3" s="62"/>
      <c r="BEV3" s="62"/>
      <c r="BEW3" s="62"/>
      <c r="BEX3" s="62"/>
      <c r="BEY3" s="62"/>
      <c r="BEZ3" s="62"/>
      <c r="BFA3" s="62"/>
      <c r="BFB3" s="62"/>
      <c r="BFC3" s="62"/>
      <c r="BFD3" s="62"/>
      <c r="BFE3" s="62"/>
      <c r="BFF3" s="62"/>
      <c r="BFG3" s="62"/>
      <c r="BFH3" s="62"/>
      <c r="BFI3" s="62"/>
      <c r="BFJ3" s="62"/>
      <c r="BFK3" s="62"/>
      <c r="BFL3" s="62"/>
      <c r="BFM3" s="62"/>
      <c r="BFN3" s="62"/>
      <c r="BFO3" s="62"/>
      <c r="BFP3" s="62"/>
      <c r="BFQ3" s="62"/>
      <c r="BFR3" s="62"/>
      <c r="BFS3" s="62"/>
      <c r="BFT3" s="62"/>
      <c r="BFU3" s="62"/>
      <c r="BFV3" s="62"/>
      <c r="BFW3" s="62"/>
      <c r="BFX3" s="62"/>
      <c r="BFY3" s="62"/>
      <c r="BFZ3" s="62"/>
      <c r="BGA3" s="62"/>
      <c r="BGB3" s="62"/>
      <c r="BGC3" s="62"/>
      <c r="BGD3" s="62"/>
      <c r="BGE3" s="62"/>
      <c r="BGF3" s="62"/>
      <c r="BGG3" s="62"/>
      <c r="BGH3" s="62"/>
      <c r="BGI3" s="62"/>
      <c r="BGJ3" s="62"/>
      <c r="BGK3" s="62"/>
      <c r="BGL3" s="62"/>
      <c r="BGM3" s="62"/>
      <c r="BGN3" s="62"/>
      <c r="BGO3" s="62"/>
      <c r="BGP3" s="62"/>
      <c r="BGQ3" s="62"/>
      <c r="BGR3" s="62"/>
      <c r="BGS3" s="62"/>
      <c r="BGT3" s="62"/>
      <c r="BGU3" s="62"/>
      <c r="BGV3" s="62"/>
      <c r="BGW3" s="62"/>
      <c r="BGX3" s="62"/>
      <c r="BGY3" s="62"/>
      <c r="BGZ3" s="62"/>
      <c r="BHA3" s="62"/>
      <c r="BHB3" s="62"/>
      <c r="BHC3" s="62"/>
      <c r="BHD3" s="62"/>
      <c r="BHE3" s="62"/>
      <c r="BHF3" s="62"/>
      <c r="BHG3" s="62"/>
      <c r="BHH3" s="62"/>
      <c r="BHI3" s="62"/>
      <c r="BHJ3" s="62"/>
      <c r="BHK3" s="62"/>
      <c r="BHL3" s="62"/>
      <c r="BHM3" s="62"/>
      <c r="BHN3" s="62"/>
      <c r="BHO3" s="62"/>
      <c r="BHP3" s="62"/>
      <c r="BHQ3" s="62"/>
      <c r="BHR3" s="62"/>
      <c r="BHS3" s="62"/>
      <c r="BHT3" s="62"/>
      <c r="BHU3" s="62"/>
      <c r="BHV3" s="62"/>
      <c r="BHW3" s="62"/>
      <c r="BHX3" s="62"/>
      <c r="BHY3" s="62"/>
      <c r="BHZ3" s="62"/>
      <c r="BIA3" s="62"/>
      <c r="BIB3" s="62"/>
      <c r="BIC3" s="62"/>
      <c r="BID3" s="62"/>
      <c r="BIE3" s="62"/>
      <c r="BIF3" s="62"/>
      <c r="BIG3" s="62"/>
      <c r="BIH3" s="62"/>
      <c r="BII3" s="62"/>
      <c r="BIJ3" s="62"/>
      <c r="BIK3" s="62"/>
      <c r="BIL3" s="62"/>
      <c r="BIM3" s="62"/>
      <c r="BIN3" s="62"/>
      <c r="BIO3" s="62"/>
      <c r="BIP3" s="62"/>
      <c r="BIQ3" s="62"/>
      <c r="BIR3" s="62"/>
      <c r="BIS3" s="62"/>
      <c r="BIT3" s="62"/>
      <c r="BIU3" s="62"/>
      <c r="BIV3" s="62"/>
      <c r="BIW3" s="62"/>
      <c r="BIX3" s="62"/>
      <c r="BIY3" s="62"/>
      <c r="BIZ3" s="62"/>
      <c r="BJA3" s="62"/>
      <c r="BJB3" s="62"/>
      <c r="BJC3" s="62"/>
      <c r="BJD3" s="62"/>
      <c r="BJE3" s="62"/>
      <c r="BJF3" s="62"/>
      <c r="BJG3" s="62"/>
      <c r="BJH3" s="62"/>
      <c r="BJI3" s="62"/>
      <c r="BJJ3" s="62"/>
      <c r="BJK3" s="62"/>
      <c r="BJL3" s="62"/>
      <c r="BJM3" s="62"/>
      <c r="BJN3" s="62"/>
      <c r="BJO3" s="62"/>
      <c r="BJP3" s="62"/>
      <c r="BJQ3" s="62"/>
      <c r="BJR3" s="62"/>
      <c r="BJS3" s="62"/>
      <c r="BJT3" s="62"/>
      <c r="BJU3" s="62"/>
      <c r="BJV3" s="62"/>
      <c r="BJW3" s="62"/>
      <c r="BJX3" s="62"/>
      <c r="BJY3" s="62"/>
      <c r="BJZ3" s="62"/>
      <c r="BKA3" s="62"/>
      <c r="BKB3" s="62"/>
      <c r="BKC3" s="62"/>
      <c r="BKD3" s="62"/>
      <c r="BKE3" s="62"/>
      <c r="BKF3" s="62"/>
      <c r="BKG3" s="62"/>
      <c r="BKH3" s="62"/>
      <c r="BKI3" s="62"/>
      <c r="BKJ3" s="62"/>
      <c r="BKK3" s="62"/>
      <c r="BKL3" s="62"/>
      <c r="BKM3" s="62"/>
      <c r="BKN3" s="62"/>
      <c r="BKO3" s="62"/>
      <c r="BKP3" s="62"/>
      <c r="BKQ3" s="62"/>
      <c r="BKR3" s="62"/>
      <c r="BKS3" s="62"/>
      <c r="BKT3" s="62"/>
      <c r="BKU3" s="62"/>
      <c r="BKV3" s="62"/>
      <c r="BKW3" s="62"/>
      <c r="BKX3" s="62"/>
      <c r="BKY3" s="62"/>
      <c r="BKZ3" s="62"/>
      <c r="BLA3" s="62"/>
      <c r="BLB3" s="62"/>
      <c r="BLC3" s="62"/>
      <c r="BLD3" s="62"/>
      <c r="BLE3" s="62"/>
      <c r="BLF3" s="62"/>
      <c r="BLG3" s="62"/>
      <c r="BLH3" s="62"/>
      <c r="BLI3" s="62"/>
      <c r="BLJ3" s="62"/>
      <c r="BLK3" s="62"/>
      <c r="BLL3" s="62"/>
      <c r="BLM3" s="62"/>
      <c r="BLN3" s="62"/>
      <c r="BLO3" s="62"/>
      <c r="BLP3" s="62"/>
      <c r="BLQ3" s="62"/>
      <c r="BLR3" s="62"/>
      <c r="BLS3" s="62"/>
      <c r="BLT3" s="62"/>
      <c r="BLU3" s="62"/>
      <c r="BLV3" s="62"/>
      <c r="BLW3" s="62"/>
      <c r="BLX3" s="62"/>
      <c r="BLY3" s="62"/>
      <c r="BLZ3" s="62"/>
      <c r="BMA3" s="62"/>
      <c r="BMB3" s="62"/>
      <c r="BMC3" s="62"/>
      <c r="BMD3" s="62"/>
      <c r="BME3" s="62"/>
      <c r="BMF3" s="62"/>
      <c r="BMG3" s="62"/>
      <c r="BMH3" s="62"/>
      <c r="BMI3" s="62"/>
      <c r="BMJ3" s="62"/>
      <c r="BMK3" s="62"/>
      <c r="BML3" s="62"/>
      <c r="BMM3" s="62"/>
      <c r="BMN3" s="62"/>
      <c r="BMO3" s="62"/>
      <c r="BMP3" s="62"/>
      <c r="BMQ3" s="62"/>
      <c r="BMR3" s="62"/>
      <c r="BMS3" s="62"/>
      <c r="BMT3" s="62"/>
      <c r="BMU3" s="62"/>
      <c r="BMV3" s="62"/>
      <c r="BMW3" s="62"/>
      <c r="BMX3" s="62"/>
      <c r="BMY3" s="62"/>
      <c r="BMZ3" s="62"/>
      <c r="BNA3" s="62"/>
      <c r="BNB3" s="62"/>
      <c r="BNC3" s="62"/>
      <c r="BND3" s="62"/>
      <c r="BNE3" s="62"/>
      <c r="BNF3" s="62"/>
      <c r="BNG3" s="62"/>
      <c r="BNH3" s="62"/>
      <c r="BNI3" s="62"/>
      <c r="BNJ3" s="62"/>
      <c r="BNK3" s="62"/>
      <c r="BNL3" s="62"/>
      <c r="BNM3" s="62"/>
      <c r="BNN3" s="62"/>
      <c r="BNO3" s="62"/>
      <c r="BNP3" s="62"/>
      <c r="BNQ3" s="62"/>
      <c r="BNR3" s="62"/>
      <c r="BNS3" s="62"/>
      <c r="BNT3" s="62"/>
      <c r="BNU3" s="62"/>
      <c r="BNV3" s="62"/>
      <c r="BNW3" s="62"/>
      <c r="BNX3" s="62"/>
      <c r="BNY3" s="62"/>
      <c r="BNZ3" s="62"/>
      <c r="BOA3" s="62"/>
      <c r="BOB3" s="62"/>
      <c r="BOC3" s="62"/>
      <c r="BOD3" s="62"/>
      <c r="BOE3" s="62"/>
      <c r="BOF3" s="62"/>
      <c r="BOG3" s="62"/>
      <c r="BOH3" s="62"/>
      <c r="BOI3" s="62"/>
      <c r="BOJ3" s="62"/>
      <c r="BOK3" s="62"/>
      <c r="BOL3" s="62"/>
      <c r="BOM3" s="62"/>
      <c r="BON3" s="62"/>
      <c r="BOO3" s="62"/>
      <c r="BOP3" s="62"/>
      <c r="BOQ3" s="62"/>
      <c r="BOR3" s="62"/>
      <c r="BOS3" s="62"/>
      <c r="BOT3" s="62"/>
      <c r="BOU3" s="62"/>
      <c r="BOV3" s="62"/>
      <c r="BOW3" s="62"/>
      <c r="BOX3" s="62"/>
      <c r="BOY3" s="62"/>
      <c r="BOZ3" s="62"/>
      <c r="BPA3" s="62"/>
      <c r="BPB3" s="62"/>
      <c r="BPC3" s="62"/>
      <c r="BPD3" s="62"/>
      <c r="BPE3" s="62"/>
      <c r="BPF3" s="62"/>
      <c r="BPG3" s="62"/>
      <c r="BPH3" s="62"/>
      <c r="BPI3" s="62"/>
      <c r="BPJ3" s="62"/>
      <c r="BPK3" s="62"/>
      <c r="BPL3" s="62"/>
      <c r="BPM3" s="62"/>
      <c r="BPN3" s="62"/>
      <c r="BPO3" s="62"/>
      <c r="BPP3" s="62"/>
      <c r="BPQ3" s="62"/>
      <c r="BPR3" s="62"/>
      <c r="BPS3" s="62"/>
      <c r="BPT3" s="62"/>
      <c r="BPU3" s="62"/>
      <c r="BPV3" s="62"/>
      <c r="BPW3" s="62"/>
      <c r="BPX3" s="62"/>
      <c r="BPY3" s="62"/>
      <c r="BPZ3" s="62"/>
      <c r="BQA3" s="62"/>
      <c r="BQB3" s="62"/>
      <c r="BQC3" s="62"/>
      <c r="BQD3" s="62"/>
      <c r="BQE3" s="62"/>
      <c r="BQF3" s="62"/>
      <c r="BQG3" s="62"/>
      <c r="BQH3" s="62"/>
      <c r="BQI3" s="62"/>
      <c r="BQJ3" s="62"/>
      <c r="BQK3" s="62"/>
      <c r="BQL3" s="62"/>
      <c r="BQM3" s="62"/>
      <c r="BQN3" s="62"/>
      <c r="BQO3" s="62"/>
      <c r="BQP3" s="62"/>
      <c r="BQQ3" s="62"/>
      <c r="BQR3" s="62"/>
      <c r="BQS3" s="62"/>
      <c r="BQT3" s="62"/>
      <c r="BQU3" s="62"/>
      <c r="BQV3" s="62"/>
      <c r="BQW3" s="62"/>
      <c r="BQX3" s="62"/>
      <c r="BQY3" s="62"/>
      <c r="BQZ3" s="62"/>
      <c r="BRA3" s="62"/>
      <c r="BRB3" s="62"/>
      <c r="BRC3" s="62"/>
      <c r="BRD3" s="62"/>
      <c r="BRE3" s="62"/>
      <c r="BRF3" s="62"/>
      <c r="BRG3" s="62"/>
      <c r="BRH3" s="62"/>
      <c r="BRI3" s="62"/>
      <c r="BRJ3" s="62"/>
      <c r="BRK3" s="62"/>
      <c r="BRL3" s="62"/>
      <c r="BRM3" s="62"/>
      <c r="BRN3" s="62"/>
      <c r="BRO3" s="62"/>
      <c r="BRP3" s="62"/>
      <c r="BRQ3" s="62"/>
      <c r="BRR3" s="62"/>
      <c r="BRS3" s="62"/>
      <c r="BRT3" s="62"/>
      <c r="BRU3" s="62"/>
      <c r="BRV3" s="62"/>
      <c r="BRW3" s="62"/>
      <c r="BRX3" s="62"/>
      <c r="BRY3" s="62"/>
      <c r="BRZ3" s="62"/>
      <c r="BSA3" s="62"/>
      <c r="BSB3" s="62"/>
      <c r="BSC3" s="62"/>
      <c r="BSD3" s="62"/>
      <c r="BSE3" s="62"/>
      <c r="BSF3" s="62"/>
      <c r="BSG3" s="62"/>
      <c r="BSH3" s="62"/>
      <c r="BSI3" s="62"/>
      <c r="BSJ3" s="62"/>
      <c r="BSK3" s="62"/>
      <c r="BSL3" s="62"/>
      <c r="BSM3" s="62"/>
      <c r="BSN3" s="62"/>
      <c r="BSO3" s="62"/>
      <c r="BSP3" s="62"/>
      <c r="BSQ3" s="62"/>
      <c r="BSR3" s="62"/>
      <c r="BSS3" s="62"/>
      <c r="BST3" s="62"/>
      <c r="BSU3" s="62"/>
      <c r="BSV3" s="62"/>
      <c r="BSW3" s="62"/>
      <c r="BSX3" s="62"/>
      <c r="BSY3" s="62"/>
      <c r="BSZ3" s="62"/>
      <c r="BTA3" s="62"/>
      <c r="BTB3" s="62"/>
      <c r="BTC3" s="62"/>
      <c r="BTD3" s="62"/>
      <c r="BTE3" s="62"/>
      <c r="BTF3" s="62"/>
      <c r="BTG3" s="62"/>
      <c r="BTH3" s="62"/>
      <c r="BTI3" s="62"/>
      <c r="BTJ3" s="62"/>
      <c r="BTK3" s="62"/>
      <c r="BTL3" s="62"/>
      <c r="BTM3" s="62"/>
      <c r="BTN3" s="62"/>
      <c r="BTO3" s="62"/>
      <c r="BTP3" s="62"/>
      <c r="BTQ3" s="62"/>
      <c r="BTR3" s="62"/>
      <c r="BTS3" s="62"/>
      <c r="BTT3" s="62"/>
      <c r="BTU3" s="62"/>
      <c r="BTV3" s="62"/>
      <c r="BTW3" s="62"/>
      <c r="BTX3" s="62"/>
      <c r="BTY3" s="62"/>
      <c r="BTZ3" s="62"/>
      <c r="BUA3" s="62"/>
      <c r="BUB3" s="62"/>
      <c r="BUC3" s="62"/>
      <c r="BUD3" s="62"/>
      <c r="BUE3" s="62"/>
      <c r="BUF3" s="62"/>
      <c r="BUG3" s="62"/>
      <c r="BUH3" s="62"/>
      <c r="BUI3" s="62"/>
      <c r="BUJ3" s="62"/>
      <c r="BUK3" s="62"/>
      <c r="BUL3" s="62"/>
      <c r="BUM3" s="62"/>
      <c r="BUN3" s="62"/>
      <c r="BUO3" s="62"/>
      <c r="BUP3" s="62"/>
      <c r="BUQ3" s="62"/>
      <c r="BUR3" s="62"/>
      <c r="BUS3" s="62"/>
      <c r="BUT3" s="62"/>
      <c r="BUU3" s="62"/>
      <c r="BUV3" s="62"/>
      <c r="BUW3" s="62"/>
      <c r="BUX3" s="62"/>
      <c r="BUY3" s="62"/>
      <c r="BUZ3" s="62"/>
      <c r="BVA3" s="62"/>
      <c r="BVB3" s="62"/>
      <c r="BVC3" s="62"/>
      <c r="BVD3" s="62"/>
      <c r="BVE3" s="62"/>
      <c r="BVF3" s="62"/>
      <c r="BVG3" s="62"/>
      <c r="BVH3" s="62"/>
      <c r="BVI3" s="62"/>
      <c r="BVJ3" s="62"/>
      <c r="BVK3" s="62"/>
      <c r="BVL3" s="62"/>
      <c r="BVM3" s="62"/>
      <c r="BVN3" s="62"/>
      <c r="BVO3" s="62"/>
      <c r="BVP3" s="62"/>
      <c r="BVQ3" s="62"/>
      <c r="BVR3" s="62"/>
      <c r="BVS3" s="62"/>
      <c r="BVT3" s="62"/>
      <c r="BVU3" s="62"/>
      <c r="BVV3" s="62"/>
      <c r="BVW3" s="62"/>
      <c r="BVX3" s="62"/>
      <c r="BVY3" s="62"/>
      <c r="BVZ3" s="62"/>
      <c r="BWA3" s="62"/>
      <c r="BWB3" s="62"/>
      <c r="BWC3" s="62"/>
      <c r="BWD3" s="62"/>
      <c r="BWE3" s="62"/>
      <c r="BWF3" s="62"/>
      <c r="BWG3" s="62"/>
      <c r="BWH3" s="62"/>
      <c r="BWI3" s="62"/>
      <c r="BWJ3" s="62"/>
      <c r="BWK3" s="62"/>
      <c r="BWL3" s="62"/>
      <c r="BWM3" s="62"/>
      <c r="BWN3" s="62"/>
      <c r="BWO3" s="62"/>
      <c r="BWP3" s="62"/>
      <c r="BWQ3" s="62"/>
      <c r="BWR3" s="62"/>
      <c r="BWS3" s="62"/>
      <c r="BWT3" s="62"/>
      <c r="BWU3" s="62"/>
      <c r="BWV3" s="62"/>
      <c r="BWW3" s="62"/>
      <c r="BWX3" s="62"/>
      <c r="BWY3" s="62"/>
      <c r="BWZ3" s="62"/>
      <c r="BXA3" s="62"/>
      <c r="BXB3" s="62"/>
      <c r="BXC3" s="62"/>
      <c r="BXD3" s="62"/>
      <c r="BXE3" s="62"/>
      <c r="BXF3" s="62"/>
      <c r="BXG3" s="62"/>
      <c r="BXH3" s="62"/>
      <c r="BXI3" s="62"/>
      <c r="BXJ3" s="62"/>
      <c r="BXK3" s="62"/>
      <c r="BXL3" s="62"/>
      <c r="BXM3" s="62"/>
      <c r="BXN3" s="62"/>
      <c r="BXO3" s="62"/>
      <c r="BXP3" s="62"/>
      <c r="BXQ3" s="62"/>
      <c r="BXR3" s="62"/>
      <c r="BXS3" s="62"/>
      <c r="BXT3" s="62"/>
      <c r="BXU3" s="62"/>
      <c r="BXV3" s="62"/>
      <c r="BXW3" s="62"/>
      <c r="BXX3" s="62"/>
      <c r="BXY3" s="62"/>
      <c r="BXZ3" s="62"/>
      <c r="BYA3" s="62"/>
      <c r="BYB3" s="62"/>
      <c r="BYC3" s="62"/>
      <c r="BYD3" s="62"/>
      <c r="BYE3" s="62"/>
      <c r="BYF3" s="62"/>
      <c r="BYG3" s="62"/>
      <c r="BYH3" s="62"/>
      <c r="BYI3" s="62"/>
      <c r="BYJ3" s="62"/>
      <c r="BYK3" s="62"/>
      <c r="BYL3" s="62"/>
      <c r="BYM3" s="62"/>
      <c r="BYN3" s="62"/>
      <c r="BYO3" s="62"/>
      <c r="BYP3" s="62"/>
      <c r="BYQ3" s="62"/>
      <c r="BYR3" s="62"/>
      <c r="BYS3" s="62"/>
      <c r="BYT3" s="62"/>
      <c r="BYU3" s="62"/>
      <c r="BYV3" s="62"/>
      <c r="BYW3" s="62"/>
      <c r="BYX3" s="62"/>
      <c r="BYY3" s="62"/>
      <c r="BYZ3" s="62"/>
      <c r="BZA3" s="62"/>
      <c r="BZB3" s="62"/>
      <c r="BZC3" s="62"/>
      <c r="BZD3" s="62"/>
      <c r="BZE3" s="62"/>
      <c r="BZF3" s="62"/>
      <c r="BZG3" s="62"/>
      <c r="BZH3" s="62"/>
      <c r="BZI3" s="62"/>
      <c r="BZJ3" s="62"/>
      <c r="BZK3" s="62"/>
      <c r="BZL3" s="62"/>
      <c r="BZM3" s="62"/>
      <c r="BZN3" s="62"/>
      <c r="BZO3" s="62"/>
      <c r="BZP3" s="62"/>
      <c r="BZQ3" s="62"/>
      <c r="BZR3" s="62"/>
      <c r="BZS3" s="62"/>
      <c r="BZT3" s="62"/>
      <c r="BZU3" s="62"/>
      <c r="BZV3" s="62"/>
      <c r="BZW3" s="62"/>
      <c r="BZX3" s="62"/>
      <c r="BZY3" s="62"/>
      <c r="BZZ3" s="62"/>
      <c r="CAA3" s="62"/>
      <c r="CAB3" s="62"/>
      <c r="CAC3" s="62"/>
      <c r="CAD3" s="62"/>
      <c r="CAE3" s="62"/>
      <c r="CAF3" s="62"/>
      <c r="CAG3" s="62"/>
      <c r="CAH3" s="62"/>
      <c r="CAI3" s="62"/>
      <c r="CAJ3" s="62"/>
      <c r="CAK3" s="62"/>
      <c r="CAL3" s="62"/>
      <c r="CAM3" s="62"/>
      <c r="CAN3" s="62"/>
      <c r="CAO3" s="62"/>
      <c r="CAP3" s="62"/>
      <c r="CAQ3" s="62"/>
      <c r="CAR3" s="62"/>
      <c r="CAS3" s="62"/>
      <c r="CAT3" s="62"/>
      <c r="CAU3" s="62"/>
      <c r="CAV3" s="62"/>
      <c r="CAW3" s="62"/>
      <c r="CAX3" s="62"/>
      <c r="CAY3" s="62"/>
      <c r="CAZ3" s="62"/>
      <c r="CBA3" s="62"/>
      <c r="CBB3" s="62"/>
      <c r="CBC3" s="62"/>
      <c r="CBD3" s="62"/>
      <c r="CBE3" s="62"/>
      <c r="CBF3" s="62"/>
      <c r="CBG3" s="62"/>
      <c r="CBH3" s="62"/>
      <c r="CBI3" s="62"/>
      <c r="CBJ3" s="62"/>
      <c r="CBK3" s="62"/>
      <c r="CBL3" s="62"/>
      <c r="CBM3" s="62"/>
      <c r="CBN3" s="62"/>
      <c r="CBO3" s="62"/>
      <c r="CBP3" s="62"/>
      <c r="CBQ3" s="62"/>
      <c r="CBR3" s="62"/>
      <c r="CBS3" s="62"/>
      <c r="CBT3" s="62"/>
      <c r="CBU3" s="62"/>
      <c r="CBV3" s="62"/>
      <c r="CBW3" s="62"/>
      <c r="CBX3" s="62"/>
      <c r="CBY3" s="62"/>
      <c r="CBZ3" s="62"/>
      <c r="CCA3" s="62"/>
      <c r="CCB3" s="62"/>
      <c r="CCC3" s="62"/>
      <c r="CCD3" s="62"/>
      <c r="CCE3" s="62"/>
      <c r="CCF3" s="62"/>
      <c r="CCG3" s="62"/>
      <c r="CCH3" s="62"/>
      <c r="CCI3" s="62"/>
      <c r="CCJ3" s="62"/>
      <c r="CCK3" s="62"/>
      <c r="CCL3" s="62"/>
      <c r="CCM3" s="62"/>
      <c r="CCN3" s="62"/>
      <c r="CCO3" s="62"/>
      <c r="CCP3" s="62"/>
      <c r="CCQ3" s="62"/>
      <c r="CCR3" s="62"/>
      <c r="CCS3" s="62"/>
      <c r="CCT3" s="62"/>
      <c r="CCU3" s="62"/>
      <c r="CCV3" s="62"/>
      <c r="CCW3" s="62"/>
      <c r="CCX3" s="62"/>
      <c r="CCY3" s="62"/>
      <c r="CCZ3" s="62"/>
      <c r="CDA3" s="62"/>
      <c r="CDB3" s="62"/>
      <c r="CDC3" s="62"/>
      <c r="CDD3" s="62"/>
      <c r="CDE3" s="62"/>
      <c r="CDF3" s="62"/>
      <c r="CDG3" s="62"/>
      <c r="CDH3" s="62"/>
      <c r="CDI3" s="62"/>
      <c r="CDJ3" s="62"/>
      <c r="CDK3" s="62"/>
      <c r="CDL3" s="62"/>
      <c r="CDM3" s="62"/>
      <c r="CDN3" s="62"/>
      <c r="CDO3" s="62"/>
      <c r="CDP3" s="62"/>
      <c r="CDQ3" s="62"/>
      <c r="CDR3" s="62"/>
      <c r="CDS3" s="62"/>
      <c r="CDT3" s="62"/>
      <c r="CDU3" s="62"/>
      <c r="CDV3" s="62"/>
      <c r="CDW3" s="62"/>
      <c r="CDX3" s="62"/>
      <c r="CDY3" s="62"/>
      <c r="CDZ3" s="62"/>
      <c r="CEA3" s="62"/>
      <c r="CEB3" s="62"/>
      <c r="CEC3" s="62"/>
      <c r="CED3" s="62"/>
      <c r="CEE3" s="62"/>
      <c r="CEF3" s="62"/>
      <c r="CEG3" s="62"/>
      <c r="CEH3" s="62"/>
      <c r="CEI3" s="62"/>
      <c r="CEJ3" s="62"/>
      <c r="CEK3" s="62"/>
      <c r="CEL3" s="62"/>
      <c r="CEM3" s="62"/>
      <c r="CEN3" s="62"/>
      <c r="CEO3" s="62"/>
      <c r="CEP3" s="62"/>
      <c r="CEQ3" s="62"/>
      <c r="CER3" s="62"/>
      <c r="CES3" s="62"/>
      <c r="CET3" s="62"/>
      <c r="CEU3" s="62"/>
      <c r="CEV3" s="62"/>
      <c r="CEW3" s="62"/>
      <c r="CEX3" s="62"/>
      <c r="CEY3" s="62"/>
      <c r="CEZ3" s="62"/>
      <c r="CFA3" s="62"/>
      <c r="CFB3" s="62"/>
      <c r="CFC3" s="62"/>
      <c r="CFD3" s="62"/>
      <c r="CFE3" s="62"/>
      <c r="CFF3" s="62"/>
      <c r="CFG3" s="62"/>
      <c r="CFH3" s="62"/>
      <c r="CFI3" s="62"/>
      <c r="CFJ3" s="62"/>
      <c r="CFK3" s="62"/>
      <c r="CFL3" s="62"/>
      <c r="CFM3" s="62"/>
      <c r="CFN3" s="62"/>
      <c r="CFO3" s="62"/>
      <c r="CFP3" s="62"/>
      <c r="CFQ3" s="62"/>
      <c r="CFR3" s="62"/>
      <c r="CFS3" s="62"/>
      <c r="CFT3" s="62"/>
      <c r="CFU3" s="62"/>
      <c r="CFV3" s="62"/>
      <c r="CFW3" s="62"/>
      <c r="CFX3" s="62"/>
      <c r="CFY3" s="62"/>
      <c r="CFZ3" s="62"/>
      <c r="CGA3" s="62"/>
      <c r="CGB3" s="62"/>
      <c r="CGC3" s="62"/>
      <c r="CGD3" s="62"/>
      <c r="CGE3" s="62"/>
      <c r="CGF3" s="62"/>
      <c r="CGG3" s="62"/>
      <c r="CGH3" s="62"/>
      <c r="CGI3" s="62"/>
      <c r="CGJ3" s="62"/>
      <c r="CGK3" s="62"/>
      <c r="CGL3" s="62"/>
      <c r="CGM3" s="62"/>
      <c r="CGN3" s="62"/>
      <c r="CGO3" s="62"/>
      <c r="CGP3" s="62"/>
      <c r="CGQ3" s="62"/>
      <c r="CGR3" s="62"/>
      <c r="CGS3" s="62"/>
      <c r="CGT3" s="62"/>
      <c r="CGU3" s="62"/>
      <c r="CGV3" s="62"/>
      <c r="CGW3" s="62"/>
      <c r="CGX3" s="62"/>
      <c r="CGY3" s="62"/>
      <c r="CGZ3" s="62"/>
      <c r="CHA3" s="62"/>
      <c r="CHB3" s="62"/>
      <c r="CHC3" s="62"/>
      <c r="CHD3" s="62"/>
      <c r="CHE3" s="62"/>
      <c r="CHF3" s="62"/>
      <c r="CHG3" s="62"/>
      <c r="CHH3" s="62"/>
      <c r="CHI3" s="62"/>
      <c r="CHJ3" s="62"/>
      <c r="CHK3" s="62"/>
      <c r="CHL3" s="62"/>
      <c r="CHM3" s="62"/>
      <c r="CHN3" s="62"/>
      <c r="CHO3" s="62"/>
      <c r="CHP3" s="62"/>
      <c r="CHQ3" s="62"/>
      <c r="CHR3" s="62"/>
      <c r="CHS3" s="62"/>
      <c r="CHT3" s="62"/>
      <c r="CHU3" s="62"/>
      <c r="CHV3" s="62"/>
      <c r="CHW3" s="62"/>
      <c r="CHX3" s="62"/>
      <c r="CHY3" s="62"/>
      <c r="CHZ3" s="62"/>
      <c r="CIA3" s="62"/>
      <c r="CIB3" s="62"/>
      <c r="CIC3" s="62"/>
      <c r="CID3" s="62"/>
      <c r="CIE3" s="62"/>
      <c r="CIF3" s="62"/>
      <c r="CIG3" s="62"/>
      <c r="CIH3" s="62"/>
      <c r="CII3" s="62"/>
      <c r="CIJ3" s="62"/>
      <c r="CIK3" s="62"/>
      <c r="CIL3" s="62"/>
      <c r="CIM3" s="62"/>
      <c r="CIN3" s="62"/>
      <c r="CIO3" s="62"/>
      <c r="CIP3" s="62"/>
      <c r="CIQ3" s="62"/>
      <c r="CIR3" s="62"/>
      <c r="CIS3" s="62"/>
      <c r="CIT3" s="62"/>
      <c r="CIU3" s="62"/>
      <c r="CIV3" s="62"/>
      <c r="CIW3" s="62"/>
      <c r="CIX3" s="62"/>
      <c r="CIY3" s="62"/>
      <c r="CIZ3" s="62"/>
      <c r="CJA3" s="62"/>
      <c r="CJB3" s="62"/>
      <c r="CJC3" s="62"/>
      <c r="CJD3" s="62"/>
      <c r="CJE3" s="62"/>
      <c r="CJF3" s="62"/>
      <c r="CJG3" s="62"/>
      <c r="CJH3" s="62"/>
      <c r="CJI3" s="62"/>
      <c r="CJJ3" s="62"/>
      <c r="CJK3" s="62"/>
      <c r="CJL3" s="62"/>
      <c r="CJM3" s="62"/>
      <c r="CJN3" s="62"/>
      <c r="CJO3" s="62"/>
      <c r="CJP3" s="62"/>
      <c r="CJQ3" s="62"/>
      <c r="CJR3" s="62"/>
      <c r="CJS3" s="62"/>
      <c r="CJT3" s="62"/>
      <c r="CJU3" s="62"/>
      <c r="CJV3" s="62"/>
      <c r="CJW3" s="62"/>
      <c r="CJX3" s="62"/>
      <c r="CJY3" s="62"/>
      <c r="CJZ3" s="62"/>
      <c r="CKA3" s="62"/>
      <c r="CKB3" s="62"/>
      <c r="CKC3" s="62"/>
      <c r="CKD3" s="62"/>
      <c r="CKE3" s="62"/>
      <c r="CKF3" s="62"/>
      <c r="CKG3" s="62"/>
      <c r="CKH3" s="62"/>
      <c r="CKI3" s="62"/>
      <c r="CKJ3" s="62"/>
      <c r="CKK3" s="62"/>
      <c r="CKL3" s="62"/>
      <c r="CKM3" s="62"/>
      <c r="CKN3" s="62"/>
      <c r="CKO3" s="62"/>
      <c r="CKP3" s="62"/>
      <c r="CKQ3" s="62"/>
      <c r="CKR3" s="62"/>
      <c r="CKS3" s="62"/>
      <c r="CKT3" s="62"/>
      <c r="CKU3" s="62"/>
      <c r="CKV3" s="62"/>
      <c r="CKW3" s="62"/>
      <c r="CKX3" s="62"/>
      <c r="CKY3" s="62"/>
      <c r="CKZ3" s="62"/>
      <c r="CLA3" s="62"/>
      <c r="CLB3" s="62"/>
      <c r="CLC3" s="62"/>
      <c r="CLD3" s="62"/>
      <c r="CLE3" s="62"/>
      <c r="CLF3" s="62"/>
      <c r="CLG3" s="62"/>
      <c r="CLH3" s="62"/>
      <c r="CLI3" s="62"/>
      <c r="CLJ3" s="62"/>
      <c r="CLK3" s="62"/>
      <c r="CLL3" s="62"/>
      <c r="CLM3" s="62"/>
      <c r="CLN3" s="62"/>
      <c r="CLO3" s="62"/>
      <c r="CLP3" s="62"/>
      <c r="CLQ3" s="62"/>
      <c r="CLR3" s="62"/>
      <c r="CLS3" s="62"/>
      <c r="CLT3" s="62"/>
      <c r="CLU3" s="62"/>
      <c r="CLV3" s="62"/>
      <c r="CLW3" s="62"/>
      <c r="CLX3" s="62"/>
      <c r="CLY3" s="62"/>
      <c r="CLZ3" s="62"/>
      <c r="CMA3" s="62"/>
      <c r="CMB3" s="62"/>
      <c r="CMC3" s="62"/>
      <c r="CMD3" s="62"/>
      <c r="CME3" s="62"/>
      <c r="CMF3" s="62"/>
      <c r="CMG3" s="62"/>
      <c r="CMH3" s="62"/>
      <c r="CMI3" s="62"/>
      <c r="CMJ3" s="62"/>
      <c r="CMK3" s="62"/>
      <c r="CML3" s="62"/>
      <c r="CMM3" s="62"/>
      <c r="CMN3" s="62"/>
      <c r="CMO3" s="62"/>
      <c r="CMP3" s="62"/>
      <c r="CMQ3" s="62"/>
      <c r="CMR3" s="62"/>
      <c r="CMS3" s="62"/>
      <c r="CMT3" s="62"/>
      <c r="CMU3" s="62"/>
      <c r="CMV3" s="62"/>
      <c r="CMW3" s="62"/>
      <c r="CMX3" s="62"/>
      <c r="CMY3" s="62"/>
      <c r="CMZ3" s="62"/>
      <c r="CNA3" s="62"/>
      <c r="CNB3" s="62"/>
      <c r="CNC3" s="62"/>
      <c r="CND3" s="62"/>
      <c r="CNE3" s="62"/>
      <c r="CNF3" s="62"/>
      <c r="CNG3" s="62"/>
      <c r="CNH3" s="62"/>
      <c r="CNI3" s="62"/>
      <c r="CNJ3" s="62"/>
      <c r="CNK3" s="62"/>
      <c r="CNL3" s="62"/>
      <c r="CNM3" s="62"/>
      <c r="CNN3" s="62"/>
      <c r="CNO3" s="62"/>
      <c r="CNP3" s="62"/>
      <c r="CNQ3" s="62"/>
      <c r="CNR3" s="62"/>
      <c r="CNS3" s="62"/>
      <c r="CNT3" s="62"/>
      <c r="CNU3" s="62"/>
      <c r="CNV3" s="62"/>
      <c r="CNW3" s="62"/>
      <c r="CNX3" s="62"/>
      <c r="CNY3" s="62"/>
      <c r="CNZ3" s="62"/>
      <c r="COA3" s="62"/>
      <c r="COB3" s="62"/>
      <c r="COC3" s="62"/>
      <c r="COD3" s="62"/>
      <c r="COE3" s="62"/>
      <c r="COF3" s="62"/>
      <c r="COG3" s="62"/>
      <c r="COH3" s="62"/>
      <c r="COI3" s="62"/>
      <c r="COJ3" s="62"/>
      <c r="COK3" s="62"/>
      <c r="COL3" s="62"/>
      <c r="COM3" s="62"/>
      <c r="CON3" s="62"/>
      <c r="COO3" s="62"/>
      <c r="COP3" s="62"/>
      <c r="COQ3" s="62"/>
      <c r="COR3" s="62"/>
      <c r="COS3" s="62"/>
      <c r="COT3" s="62"/>
      <c r="COU3" s="62"/>
      <c r="COV3" s="62"/>
      <c r="COW3" s="62"/>
      <c r="COX3" s="62"/>
      <c r="COY3" s="62"/>
      <c r="COZ3" s="62"/>
      <c r="CPA3" s="62"/>
      <c r="CPB3" s="62"/>
      <c r="CPC3" s="62"/>
      <c r="CPD3" s="62"/>
      <c r="CPE3" s="62"/>
      <c r="CPF3" s="62"/>
      <c r="CPG3" s="62"/>
      <c r="CPH3" s="62"/>
      <c r="CPI3" s="62"/>
      <c r="CPJ3" s="62"/>
      <c r="CPK3" s="62"/>
      <c r="CPL3" s="62"/>
      <c r="CPM3" s="62"/>
      <c r="CPN3" s="62"/>
      <c r="CPO3" s="62"/>
      <c r="CPP3" s="62"/>
      <c r="CPQ3" s="62"/>
      <c r="CPR3" s="62"/>
      <c r="CPS3" s="62"/>
      <c r="CPT3" s="62"/>
      <c r="CPU3" s="62"/>
      <c r="CPV3" s="62"/>
      <c r="CPW3" s="62"/>
      <c r="CPX3" s="62"/>
      <c r="CPY3" s="62"/>
      <c r="CPZ3" s="62"/>
      <c r="CQA3" s="62"/>
      <c r="CQB3" s="62"/>
      <c r="CQC3" s="62"/>
      <c r="CQD3" s="62"/>
      <c r="CQE3" s="62"/>
      <c r="CQF3" s="62"/>
      <c r="CQG3" s="62"/>
      <c r="CQH3" s="62"/>
      <c r="CQI3" s="62"/>
      <c r="CQJ3" s="62"/>
      <c r="CQK3" s="62"/>
      <c r="CQL3" s="62"/>
      <c r="CQM3" s="62"/>
      <c r="CQN3" s="62"/>
      <c r="CQO3" s="62"/>
      <c r="CQP3" s="62"/>
      <c r="CQQ3" s="62"/>
      <c r="CQR3" s="62"/>
      <c r="CQS3" s="62"/>
      <c r="CQT3" s="62"/>
      <c r="CQU3" s="62"/>
      <c r="CQV3" s="62"/>
      <c r="CQW3" s="62"/>
      <c r="CQX3" s="62"/>
      <c r="CQY3" s="62"/>
      <c r="CQZ3" s="62"/>
      <c r="CRA3" s="62"/>
      <c r="CRB3" s="62"/>
      <c r="CRC3" s="62"/>
      <c r="CRD3" s="62"/>
      <c r="CRE3" s="62"/>
      <c r="CRF3" s="62"/>
      <c r="CRG3" s="62"/>
      <c r="CRH3" s="62"/>
      <c r="CRI3" s="62"/>
      <c r="CRJ3" s="62"/>
      <c r="CRK3" s="62"/>
      <c r="CRL3" s="62"/>
      <c r="CRM3" s="62"/>
      <c r="CRN3" s="62"/>
      <c r="CRO3" s="62"/>
      <c r="CRP3" s="62"/>
      <c r="CRQ3" s="62"/>
      <c r="CRR3" s="62"/>
      <c r="CRS3" s="62"/>
      <c r="CRT3" s="62"/>
      <c r="CRU3" s="62"/>
      <c r="CRV3" s="62"/>
      <c r="CRW3" s="62"/>
      <c r="CRX3" s="62"/>
      <c r="CRY3" s="62"/>
      <c r="CRZ3" s="62"/>
      <c r="CSA3" s="62"/>
      <c r="CSB3" s="62"/>
      <c r="CSC3" s="62"/>
      <c r="CSD3" s="62"/>
      <c r="CSE3" s="62"/>
      <c r="CSF3" s="62"/>
      <c r="CSG3" s="62"/>
      <c r="CSH3" s="62"/>
      <c r="CSI3" s="62"/>
      <c r="CSJ3" s="62"/>
      <c r="CSK3" s="62"/>
      <c r="CSL3" s="62"/>
      <c r="CSM3" s="62"/>
      <c r="CSN3" s="62"/>
      <c r="CSO3" s="62"/>
      <c r="CSP3" s="62"/>
      <c r="CSQ3" s="62"/>
      <c r="CSR3" s="62"/>
      <c r="CSS3" s="62"/>
      <c r="CST3" s="62"/>
      <c r="CSU3" s="62"/>
      <c r="CSV3" s="62"/>
      <c r="CSW3" s="62"/>
      <c r="CSX3" s="62"/>
      <c r="CSY3" s="62"/>
      <c r="CSZ3" s="62"/>
      <c r="CTA3" s="62"/>
      <c r="CTB3" s="62"/>
      <c r="CTC3" s="62"/>
      <c r="CTD3" s="62"/>
      <c r="CTE3" s="62"/>
      <c r="CTF3" s="62"/>
      <c r="CTG3" s="62"/>
      <c r="CTH3" s="62"/>
      <c r="CTI3" s="62"/>
      <c r="CTJ3" s="62"/>
      <c r="CTK3" s="62"/>
      <c r="CTL3" s="62"/>
      <c r="CTM3" s="62"/>
      <c r="CTN3" s="62"/>
      <c r="CTO3" s="62"/>
      <c r="CTP3" s="62"/>
      <c r="CTQ3" s="62"/>
      <c r="CTR3" s="62"/>
      <c r="CTS3" s="62"/>
      <c r="CTT3" s="62"/>
      <c r="CTU3" s="62"/>
      <c r="CTV3" s="62"/>
      <c r="CTW3" s="62"/>
      <c r="CTX3" s="62"/>
      <c r="CTY3" s="62"/>
      <c r="CTZ3" s="62"/>
      <c r="CUA3" s="62"/>
      <c r="CUB3" s="62"/>
      <c r="CUC3" s="62"/>
      <c r="CUD3" s="62"/>
      <c r="CUE3" s="62"/>
      <c r="CUF3" s="62"/>
      <c r="CUG3" s="62"/>
      <c r="CUH3" s="62"/>
      <c r="CUI3" s="62"/>
      <c r="CUJ3" s="62"/>
      <c r="CUK3" s="62"/>
      <c r="CUL3" s="62"/>
      <c r="CUM3" s="62"/>
      <c r="CUN3" s="62"/>
      <c r="CUO3" s="62"/>
      <c r="CUP3" s="62"/>
      <c r="CUQ3" s="62"/>
      <c r="CUR3" s="62"/>
      <c r="CUS3" s="62"/>
      <c r="CUT3" s="62"/>
      <c r="CUU3" s="62"/>
      <c r="CUV3" s="62"/>
      <c r="CUW3" s="62"/>
      <c r="CUX3" s="62"/>
      <c r="CUY3" s="62"/>
      <c r="CUZ3" s="62"/>
      <c r="CVA3" s="62"/>
      <c r="CVB3" s="62"/>
      <c r="CVC3" s="62"/>
      <c r="CVD3" s="62"/>
      <c r="CVE3" s="62"/>
      <c r="CVF3" s="62"/>
      <c r="CVG3" s="62"/>
      <c r="CVH3" s="62"/>
      <c r="CVI3" s="62"/>
      <c r="CVJ3" s="62"/>
      <c r="CVK3" s="62"/>
      <c r="CVL3" s="62"/>
      <c r="CVM3" s="62"/>
      <c r="CVN3" s="62"/>
      <c r="CVO3" s="62"/>
      <c r="CVP3" s="62"/>
      <c r="CVQ3" s="62"/>
      <c r="CVR3" s="62"/>
      <c r="CVS3" s="62"/>
      <c r="CVT3" s="62"/>
      <c r="CVU3" s="62"/>
      <c r="CVV3" s="62"/>
      <c r="CVW3" s="62"/>
      <c r="CVX3" s="62"/>
      <c r="CVY3" s="62"/>
      <c r="CVZ3" s="62"/>
      <c r="CWA3" s="62"/>
      <c r="CWB3" s="62"/>
      <c r="CWC3" s="62"/>
      <c r="CWD3" s="62"/>
      <c r="CWE3" s="62"/>
      <c r="CWF3" s="62"/>
      <c r="CWG3" s="62"/>
      <c r="CWH3" s="62"/>
      <c r="CWI3" s="62"/>
      <c r="CWJ3" s="62"/>
      <c r="CWK3" s="62"/>
      <c r="CWL3" s="62"/>
      <c r="CWM3" s="62"/>
      <c r="CWN3" s="62"/>
      <c r="CWO3" s="62"/>
      <c r="CWP3" s="62"/>
      <c r="CWQ3" s="62"/>
      <c r="CWR3" s="62"/>
      <c r="CWS3" s="62"/>
      <c r="CWT3" s="62"/>
      <c r="CWU3" s="62"/>
      <c r="CWV3" s="62"/>
      <c r="CWW3" s="62"/>
      <c r="CWX3" s="62"/>
      <c r="CWY3" s="62"/>
      <c r="CWZ3" s="62"/>
      <c r="CXA3" s="62"/>
      <c r="CXB3" s="62"/>
      <c r="CXC3" s="62"/>
      <c r="CXD3" s="62"/>
      <c r="CXE3" s="62"/>
      <c r="CXF3" s="62"/>
      <c r="CXG3" s="62"/>
      <c r="CXH3" s="62"/>
      <c r="CXI3" s="62"/>
      <c r="CXJ3" s="62"/>
      <c r="CXK3" s="62"/>
      <c r="CXL3" s="62"/>
      <c r="CXM3" s="62"/>
      <c r="CXN3" s="62"/>
      <c r="CXO3" s="62"/>
      <c r="CXP3" s="62"/>
      <c r="CXQ3" s="62"/>
      <c r="CXR3" s="62"/>
      <c r="CXS3" s="62"/>
      <c r="CXT3" s="62"/>
      <c r="CXU3" s="62"/>
      <c r="CXV3" s="62"/>
      <c r="CXW3" s="62"/>
      <c r="CXX3" s="62"/>
      <c r="CXY3" s="62"/>
      <c r="CXZ3" s="62"/>
      <c r="CYA3" s="62"/>
      <c r="CYB3" s="62"/>
      <c r="CYC3" s="62"/>
      <c r="CYD3" s="62"/>
      <c r="CYE3" s="62"/>
      <c r="CYF3" s="62"/>
      <c r="CYG3" s="62"/>
      <c r="CYH3" s="62"/>
      <c r="CYI3" s="62"/>
      <c r="CYJ3" s="62"/>
      <c r="CYK3" s="62"/>
      <c r="CYL3" s="62"/>
      <c r="CYM3" s="62"/>
      <c r="CYN3" s="62"/>
      <c r="CYO3" s="62"/>
      <c r="CYP3" s="62"/>
      <c r="CYQ3" s="62"/>
      <c r="CYR3" s="62"/>
      <c r="CYS3" s="62"/>
      <c r="CYT3" s="62"/>
      <c r="CYU3" s="62"/>
      <c r="CYV3" s="62"/>
      <c r="CYW3" s="62"/>
      <c r="CYX3" s="62"/>
      <c r="CYY3" s="62"/>
      <c r="CYZ3" s="62"/>
      <c r="CZA3" s="62"/>
      <c r="CZB3" s="62"/>
      <c r="CZC3" s="62"/>
      <c r="CZD3" s="62"/>
      <c r="CZE3" s="62"/>
      <c r="CZF3" s="62"/>
      <c r="CZG3" s="62"/>
      <c r="CZH3" s="62"/>
      <c r="CZI3" s="62"/>
      <c r="CZJ3" s="62"/>
      <c r="CZK3" s="62"/>
      <c r="CZL3" s="62"/>
      <c r="CZM3" s="62"/>
      <c r="CZN3" s="62"/>
      <c r="CZO3" s="62"/>
      <c r="CZP3" s="62"/>
      <c r="CZQ3" s="62"/>
      <c r="CZR3" s="62"/>
      <c r="CZS3" s="62"/>
      <c r="CZT3" s="62"/>
      <c r="CZU3" s="62"/>
      <c r="CZV3" s="62"/>
      <c r="CZW3" s="62"/>
      <c r="CZX3" s="62"/>
      <c r="CZY3" s="62"/>
      <c r="CZZ3" s="62"/>
      <c r="DAA3" s="62"/>
      <c r="DAB3" s="62"/>
      <c r="DAC3" s="62"/>
      <c r="DAD3" s="62"/>
      <c r="DAE3" s="62"/>
      <c r="DAF3" s="62"/>
      <c r="DAG3" s="62"/>
      <c r="DAH3" s="62"/>
      <c r="DAI3" s="62"/>
      <c r="DAJ3" s="62"/>
      <c r="DAK3" s="62"/>
      <c r="DAL3" s="62"/>
      <c r="DAM3" s="62"/>
      <c r="DAN3" s="62"/>
      <c r="DAO3" s="62"/>
      <c r="DAP3" s="62"/>
      <c r="DAQ3" s="62"/>
      <c r="DAR3" s="62"/>
      <c r="DAS3" s="62"/>
      <c r="DAT3" s="62"/>
      <c r="DAU3" s="62"/>
      <c r="DAV3" s="62"/>
      <c r="DAW3" s="62"/>
      <c r="DAX3" s="62"/>
      <c r="DAY3" s="62"/>
      <c r="DAZ3" s="62"/>
      <c r="DBA3" s="62"/>
      <c r="DBB3" s="62"/>
      <c r="DBC3" s="62"/>
      <c r="DBD3" s="62"/>
      <c r="DBE3" s="62"/>
      <c r="DBF3" s="62"/>
      <c r="DBG3" s="62"/>
      <c r="DBH3" s="62"/>
      <c r="DBI3" s="62"/>
      <c r="DBJ3" s="62"/>
      <c r="DBK3" s="62"/>
      <c r="DBL3" s="62"/>
      <c r="DBM3" s="62"/>
      <c r="DBN3" s="62"/>
      <c r="DBO3" s="62"/>
      <c r="DBP3" s="62"/>
      <c r="DBQ3" s="62"/>
      <c r="DBR3" s="62"/>
      <c r="DBS3" s="62"/>
      <c r="DBT3" s="62"/>
      <c r="DBU3" s="62"/>
      <c r="DBV3" s="62"/>
      <c r="DBW3" s="62"/>
      <c r="DBX3" s="62"/>
      <c r="DBY3" s="62"/>
      <c r="DBZ3" s="62"/>
      <c r="DCA3" s="62"/>
      <c r="DCB3" s="62"/>
      <c r="DCC3" s="62"/>
      <c r="DCD3" s="62"/>
      <c r="DCE3" s="62"/>
      <c r="DCF3" s="62"/>
      <c r="DCG3" s="62"/>
      <c r="DCH3" s="62"/>
      <c r="DCI3" s="62"/>
      <c r="DCJ3" s="62"/>
      <c r="DCK3" s="62"/>
      <c r="DCL3" s="62"/>
      <c r="DCM3" s="62"/>
      <c r="DCN3" s="62"/>
      <c r="DCO3" s="62"/>
      <c r="DCP3" s="62"/>
      <c r="DCQ3" s="62"/>
      <c r="DCR3" s="62"/>
      <c r="DCS3" s="62"/>
      <c r="DCT3" s="62"/>
      <c r="DCU3" s="62"/>
      <c r="DCV3" s="62"/>
      <c r="DCW3" s="62"/>
      <c r="DCX3" s="62"/>
      <c r="DCY3" s="62"/>
      <c r="DCZ3" s="62"/>
      <c r="DDA3" s="62"/>
      <c r="DDB3" s="62"/>
      <c r="DDC3" s="62"/>
      <c r="DDD3" s="62"/>
      <c r="DDE3" s="62"/>
      <c r="DDF3" s="62"/>
      <c r="DDG3" s="62"/>
      <c r="DDH3" s="62"/>
      <c r="DDI3" s="62"/>
      <c r="DDJ3" s="62"/>
      <c r="DDK3" s="62"/>
      <c r="DDL3" s="62"/>
      <c r="DDM3" s="62"/>
      <c r="DDN3" s="62"/>
      <c r="DDO3" s="62"/>
      <c r="DDP3" s="62"/>
      <c r="DDQ3" s="62"/>
      <c r="DDR3" s="62"/>
      <c r="DDS3" s="62"/>
      <c r="DDT3" s="62"/>
      <c r="DDU3" s="62"/>
      <c r="DDV3" s="62"/>
      <c r="DDW3" s="62"/>
      <c r="DDX3" s="62"/>
      <c r="DDY3" s="62"/>
      <c r="DDZ3" s="62"/>
      <c r="DEA3" s="62"/>
      <c r="DEB3" s="62"/>
      <c r="DEC3" s="62"/>
      <c r="DED3" s="62"/>
      <c r="DEE3" s="62"/>
      <c r="DEF3" s="62"/>
      <c r="DEG3" s="62"/>
      <c r="DEH3" s="62"/>
      <c r="DEI3" s="62"/>
      <c r="DEJ3" s="62"/>
      <c r="DEK3" s="62"/>
      <c r="DEL3" s="62"/>
      <c r="DEM3" s="62"/>
      <c r="DEN3" s="62"/>
      <c r="DEO3" s="62"/>
      <c r="DEP3" s="62"/>
      <c r="DEQ3" s="62"/>
      <c r="DER3" s="62"/>
      <c r="DES3" s="62"/>
      <c r="DET3" s="62"/>
      <c r="DEU3" s="62"/>
      <c r="DEV3" s="62"/>
      <c r="DEW3" s="62"/>
      <c r="DEX3" s="62"/>
      <c r="DEY3" s="62"/>
      <c r="DEZ3" s="62"/>
      <c r="DFA3" s="62"/>
      <c r="DFB3" s="62"/>
      <c r="DFC3" s="62"/>
      <c r="DFD3" s="62"/>
      <c r="DFE3" s="62"/>
      <c r="DFF3" s="62"/>
      <c r="DFG3" s="62"/>
      <c r="DFH3" s="62"/>
      <c r="DFI3" s="62"/>
      <c r="DFJ3" s="62"/>
      <c r="DFK3" s="62"/>
      <c r="DFL3" s="62"/>
      <c r="DFM3" s="62"/>
      <c r="DFN3" s="62"/>
      <c r="DFO3" s="62"/>
      <c r="DFP3" s="62"/>
      <c r="DFQ3" s="62"/>
      <c r="DFR3" s="62"/>
      <c r="DFS3" s="62"/>
      <c r="DFT3" s="62"/>
      <c r="DFU3" s="62"/>
      <c r="DFV3" s="62"/>
      <c r="DFW3" s="62"/>
      <c r="DFX3" s="62"/>
      <c r="DFY3" s="62"/>
      <c r="DFZ3" s="62"/>
      <c r="DGA3" s="62"/>
      <c r="DGB3" s="62"/>
      <c r="DGC3" s="62"/>
      <c r="DGD3" s="62"/>
      <c r="DGE3" s="62"/>
      <c r="DGF3" s="62"/>
      <c r="DGG3" s="62"/>
      <c r="DGH3" s="62"/>
      <c r="DGI3" s="62"/>
      <c r="DGJ3" s="62"/>
      <c r="DGK3" s="62"/>
      <c r="DGL3" s="62"/>
      <c r="DGM3" s="62"/>
      <c r="DGN3" s="62"/>
      <c r="DGO3" s="62"/>
      <c r="DGP3" s="62"/>
      <c r="DGQ3" s="62"/>
      <c r="DGR3" s="62"/>
      <c r="DGS3" s="62"/>
      <c r="DGT3" s="62"/>
      <c r="DGU3" s="62"/>
      <c r="DGV3" s="62"/>
      <c r="DGW3" s="62"/>
      <c r="DGX3" s="62"/>
      <c r="DGY3" s="62"/>
      <c r="DGZ3" s="62"/>
      <c r="DHA3" s="62"/>
      <c r="DHB3" s="62"/>
      <c r="DHC3" s="62"/>
      <c r="DHD3" s="62"/>
      <c r="DHE3" s="62"/>
      <c r="DHF3" s="62"/>
      <c r="DHG3" s="62"/>
      <c r="DHH3" s="62"/>
      <c r="DHI3" s="62"/>
      <c r="DHJ3" s="62"/>
      <c r="DHK3" s="62"/>
      <c r="DHL3" s="62"/>
      <c r="DHM3" s="62"/>
      <c r="DHN3" s="62"/>
      <c r="DHO3" s="62"/>
      <c r="DHP3" s="62"/>
      <c r="DHQ3" s="62"/>
      <c r="DHR3" s="62"/>
      <c r="DHS3" s="62"/>
      <c r="DHT3" s="62"/>
      <c r="DHU3" s="62"/>
      <c r="DHV3" s="62"/>
      <c r="DHW3" s="62"/>
      <c r="DHX3" s="62"/>
      <c r="DHY3" s="62"/>
      <c r="DHZ3" s="62"/>
      <c r="DIA3" s="62"/>
      <c r="DIB3" s="62"/>
      <c r="DIC3" s="62"/>
      <c r="DID3" s="62"/>
      <c r="DIE3" s="62"/>
      <c r="DIF3" s="62"/>
      <c r="DIG3" s="62"/>
      <c r="DIH3" s="62"/>
      <c r="DII3" s="62"/>
      <c r="DIJ3" s="62"/>
      <c r="DIK3" s="62"/>
      <c r="DIL3" s="62"/>
      <c r="DIM3" s="62"/>
      <c r="DIN3" s="62"/>
      <c r="DIO3" s="62"/>
      <c r="DIP3" s="62"/>
      <c r="DIQ3" s="62"/>
      <c r="DIR3" s="62"/>
      <c r="DIS3" s="62"/>
      <c r="DIT3" s="62"/>
      <c r="DIU3" s="62"/>
      <c r="DIV3" s="62"/>
      <c r="DIW3" s="62"/>
      <c r="DIX3" s="62"/>
      <c r="DIY3" s="62"/>
      <c r="DIZ3" s="62"/>
      <c r="DJA3" s="62"/>
      <c r="DJB3" s="62"/>
      <c r="DJC3" s="62"/>
      <c r="DJD3" s="62"/>
      <c r="DJE3" s="62"/>
      <c r="DJF3" s="62"/>
      <c r="DJG3" s="62"/>
      <c r="DJH3" s="62"/>
      <c r="DJI3" s="62"/>
      <c r="DJJ3" s="62"/>
      <c r="DJK3" s="62"/>
      <c r="DJL3" s="62"/>
      <c r="DJM3" s="62"/>
      <c r="DJN3" s="62"/>
      <c r="DJO3" s="62"/>
      <c r="DJP3" s="62"/>
      <c r="DJQ3" s="62"/>
      <c r="DJR3" s="62"/>
      <c r="DJS3" s="62"/>
      <c r="DJT3" s="62"/>
      <c r="DJU3" s="62"/>
      <c r="DJV3" s="62"/>
      <c r="DJW3" s="62"/>
      <c r="DJX3" s="62"/>
      <c r="DJY3" s="62"/>
      <c r="DJZ3" s="62"/>
      <c r="DKA3" s="62"/>
      <c r="DKB3" s="62"/>
      <c r="DKC3" s="62"/>
      <c r="DKD3" s="62"/>
      <c r="DKE3" s="62"/>
      <c r="DKF3" s="62"/>
      <c r="DKG3" s="62"/>
      <c r="DKH3" s="62"/>
      <c r="DKI3" s="62"/>
      <c r="DKJ3" s="62"/>
      <c r="DKK3" s="62"/>
      <c r="DKL3" s="62"/>
      <c r="DKM3" s="62"/>
      <c r="DKN3" s="62"/>
      <c r="DKO3" s="62"/>
      <c r="DKP3" s="62"/>
      <c r="DKQ3" s="62"/>
      <c r="DKR3" s="62"/>
      <c r="DKS3" s="62"/>
      <c r="DKT3" s="62"/>
      <c r="DKU3" s="62"/>
      <c r="DKV3" s="62"/>
      <c r="DKW3" s="62"/>
      <c r="DKX3" s="62"/>
      <c r="DKY3" s="62"/>
      <c r="DKZ3" s="62"/>
      <c r="DLA3" s="62"/>
      <c r="DLB3" s="62"/>
      <c r="DLC3" s="62"/>
      <c r="DLD3" s="62"/>
      <c r="DLE3" s="62"/>
      <c r="DLF3" s="62"/>
      <c r="DLG3" s="62"/>
      <c r="DLH3" s="62"/>
      <c r="DLI3" s="62"/>
      <c r="DLJ3" s="62"/>
      <c r="DLK3" s="62"/>
      <c r="DLL3" s="62"/>
      <c r="DLM3" s="62"/>
      <c r="DLN3" s="62"/>
      <c r="DLO3" s="62"/>
      <c r="DLP3" s="62"/>
      <c r="DLQ3" s="62"/>
      <c r="DLR3" s="62"/>
      <c r="DLS3" s="62"/>
      <c r="DLT3" s="62"/>
      <c r="DLU3" s="62"/>
      <c r="DLV3" s="62"/>
      <c r="DLW3" s="62"/>
      <c r="DLX3" s="62"/>
      <c r="DLY3" s="62"/>
      <c r="DLZ3" s="62"/>
      <c r="DMA3" s="62"/>
      <c r="DMB3" s="62"/>
      <c r="DMC3" s="62"/>
      <c r="DMD3" s="62"/>
      <c r="DME3" s="62"/>
      <c r="DMF3" s="62"/>
      <c r="DMG3" s="62"/>
      <c r="DMH3" s="62"/>
      <c r="DMI3" s="62"/>
      <c r="DMJ3" s="62"/>
      <c r="DMK3" s="62"/>
      <c r="DML3" s="62"/>
      <c r="DMM3" s="62"/>
      <c r="DMN3" s="62"/>
      <c r="DMO3" s="62"/>
      <c r="DMP3" s="62"/>
      <c r="DMQ3" s="62"/>
      <c r="DMR3" s="62"/>
      <c r="DMS3" s="62"/>
      <c r="DMT3" s="62"/>
      <c r="DMU3" s="62"/>
      <c r="DMV3" s="62"/>
      <c r="DMW3" s="62"/>
      <c r="DMX3" s="62"/>
      <c r="DMY3" s="62"/>
      <c r="DMZ3" s="62"/>
      <c r="DNA3" s="62"/>
      <c r="DNB3" s="62"/>
      <c r="DNC3" s="62"/>
      <c r="DND3" s="62"/>
      <c r="DNE3" s="62"/>
      <c r="DNF3" s="62"/>
      <c r="DNG3" s="62"/>
      <c r="DNH3" s="62"/>
      <c r="DNI3" s="62"/>
      <c r="DNJ3" s="62"/>
      <c r="DNK3" s="62"/>
      <c r="DNL3" s="62"/>
      <c r="DNM3" s="62"/>
      <c r="DNN3" s="62"/>
      <c r="DNO3" s="62"/>
      <c r="DNP3" s="62"/>
      <c r="DNQ3" s="62"/>
      <c r="DNR3" s="62"/>
      <c r="DNS3" s="62"/>
      <c r="DNT3" s="62"/>
      <c r="DNU3" s="62"/>
      <c r="DNV3" s="62"/>
      <c r="DNW3" s="62"/>
      <c r="DNX3" s="62"/>
      <c r="DNY3" s="62"/>
      <c r="DNZ3" s="62"/>
      <c r="DOA3" s="62"/>
      <c r="DOB3" s="62"/>
      <c r="DOC3" s="62"/>
      <c r="DOD3" s="62"/>
      <c r="DOE3" s="62"/>
      <c r="DOF3" s="62"/>
      <c r="DOG3" s="62"/>
      <c r="DOH3" s="62"/>
      <c r="DOI3" s="62"/>
      <c r="DOJ3" s="62"/>
      <c r="DOK3" s="62"/>
      <c r="DOL3" s="62"/>
      <c r="DOM3" s="62"/>
      <c r="DON3" s="62"/>
      <c r="DOO3" s="62"/>
      <c r="DOP3" s="62"/>
      <c r="DOQ3" s="62"/>
      <c r="DOR3" s="62"/>
      <c r="DOS3" s="62"/>
      <c r="DOT3" s="62"/>
      <c r="DOU3" s="62"/>
      <c r="DOV3" s="62"/>
      <c r="DOW3" s="62"/>
      <c r="DOX3" s="62"/>
      <c r="DOY3" s="62"/>
      <c r="DOZ3" s="62"/>
      <c r="DPA3" s="62"/>
      <c r="DPB3" s="62"/>
      <c r="DPC3" s="62"/>
      <c r="DPD3" s="62"/>
      <c r="DPE3" s="62"/>
      <c r="DPF3" s="62"/>
      <c r="DPG3" s="62"/>
      <c r="DPH3" s="62"/>
      <c r="DPI3" s="62"/>
      <c r="DPJ3" s="62"/>
      <c r="DPK3" s="62"/>
      <c r="DPL3" s="62"/>
      <c r="DPM3" s="62"/>
      <c r="DPN3" s="62"/>
      <c r="DPO3" s="62"/>
      <c r="DPP3" s="62"/>
      <c r="DPQ3" s="62"/>
      <c r="DPR3" s="62"/>
      <c r="DPS3" s="62"/>
      <c r="DPT3" s="62"/>
      <c r="DPU3" s="62"/>
      <c r="DPV3" s="62"/>
      <c r="DPW3" s="62"/>
      <c r="DPX3" s="62"/>
      <c r="DPY3" s="62"/>
      <c r="DPZ3" s="62"/>
      <c r="DQA3" s="62"/>
      <c r="DQB3" s="62"/>
      <c r="DQC3" s="62"/>
      <c r="DQD3" s="62"/>
      <c r="DQE3" s="62"/>
      <c r="DQF3" s="62"/>
      <c r="DQG3" s="62"/>
      <c r="DQH3" s="62"/>
      <c r="DQI3" s="62"/>
      <c r="DQJ3" s="62"/>
      <c r="DQK3" s="62"/>
      <c r="DQL3" s="62"/>
      <c r="DQM3" s="62"/>
      <c r="DQN3" s="62"/>
      <c r="DQO3" s="62"/>
      <c r="DQP3" s="62"/>
      <c r="DQQ3" s="62"/>
      <c r="DQR3" s="62"/>
      <c r="DQS3" s="62"/>
      <c r="DQT3" s="62"/>
      <c r="DQU3" s="62"/>
      <c r="DQV3" s="62"/>
      <c r="DQW3" s="62"/>
      <c r="DQX3" s="62"/>
      <c r="DQY3" s="62"/>
      <c r="DQZ3" s="62"/>
      <c r="DRA3" s="62"/>
      <c r="DRB3" s="62"/>
      <c r="DRC3" s="62"/>
      <c r="DRD3" s="62"/>
      <c r="DRE3" s="62"/>
      <c r="DRF3" s="62"/>
      <c r="DRG3" s="62"/>
      <c r="DRH3" s="62"/>
      <c r="DRI3" s="62"/>
      <c r="DRJ3" s="62"/>
      <c r="DRK3" s="62"/>
      <c r="DRL3" s="62"/>
      <c r="DRM3" s="62"/>
      <c r="DRN3" s="62"/>
      <c r="DRO3" s="62"/>
      <c r="DRP3" s="62"/>
      <c r="DRQ3" s="62"/>
      <c r="DRR3" s="62"/>
      <c r="DRS3" s="62"/>
      <c r="DRT3" s="62"/>
      <c r="DRU3" s="62"/>
      <c r="DRV3" s="62"/>
      <c r="DRW3" s="62"/>
      <c r="DRX3" s="62"/>
      <c r="DRY3" s="62"/>
      <c r="DRZ3" s="62"/>
      <c r="DSA3" s="62"/>
      <c r="DSB3" s="62"/>
      <c r="DSC3" s="62"/>
      <c r="DSD3" s="62"/>
      <c r="DSE3" s="62"/>
      <c r="DSF3" s="62"/>
      <c r="DSG3" s="62"/>
      <c r="DSH3" s="62"/>
      <c r="DSI3" s="62"/>
      <c r="DSJ3" s="62"/>
      <c r="DSK3" s="62"/>
      <c r="DSL3" s="62"/>
      <c r="DSM3" s="62"/>
      <c r="DSN3" s="62"/>
      <c r="DSO3" s="62"/>
      <c r="DSP3" s="62"/>
      <c r="DSQ3" s="62"/>
      <c r="DSR3" s="62"/>
      <c r="DSS3" s="62"/>
      <c r="DST3" s="62"/>
      <c r="DSU3" s="62"/>
      <c r="DSV3" s="62"/>
      <c r="DSW3" s="62"/>
      <c r="DSX3" s="62"/>
      <c r="DSY3" s="62"/>
      <c r="DSZ3" s="62"/>
      <c r="DTA3" s="62"/>
      <c r="DTB3" s="62"/>
      <c r="DTC3" s="62"/>
      <c r="DTD3" s="62"/>
      <c r="DTE3" s="62"/>
      <c r="DTF3" s="62"/>
      <c r="DTG3" s="62"/>
      <c r="DTH3" s="62"/>
      <c r="DTI3" s="62"/>
      <c r="DTJ3" s="62"/>
      <c r="DTK3" s="62"/>
      <c r="DTL3" s="62"/>
      <c r="DTM3" s="62"/>
      <c r="DTN3" s="62"/>
      <c r="DTO3" s="62"/>
      <c r="DTP3" s="62"/>
      <c r="DTQ3" s="62"/>
      <c r="DTR3" s="62"/>
      <c r="DTS3" s="62"/>
      <c r="DTT3" s="62"/>
      <c r="DTU3" s="62"/>
      <c r="DTV3" s="62"/>
      <c r="DTW3" s="62"/>
      <c r="DTX3" s="62"/>
      <c r="DTY3" s="62"/>
      <c r="DTZ3" s="62"/>
      <c r="DUA3" s="62"/>
      <c r="DUB3" s="62"/>
      <c r="DUC3" s="62"/>
      <c r="DUD3" s="62"/>
      <c r="DUE3" s="62"/>
      <c r="DUF3" s="62"/>
      <c r="DUG3" s="62"/>
      <c r="DUH3" s="62"/>
      <c r="DUI3" s="62"/>
      <c r="DUJ3" s="62"/>
      <c r="DUK3" s="62"/>
      <c r="DUL3" s="62"/>
      <c r="DUM3" s="62"/>
      <c r="DUN3" s="62"/>
      <c r="DUO3" s="62"/>
      <c r="DUP3" s="62"/>
      <c r="DUQ3" s="62"/>
      <c r="DUR3" s="62"/>
      <c r="DUS3" s="62"/>
      <c r="DUT3" s="62"/>
      <c r="DUU3" s="62"/>
      <c r="DUV3" s="62"/>
      <c r="DUW3" s="62"/>
      <c r="DUX3" s="62"/>
      <c r="DUY3" s="62"/>
      <c r="DUZ3" s="62"/>
      <c r="DVA3" s="62"/>
      <c r="DVB3" s="62"/>
      <c r="DVC3" s="62"/>
      <c r="DVD3" s="62"/>
      <c r="DVE3" s="62"/>
      <c r="DVF3" s="62"/>
      <c r="DVG3" s="62"/>
      <c r="DVH3" s="62"/>
      <c r="DVI3" s="62"/>
      <c r="DVJ3" s="62"/>
      <c r="DVK3" s="62"/>
      <c r="DVL3" s="62"/>
      <c r="DVM3" s="62"/>
      <c r="DVN3" s="62"/>
      <c r="DVO3" s="62"/>
      <c r="DVP3" s="62"/>
      <c r="DVQ3" s="62"/>
      <c r="DVR3" s="62"/>
      <c r="DVS3" s="62"/>
      <c r="DVT3" s="62"/>
      <c r="DVU3" s="62"/>
      <c r="DVV3" s="62"/>
      <c r="DVW3" s="62"/>
      <c r="DVX3" s="62"/>
      <c r="DVY3" s="62"/>
      <c r="DVZ3" s="62"/>
      <c r="DWA3" s="62"/>
      <c r="DWB3" s="62"/>
      <c r="DWC3" s="62"/>
      <c r="DWD3" s="62"/>
      <c r="DWE3" s="62"/>
      <c r="DWF3" s="62"/>
      <c r="DWG3" s="62"/>
      <c r="DWH3" s="62"/>
      <c r="DWI3" s="62"/>
      <c r="DWJ3" s="62"/>
      <c r="DWK3" s="62"/>
      <c r="DWL3" s="62"/>
      <c r="DWM3" s="62"/>
      <c r="DWN3" s="62"/>
      <c r="DWO3" s="62"/>
      <c r="DWP3" s="62"/>
      <c r="DWQ3" s="62"/>
      <c r="DWR3" s="62"/>
      <c r="DWS3" s="62"/>
      <c r="DWT3" s="62"/>
      <c r="DWU3" s="62"/>
      <c r="DWV3" s="62"/>
      <c r="DWW3" s="62"/>
      <c r="DWX3" s="62"/>
      <c r="DWY3" s="62"/>
      <c r="DWZ3" s="62"/>
      <c r="DXA3" s="62"/>
      <c r="DXB3" s="62"/>
      <c r="DXC3" s="62"/>
      <c r="DXD3" s="62"/>
      <c r="DXE3" s="62"/>
      <c r="DXF3" s="62"/>
      <c r="DXG3" s="62"/>
      <c r="DXH3" s="62"/>
      <c r="DXI3" s="62"/>
      <c r="DXJ3" s="62"/>
      <c r="DXK3" s="62"/>
      <c r="DXL3" s="62"/>
      <c r="DXM3" s="62"/>
      <c r="DXN3" s="62"/>
      <c r="DXO3" s="62"/>
      <c r="DXP3" s="62"/>
      <c r="DXQ3" s="62"/>
      <c r="DXR3" s="62"/>
      <c r="DXS3" s="62"/>
      <c r="DXT3" s="62"/>
      <c r="DXU3" s="62"/>
      <c r="DXV3" s="62"/>
      <c r="DXW3" s="62"/>
      <c r="DXX3" s="62"/>
      <c r="DXY3" s="62"/>
      <c r="DXZ3" s="62"/>
      <c r="DYA3" s="62"/>
      <c r="DYB3" s="62"/>
      <c r="DYC3" s="62"/>
      <c r="DYD3" s="62"/>
      <c r="DYE3" s="62"/>
      <c r="DYF3" s="62"/>
      <c r="DYG3" s="62"/>
      <c r="DYH3" s="62"/>
      <c r="DYI3" s="62"/>
      <c r="DYJ3" s="62"/>
      <c r="DYK3" s="62"/>
      <c r="DYL3" s="62"/>
      <c r="DYM3" s="62"/>
      <c r="DYN3" s="62"/>
      <c r="DYO3" s="62"/>
      <c r="DYP3" s="62"/>
      <c r="DYQ3" s="62"/>
      <c r="DYR3" s="62"/>
      <c r="DYS3" s="62"/>
      <c r="DYT3" s="62"/>
      <c r="DYU3" s="62"/>
      <c r="DYV3" s="62"/>
      <c r="DYW3" s="62"/>
      <c r="DYX3" s="62"/>
      <c r="DYY3" s="62"/>
      <c r="DYZ3" s="62"/>
      <c r="DZA3" s="62"/>
      <c r="DZB3" s="62"/>
      <c r="DZC3" s="62"/>
      <c r="DZD3" s="62"/>
      <c r="DZE3" s="62"/>
      <c r="DZF3" s="62"/>
      <c r="DZG3" s="62"/>
      <c r="DZH3" s="62"/>
      <c r="DZI3" s="62"/>
      <c r="DZJ3" s="62"/>
      <c r="DZK3" s="62"/>
      <c r="DZL3" s="62"/>
      <c r="DZM3" s="62"/>
      <c r="DZN3" s="62"/>
      <c r="DZO3" s="62"/>
      <c r="DZP3" s="62"/>
      <c r="DZQ3" s="62"/>
      <c r="DZR3" s="62"/>
      <c r="DZS3" s="62"/>
      <c r="DZT3" s="62"/>
      <c r="DZU3" s="62"/>
      <c r="DZV3" s="62"/>
      <c r="DZW3" s="62"/>
      <c r="DZX3" s="62"/>
      <c r="DZY3" s="62"/>
      <c r="DZZ3" s="62"/>
      <c r="EAA3" s="62"/>
      <c r="EAB3" s="62"/>
      <c r="EAC3" s="62"/>
      <c r="EAD3" s="62"/>
      <c r="EAE3" s="62"/>
      <c r="EAF3" s="62"/>
      <c r="EAG3" s="62"/>
      <c r="EAH3" s="62"/>
      <c r="EAI3" s="62"/>
      <c r="EAJ3" s="62"/>
      <c r="EAK3" s="62"/>
      <c r="EAL3" s="62"/>
      <c r="EAM3" s="62"/>
      <c r="EAN3" s="62"/>
      <c r="EAO3" s="62"/>
      <c r="EAP3" s="62"/>
      <c r="EAQ3" s="62"/>
      <c r="EAR3" s="62"/>
      <c r="EAS3" s="62"/>
      <c r="EAT3" s="62"/>
      <c r="EAU3" s="62"/>
      <c r="EAV3" s="62"/>
      <c r="EAW3" s="62"/>
      <c r="EAX3" s="62"/>
      <c r="EAY3" s="62"/>
      <c r="EAZ3" s="62"/>
      <c r="EBA3" s="62"/>
      <c r="EBB3" s="62"/>
      <c r="EBC3" s="62"/>
      <c r="EBD3" s="62"/>
      <c r="EBE3" s="62"/>
      <c r="EBF3" s="62"/>
      <c r="EBG3" s="62"/>
      <c r="EBH3" s="62"/>
      <c r="EBI3" s="62"/>
      <c r="EBJ3" s="62"/>
      <c r="EBK3" s="62"/>
      <c r="EBL3" s="62"/>
      <c r="EBM3" s="62"/>
      <c r="EBN3" s="62"/>
      <c r="EBO3" s="62"/>
      <c r="EBP3" s="62"/>
      <c r="EBQ3" s="62"/>
      <c r="EBR3" s="62"/>
      <c r="EBS3" s="62"/>
      <c r="EBT3" s="62"/>
      <c r="EBU3" s="62"/>
      <c r="EBV3" s="62"/>
      <c r="EBW3" s="62"/>
      <c r="EBX3" s="62"/>
      <c r="EBY3" s="62"/>
      <c r="EBZ3" s="62"/>
      <c r="ECA3" s="62"/>
      <c r="ECB3" s="62"/>
      <c r="ECC3" s="62"/>
      <c r="ECD3" s="62"/>
      <c r="ECE3" s="62"/>
      <c r="ECF3" s="62"/>
      <c r="ECG3" s="62"/>
      <c r="ECH3" s="62"/>
      <c r="ECI3" s="62"/>
      <c r="ECJ3" s="62"/>
      <c r="ECK3" s="62"/>
      <c r="ECL3" s="62"/>
      <c r="ECM3" s="62"/>
      <c r="ECN3" s="62"/>
      <c r="ECO3" s="62"/>
      <c r="ECP3" s="62"/>
      <c r="ECQ3" s="62"/>
      <c r="ECR3" s="62"/>
      <c r="ECS3" s="62"/>
      <c r="ECT3" s="62"/>
      <c r="ECU3" s="62"/>
      <c r="ECV3" s="62"/>
      <c r="ECW3" s="62"/>
      <c r="ECX3" s="62"/>
      <c r="ECY3" s="62"/>
      <c r="ECZ3" s="62"/>
      <c r="EDA3" s="62"/>
      <c r="EDB3" s="62"/>
      <c r="EDC3" s="62"/>
      <c r="EDD3" s="62"/>
      <c r="EDE3" s="62"/>
      <c r="EDF3" s="62"/>
      <c r="EDG3" s="62"/>
      <c r="EDH3" s="62"/>
      <c r="EDI3" s="62"/>
      <c r="EDJ3" s="62"/>
      <c r="EDK3" s="62"/>
      <c r="EDL3" s="62"/>
      <c r="EDM3" s="62"/>
      <c r="EDN3" s="62"/>
      <c r="EDO3" s="62"/>
      <c r="EDP3" s="62"/>
      <c r="EDQ3" s="62"/>
      <c r="EDR3" s="62"/>
      <c r="EDS3" s="62"/>
      <c r="EDT3" s="62"/>
      <c r="EDU3" s="62"/>
      <c r="EDV3" s="62"/>
      <c r="EDW3" s="62"/>
      <c r="EDX3" s="62"/>
      <c r="EDY3" s="62"/>
      <c r="EDZ3" s="62"/>
      <c r="EEA3" s="62"/>
      <c r="EEB3" s="62"/>
      <c r="EEC3" s="62"/>
      <c r="EED3" s="62"/>
      <c r="EEE3" s="62"/>
      <c r="EEF3" s="62"/>
      <c r="EEG3" s="62"/>
      <c r="EEH3" s="62"/>
      <c r="EEI3" s="62"/>
      <c r="EEJ3" s="62"/>
      <c r="EEK3" s="62"/>
      <c r="EEL3" s="62"/>
      <c r="EEM3" s="62"/>
      <c r="EEN3" s="62"/>
      <c r="EEO3" s="62"/>
      <c r="EEP3" s="62"/>
      <c r="EEQ3" s="62"/>
      <c r="EER3" s="62"/>
      <c r="EES3" s="62"/>
      <c r="EET3" s="62"/>
      <c r="EEU3" s="62"/>
      <c r="EEV3" s="62"/>
      <c r="EEW3" s="62"/>
      <c r="EEX3" s="62"/>
      <c r="EEY3" s="62"/>
      <c r="EEZ3" s="62"/>
      <c r="EFA3" s="62"/>
      <c r="EFB3" s="62"/>
      <c r="EFC3" s="62"/>
      <c r="EFD3" s="62"/>
      <c r="EFE3" s="62"/>
      <c r="EFF3" s="62"/>
      <c r="EFG3" s="62"/>
      <c r="EFH3" s="62"/>
      <c r="EFI3" s="62"/>
      <c r="EFJ3" s="62"/>
      <c r="EFK3" s="62"/>
      <c r="EFL3" s="62"/>
      <c r="EFM3" s="62"/>
      <c r="EFN3" s="62"/>
      <c r="EFO3" s="62"/>
      <c r="EFP3" s="62"/>
      <c r="EFQ3" s="62"/>
      <c r="EFR3" s="62"/>
      <c r="EFS3" s="62"/>
      <c r="EFT3" s="62"/>
      <c r="EFU3" s="62"/>
      <c r="EFV3" s="62"/>
      <c r="EFW3" s="62"/>
      <c r="EFX3" s="62"/>
      <c r="EFY3" s="62"/>
      <c r="EFZ3" s="62"/>
      <c r="EGA3" s="62"/>
      <c r="EGB3" s="62"/>
      <c r="EGC3" s="62"/>
      <c r="EGD3" s="62"/>
      <c r="EGE3" s="62"/>
      <c r="EGF3" s="62"/>
      <c r="EGG3" s="62"/>
      <c r="EGH3" s="62"/>
      <c r="EGI3" s="62"/>
      <c r="EGJ3" s="62"/>
      <c r="EGK3" s="62"/>
      <c r="EGL3" s="62"/>
      <c r="EGM3" s="62"/>
      <c r="EGN3" s="62"/>
      <c r="EGO3" s="62"/>
      <c r="EGP3" s="62"/>
      <c r="EGQ3" s="62"/>
      <c r="EGR3" s="62"/>
      <c r="EGS3" s="62"/>
      <c r="EGT3" s="62"/>
      <c r="EGU3" s="62"/>
      <c r="EGV3" s="62"/>
      <c r="EGW3" s="62"/>
      <c r="EGX3" s="62"/>
      <c r="EGY3" s="62"/>
      <c r="EGZ3" s="62"/>
      <c r="EHA3" s="62"/>
      <c r="EHB3" s="62"/>
      <c r="EHC3" s="62"/>
      <c r="EHD3" s="62"/>
      <c r="EHE3" s="62"/>
      <c r="EHF3" s="62"/>
      <c r="EHG3" s="62"/>
      <c r="EHH3" s="62"/>
      <c r="EHI3" s="62"/>
      <c r="EHJ3" s="62"/>
      <c r="EHK3" s="62"/>
      <c r="EHL3" s="62"/>
      <c r="EHM3" s="62"/>
      <c r="EHN3" s="62"/>
      <c r="EHO3" s="62"/>
      <c r="EHP3" s="62"/>
      <c r="EHQ3" s="62"/>
      <c r="EHR3" s="62"/>
      <c r="EHS3" s="62"/>
      <c r="EHT3" s="62"/>
      <c r="EHU3" s="62"/>
      <c r="EHV3" s="62"/>
      <c r="EHW3" s="62"/>
      <c r="EHX3" s="62"/>
      <c r="EHY3" s="62"/>
      <c r="EHZ3" s="62"/>
      <c r="EIA3" s="62"/>
      <c r="EIB3" s="62"/>
      <c r="EIC3" s="62"/>
      <c r="EID3" s="62"/>
      <c r="EIE3" s="62"/>
      <c r="EIF3" s="62"/>
      <c r="EIG3" s="62"/>
      <c r="EIH3" s="62"/>
      <c r="EII3" s="62"/>
      <c r="EIJ3" s="62"/>
      <c r="EIK3" s="62"/>
      <c r="EIL3" s="62"/>
      <c r="EIM3" s="62"/>
      <c r="EIN3" s="62"/>
      <c r="EIO3" s="62"/>
      <c r="EIP3" s="62"/>
      <c r="EIQ3" s="62"/>
      <c r="EIR3" s="62"/>
      <c r="EIS3" s="62"/>
      <c r="EIT3" s="62"/>
      <c r="EIU3" s="62"/>
      <c r="EIV3" s="62"/>
      <c r="EIW3" s="62"/>
      <c r="EIX3" s="62"/>
      <c r="EIY3" s="62"/>
      <c r="EIZ3" s="62"/>
      <c r="EJA3" s="62"/>
      <c r="EJB3" s="62"/>
      <c r="EJC3" s="62"/>
      <c r="EJD3" s="62"/>
      <c r="EJE3" s="62"/>
      <c r="EJF3" s="62"/>
      <c r="EJG3" s="62"/>
      <c r="EJH3" s="62"/>
      <c r="EJI3" s="62"/>
      <c r="EJJ3" s="62"/>
      <c r="EJK3" s="62"/>
      <c r="EJL3" s="62"/>
      <c r="EJM3" s="62"/>
      <c r="EJN3" s="62"/>
      <c r="EJO3" s="62"/>
      <c r="EJP3" s="62"/>
      <c r="EJQ3" s="62"/>
      <c r="EJR3" s="62"/>
      <c r="EJS3" s="62"/>
      <c r="EJT3" s="62"/>
      <c r="EJU3" s="62"/>
      <c r="EJV3" s="62"/>
      <c r="EJW3" s="62"/>
      <c r="EJX3" s="62"/>
      <c r="EJY3" s="62"/>
      <c r="EJZ3" s="62"/>
      <c r="EKA3" s="62"/>
      <c r="EKB3" s="62"/>
      <c r="EKC3" s="62"/>
      <c r="EKD3" s="62"/>
      <c r="EKE3" s="62"/>
      <c r="EKF3" s="62"/>
      <c r="EKG3" s="62"/>
      <c r="EKH3" s="62"/>
      <c r="EKI3" s="62"/>
      <c r="EKJ3" s="62"/>
      <c r="EKK3" s="62"/>
      <c r="EKL3" s="62"/>
      <c r="EKM3" s="62"/>
      <c r="EKN3" s="62"/>
      <c r="EKO3" s="62"/>
      <c r="EKP3" s="62"/>
      <c r="EKQ3" s="62"/>
      <c r="EKR3" s="62"/>
      <c r="EKS3" s="62"/>
      <c r="EKT3" s="62"/>
      <c r="EKU3" s="62"/>
      <c r="EKV3" s="62"/>
      <c r="EKW3" s="62"/>
      <c r="EKX3" s="62"/>
      <c r="EKY3" s="62"/>
      <c r="EKZ3" s="62"/>
      <c r="ELA3" s="62"/>
      <c r="ELB3" s="62"/>
      <c r="ELC3" s="62"/>
      <c r="ELD3" s="62"/>
      <c r="ELE3" s="62"/>
      <c r="ELF3" s="62"/>
      <c r="ELG3" s="62"/>
      <c r="ELH3" s="62"/>
      <c r="ELI3" s="62"/>
      <c r="ELJ3" s="62"/>
      <c r="ELK3" s="62"/>
      <c r="ELL3" s="62"/>
      <c r="ELM3" s="62"/>
      <c r="ELN3" s="62"/>
      <c r="ELO3" s="62"/>
      <c r="ELP3" s="62"/>
      <c r="ELQ3" s="62"/>
      <c r="ELR3" s="62"/>
      <c r="ELS3" s="62"/>
      <c r="ELT3" s="62"/>
      <c r="ELU3" s="62"/>
      <c r="ELV3" s="62"/>
      <c r="ELW3" s="62"/>
      <c r="ELX3" s="62"/>
      <c r="ELY3" s="62"/>
      <c r="ELZ3" s="62"/>
      <c r="EMA3" s="62"/>
      <c r="EMB3" s="62"/>
      <c r="EMC3" s="62"/>
      <c r="EMD3" s="62"/>
      <c r="EME3" s="62"/>
      <c r="EMF3" s="62"/>
      <c r="EMG3" s="62"/>
      <c r="EMH3" s="62"/>
      <c r="EMI3" s="62"/>
      <c r="EMJ3" s="62"/>
      <c r="EMK3" s="62"/>
      <c r="EML3" s="62"/>
      <c r="EMM3" s="62"/>
      <c r="EMN3" s="62"/>
      <c r="EMO3" s="62"/>
      <c r="EMP3" s="62"/>
      <c r="EMQ3" s="62"/>
      <c r="EMR3" s="62"/>
      <c r="EMS3" s="62"/>
      <c r="EMT3" s="62"/>
      <c r="EMU3" s="62"/>
      <c r="EMV3" s="62"/>
      <c r="EMW3" s="62"/>
      <c r="EMX3" s="62"/>
      <c r="EMY3" s="62"/>
      <c r="EMZ3" s="62"/>
      <c r="ENA3" s="62"/>
      <c r="ENB3" s="62"/>
      <c r="ENC3" s="62"/>
      <c r="END3" s="62"/>
      <c r="ENE3" s="62"/>
      <c r="ENF3" s="62"/>
      <c r="ENG3" s="62"/>
      <c r="ENH3" s="62"/>
      <c r="ENI3" s="62"/>
      <c r="ENJ3" s="62"/>
      <c r="ENK3" s="62"/>
      <c r="ENL3" s="62"/>
      <c r="ENM3" s="62"/>
      <c r="ENN3" s="62"/>
      <c r="ENO3" s="62"/>
      <c r="ENP3" s="62"/>
      <c r="ENQ3" s="62"/>
      <c r="ENR3" s="62"/>
      <c r="ENS3" s="62"/>
      <c r="ENT3" s="62"/>
      <c r="ENU3" s="62"/>
      <c r="ENV3" s="62"/>
      <c r="ENW3" s="62"/>
      <c r="ENX3" s="62"/>
      <c r="ENY3" s="62"/>
      <c r="ENZ3" s="62"/>
      <c r="EOA3" s="62"/>
      <c r="EOB3" s="62"/>
      <c r="EOC3" s="62"/>
      <c r="EOD3" s="62"/>
      <c r="EOE3" s="62"/>
      <c r="EOF3" s="62"/>
      <c r="EOG3" s="62"/>
      <c r="EOH3" s="62"/>
      <c r="EOI3" s="62"/>
      <c r="EOJ3" s="62"/>
      <c r="EOK3" s="62"/>
      <c r="EOL3" s="62"/>
      <c r="EOM3" s="62"/>
      <c r="EON3" s="62"/>
      <c r="EOO3" s="62"/>
      <c r="EOP3" s="62"/>
      <c r="EOQ3" s="62"/>
      <c r="EOR3" s="62"/>
      <c r="EOS3" s="62"/>
      <c r="EOT3" s="62"/>
      <c r="EOU3" s="62"/>
      <c r="EOV3" s="62"/>
      <c r="EOW3" s="62"/>
      <c r="EOX3" s="62"/>
      <c r="EOY3" s="62"/>
      <c r="EOZ3" s="62"/>
      <c r="EPA3" s="62"/>
      <c r="EPB3" s="62"/>
      <c r="EPC3" s="62"/>
      <c r="EPD3" s="62"/>
      <c r="EPE3" s="62"/>
      <c r="EPF3" s="62"/>
      <c r="EPG3" s="62"/>
      <c r="EPH3" s="62"/>
      <c r="EPI3" s="62"/>
      <c r="EPJ3" s="62"/>
      <c r="EPK3" s="62"/>
      <c r="EPL3" s="62"/>
      <c r="EPM3" s="62"/>
      <c r="EPN3" s="62"/>
      <c r="EPO3" s="62"/>
      <c r="EPP3" s="62"/>
      <c r="EPQ3" s="62"/>
      <c r="EPR3" s="62"/>
      <c r="EPS3" s="62"/>
      <c r="EPT3" s="62"/>
      <c r="EPU3" s="62"/>
      <c r="EPV3" s="62"/>
      <c r="EPW3" s="62"/>
      <c r="EPX3" s="62"/>
      <c r="EPY3" s="62"/>
      <c r="EPZ3" s="62"/>
      <c r="EQA3" s="62"/>
      <c r="EQB3" s="62"/>
      <c r="EQC3" s="62"/>
      <c r="EQD3" s="62"/>
      <c r="EQE3" s="62"/>
      <c r="EQF3" s="62"/>
      <c r="EQG3" s="62"/>
      <c r="EQH3" s="62"/>
      <c r="EQI3" s="62"/>
      <c r="EQJ3" s="62"/>
      <c r="EQK3" s="62"/>
      <c r="EQL3" s="62"/>
      <c r="EQM3" s="62"/>
      <c r="EQN3" s="62"/>
      <c r="EQO3" s="62"/>
      <c r="EQP3" s="62"/>
      <c r="EQQ3" s="62"/>
      <c r="EQR3" s="62"/>
      <c r="EQS3" s="62"/>
      <c r="EQT3" s="62"/>
      <c r="EQU3" s="62"/>
      <c r="EQV3" s="62"/>
      <c r="EQW3" s="62"/>
      <c r="EQX3" s="62"/>
      <c r="EQY3" s="62"/>
      <c r="EQZ3" s="62"/>
      <c r="ERA3" s="62"/>
      <c r="ERB3" s="62"/>
      <c r="ERC3" s="62"/>
      <c r="ERD3" s="62"/>
      <c r="ERE3" s="62"/>
      <c r="ERF3" s="62"/>
      <c r="ERG3" s="62"/>
      <c r="ERH3" s="62"/>
      <c r="ERI3" s="62"/>
      <c r="ERJ3" s="62"/>
      <c r="ERK3" s="62"/>
      <c r="ERL3" s="62"/>
      <c r="ERM3" s="62"/>
      <c r="ERN3" s="62"/>
      <c r="ERO3" s="62"/>
      <c r="ERP3" s="62"/>
      <c r="ERQ3" s="62"/>
      <c r="ERR3" s="62"/>
      <c r="ERS3" s="62"/>
      <c r="ERT3" s="62"/>
      <c r="ERU3" s="62"/>
      <c r="ERV3" s="62"/>
      <c r="ERW3" s="62"/>
      <c r="ERX3" s="62"/>
      <c r="ERY3" s="62"/>
      <c r="ERZ3" s="62"/>
      <c r="ESA3" s="62"/>
      <c r="ESB3" s="62"/>
      <c r="ESC3" s="62"/>
      <c r="ESD3" s="62"/>
      <c r="ESE3" s="62"/>
      <c r="ESF3" s="62"/>
      <c r="ESG3" s="62"/>
      <c r="ESH3" s="62"/>
      <c r="ESI3" s="62"/>
      <c r="ESJ3" s="62"/>
      <c r="ESK3" s="62"/>
      <c r="ESL3" s="62"/>
      <c r="ESM3" s="62"/>
      <c r="ESN3" s="62"/>
      <c r="ESO3" s="62"/>
      <c r="ESP3" s="62"/>
      <c r="ESQ3" s="62"/>
      <c r="ESR3" s="62"/>
      <c r="ESS3" s="62"/>
      <c r="EST3" s="62"/>
      <c r="ESU3" s="62"/>
      <c r="ESV3" s="62"/>
      <c r="ESW3" s="62"/>
      <c r="ESX3" s="62"/>
      <c r="ESY3" s="62"/>
      <c r="ESZ3" s="62"/>
      <c r="ETA3" s="62"/>
      <c r="ETB3" s="62"/>
      <c r="ETC3" s="62"/>
      <c r="ETD3" s="62"/>
      <c r="ETE3" s="62"/>
      <c r="ETF3" s="62"/>
      <c r="ETG3" s="62"/>
      <c r="ETH3" s="62"/>
      <c r="ETI3" s="62"/>
      <c r="ETJ3" s="62"/>
      <c r="ETK3" s="62"/>
      <c r="ETL3" s="62"/>
      <c r="ETM3" s="62"/>
      <c r="ETN3" s="62"/>
      <c r="ETO3" s="62"/>
      <c r="ETP3" s="62"/>
      <c r="ETQ3" s="62"/>
      <c r="ETR3" s="62"/>
      <c r="ETS3" s="62"/>
      <c r="ETT3" s="62"/>
      <c r="ETU3" s="62"/>
      <c r="ETV3" s="62"/>
      <c r="ETW3" s="62"/>
      <c r="ETX3" s="62"/>
      <c r="ETY3" s="62"/>
      <c r="ETZ3" s="62"/>
      <c r="EUA3" s="62"/>
      <c r="EUB3" s="62"/>
      <c r="EUC3" s="62"/>
      <c r="EUD3" s="62"/>
      <c r="EUE3" s="62"/>
      <c r="EUF3" s="62"/>
      <c r="EUG3" s="62"/>
      <c r="EUH3" s="62"/>
      <c r="EUI3" s="62"/>
      <c r="EUJ3" s="62"/>
      <c r="EUK3" s="62"/>
      <c r="EUL3" s="62"/>
      <c r="EUM3" s="62"/>
      <c r="EUN3" s="62"/>
      <c r="EUO3" s="62"/>
      <c r="EUP3" s="62"/>
      <c r="EUQ3" s="62"/>
      <c r="EUR3" s="62"/>
      <c r="EUS3" s="62"/>
      <c r="EUT3" s="62"/>
      <c r="EUU3" s="62"/>
      <c r="EUV3" s="62"/>
      <c r="EUW3" s="62"/>
      <c r="EUX3" s="62"/>
      <c r="EUY3" s="62"/>
      <c r="EUZ3" s="62"/>
      <c r="EVA3" s="62"/>
      <c r="EVB3" s="62"/>
      <c r="EVC3" s="62"/>
      <c r="EVD3" s="62"/>
      <c r="EVE3" s="62"/>
      <c r="EVF3" s="62"/>
      <c r="EVG3" s="62"/>
      <c r="EVH3" s="62"/>
      <c r="EVI3" s="62"/>
      <c r="EVJ3" s="62"/>
      <c r="EVK3" s="62"/>
      <c r="EVL3" s="62"/>
      <c r="EVM3" s="62"/>
      <c r="EVN3" s="62"/>
      <c r="EVO3" s="62"/>
      <c r="EVP3" s="62"/>
      <c r="EVQ3" s="62"/>
      <c r="EVR3" s="62"/>
      <c r="EVS3" s="62"/>
      <c r="EVT3" s="62"/>
      <c r="EVU3" s="62"/>
      <c r="EVV3" s="62"/>
      <c r="EVW3" s="62"/>
      <c r="EVX3" s="62"/>
      <c r="EVY3" s="62"/>
      <c r="EVZ3" s="62"/>
      <c r="EWA3" s="62"/>
      <c r="EWB3" s="62"/>
      <c r="EWC3" s="62"/>
      <c r="EWD3" s="62"/>
      <c r="EWE3" s="62"/>
      <c r="EWF3" s="62"/>
      <c r="EWG3" s="62"/>
      <c r="EWH3" s="62"/>
      <c r="EWI3" s="62"/>
      <c r="EWJ3" s="62"/>
      <c r="EWK3" s="62"/>
      <c r="EWL3" s="62"/>
      <c r="EWM3" s="62"/>
      <c r="EWN3" s="62"/>
      <c r="EWO3" s="62"/>
      <c r="EWP3" s="62"/>
      <c r="EWQ3" s="62"/>
      <c r="EWR3" s="62"/>
      <c r="EWS3" s="62"/>
      <c r="EWT3" s="62"/>
      <c r="EWU3" s="62"/>
      <c r="EWV3" s="62"/>
      <c r="EWW3" s="62"/>
      <c r="EWX3" s="62"/>
      <c r="EWY3" s="62"/>
      <c r="EWZ3" s="62"/>
      <c r="EXA3" s="62"/>
      <c r="EXB3" s="62"/>
      <c r="EXC3" s="62"/>
      <c r="EXD3" s="62"/>
      <c r="EXE3" s="62"/>
      <c r="EXF3" s="62"/>
      <c r="EXG3" s="62"/>
      <c r="EXH3" s="62"/>
      <c r="EXI3" s="62"/>
      <c r="EXJ3" s="62"/>
      <c r="EXK3" s="62"/>
      <c r="EXL3" s="62"/>
      <c r="EXM3" s="62"/>
      <c r="EXN3" s="62"/>
      <c r="EXO3" s="62"/>
      <c r="EXP3" s="62"/>
      <c r="EXQ3" s="62"/>
      <c r="EXR3" s="62"/>
      <c r="EXS3" s="62"/>
      <c r="EXT3" s="62"/>
      <c r="EXU3" s="62"/>
      <c r="EXV3" s="62"/>
      <c r="EXW3" s="62"/>
      <c r="EXX3" s="62"/>
      <c r="EXY3" s="62"/>
      <c r="EXZ3" s="62"/>
      <c r="EYA3" s="62"/>
      <c r="EYB3" s="62"/>
      <c r="EYC3" s="62"/>
      <c r="EYD3" s="62"/>
      <c r="EYE3" s="62"/>
      <c r="EYF3" s="62"/>
      <c r="EYG3" s="62"/>
      <c r="EYH3" s="62"/>
      <c r="EYI3" s="62"/>
      <c r="EYJ3" s="62"/>
      <c r="EYK3" s="62"/>
      <c r="EYL3" s="62"/>
      <c r="EYM3" s="62"/>
      <c r="EYN3" s="62"/>
      <c r="EYO3" s="62"/>
      <c r="EYP3" s="62"/>
      <c r="EYQ3" s="62"/>
      <c r="EYR3" s="62"/>
      <c r="EYS3" s="62"/>
      <c r="EYT3" s="62"/>
      <c r="EYU3" s="62"/>
      <c r="EYV3" s="62"/>
      <c r="EYW3" s="62"/>
      <c r="EYX3" s="62"/>
      <c r="EYY3" s="62"/>
      <c r="EYZ3" s="62"/>
      <c r="EZA3" s="62"/>
      <c r="EZB3" s="62"/>
      <c r="EZC3" s="62"/>
      <c r="EZD3" s="62"/>
      <c r="EZE3" s="62"/>
      <c r="EZF3" s="62"/>
      <c r="EZG3" s="62"/>
      <c r="EZH3" s="62"/>
      <c r="EZI3" s="62"/>
      <c r="EZJ3" s="62"/>
      <c r="EZK3" s="62"/>
      <c r="EZL3" s="62"/>
      <c r="EZM3" s="62"/>
      <c r="EZN3" s="62"/>
      <c r="EZO3" s="62"/>
      <c r="EZP3" s="62"/>
      <c r="EZQ3" s="62"/>
      <c r="EZR3" s="62"/>
      <c r="EZS3" s="62"/>
      <c r="EZT3" s="62"/>
      <c r="EZU3" s="62"/>
      <c r="EZV3" s="62"/>
      <c r="EZW3" s="62"/>
      <c r="EZX3" s="62"/>
      <c r="EZY3" s="62"/>
      <c r="EZZ3" s="62"/>
      <c r="FAA3" s="62"/>
      <c r="FAB3" s="62"/>
      <c r="FAC3" s="62"/>
      <c r="FAD3" s="62"/>
      <c r="FAE3" s="62"/>
      <c r="FAF3" s="62"/>
      <c r="FAG3" s="62"/>
      <c r="FAH3" s="62"/>
      <c r="FAI3" s="62"/>
      <c r="FAJ3" s="62"/>
      <c r="FAK3" s="62"/>
      <c r="FAL3" s="62"/>
      <c r="FAM3" s="62"/>
      <c r="FAN3" s="62"/>
      <c r="FAO3" s="62"/>
      <c r="FAP3" s="62"/>
      <c r="FAQ3" s="62"/>
      <c r="FAR3" s="62"/>
      <c r="FAS3" s="62"/>
      <c r="FAT3" s="62"/>
      <c r="FAU3" s="62"/>
      <c r="FAV3" s="62"/>
      <c r="FAW3" s="62"/>
      <c r="FAX3" s="62"/>
      <c r="FAY3" s="62"/>
      <c r="FAZ3" s="62"/>
      <c r="FBA3" s="62"/>
      <c r="FBB3" s="62"/>
      <c r="FBC3" s="62"/>
      <c r="FBD3" s="62"/>
      <c r="FBE3" s="62"/>
      <c r="FBF3" s="62"/>
      <c r="FBG3" s="62"/>
      <c r="FBH3" s="62"/>
      <c r="FBI3" s="62"/>
      <c r="FBJ3" s="62"/>
      <c r="FBK3" s="62"/>
      <c r="FBL3" s="62"/>
      <c r="FBM3" s="62"/>
      <c r="FBN3" s="62"/>
      <c r="FBO3" s="62"/>
      <c r="FBP3" s="62"/>
      <c r="FBQ3" s="62"/>
      <c r="FBR3" s="62"/>
      <c r="FBS3" s="62"/>
      <c r="FBT3" s="62"/>
      <c r="FBU3" s="62"/>
      <c r="FBV3" s="62"/>
      <c r="FBW3" s="62"/>
      <c r="FBX3" s="62"/>
      <c r="FBY3" s="62"/>
      <c r="FBZ3" s="62"/>
      <c r="FCA3" s="62"/>
      <c r="FCB3" s="62"/>
      <c r="FCC3" s="62"/>
      <c r="FCD3" s="62"/>
      <c r="FCE3" s="62"/>
      <c r="FCF3" s="62"/>
      <c r="FCG3" s="62"/>
      <c r="FCH3" s="62"/>
      <c r="FCI3" s="62"/>
      <c r="FCJ3" s="62"/>
      <c r="FCK3" s="62"/>
      <c r="FCL3" s="62"/>
      <c r="FCM3" s="62"/>
      <c r="FCN3" s="62"/>
      <c r="FCO3" s="62"/>
      <c r="FCP3" s="62"/>
      <c r="FCQ3" s="62"/>
      <c r="FCR3" s="62"/>
      <c r="FCS3" s="62"/>
      <c r="FCT3" s="62"/>
      <c r="FCU3" s="62"/>
      <c r="FCV3" s="62"/>
      <c r="FCW3" s="62"/>
      <c r="FCX3" s="62"/>
      <c r="FCY3" s="62"/>
      <c r="FCZ3" s="62"/>
      <c r="FDA3" s="62"/>
      <c r="FDB3" s="62"/>
      <c r="FDC3" s="62"/>
      <c r="FDD3" s="62"/>
      <c r="FDE3" s="62"/>
      <c r="FDF3" s="62"/>
      <c r="FDG3" s="62"/>
      <c r="FDH3" s="62"/>
      <c r="FDI3" s="62"/>
      <c r="FDJ3" s="62"/>
      <c r="FDK3" s="62"/>
      <c r="FDL3" s="62"/>
      <c r="FDM3" s="62"/>
      <c r="FDN3" s="62"/>
      <c r="FDO3" s="62"/>
      <c r="FDP3" s="62"/>
      <c r="FDQ3" s="62"/>
      <c r="FDR3" s="62"/>
      <c r="FDS3" s="62"/>
      <c r="FDT3" s="62"/>
      <c r="FDU3" s="62"/>
      <c r="FDV3" s="62"/>
      <c r="FDW3" s="62"/>
      <c r="FDX3" s="62"/>
      <c r="FDY3" s="62"/>
      <c r="FDZ3" s="62"/>
      <c r="FEA3" s="62"/>
      <c r="FEB3" s="62"/>
      <c r="FEC3" s="62"/>
      <c r="FED3" s="62"/>
      <c r="FEE3" s="62"/>
      <c r="FEF3" s="62"/>
      <c r="FEG3" s="62"/>
      <c r="FEH3" s="62"/>
      <c r="FEI3" s="62"/>
      <c r="FEJ3" s="62"/>
      <c r="FEK3" s="62"/>
      <c r="FEL3" s="62"/>
      <c r="FEM3" s="62"/>
      <c r="FEN3" s="62"/>
      <c r="FEO3" s="62"/>
      <c r="FEP3" s="62"/>
      <c r="FEQ3" s="62"/>
      <c r="FER3" s="62"/>
      <c r="FES3" s="62"/>
      <c r="FET3" s="62"/>
      <c r="FEU3" s="62"/>
      <c r="FEV3" s="62"/>
      <c r="FEW3" s="62"/>
      <c r="FEX3" s="62"/>
      <c r="FEY3" s="62"/>
      <c r="FEZ3" s="62"/>
      <c r="FFA3" s="62"/>
      <c r="FFB3" s="62"/>
      <c r="FFC3" s="62"/>
      <c r="FFD3" s="62"/>
      <c r="FFE3" s="62"/>
      <c r="FFF3" s="62"/>
      <c r="FFG3" s="62"/>
      <c r="FFH3" s="62"/>
      <c r="FFI3" s="62"/>
      <c r="FFJ3" s="62"/>
      <c r="FFK3" s="62"/>
      <c r="FFL3" s="62"/>
      <c r="FFM3" s="62"/>
      <c r="FFN3" s="62"/>
      <c r="FFO3" s="62"/>
      <c r="FFP3" s="62"/>
      <c r="FFQ3" s="62"/>
      <c r="FFR3" s="62"/>
      <c r="FFS3" s="62"/>
      <c r="FFT3" s="62"/>
      <c r="FFU3" s="62"/>
      <c r="FFV3" s="62"/>
      <c r="FFW3" s="62"/>
      <c r="FFX3" s="62"/>
      <c r="FFY3" s="62"/>
      <c r="FFZ3" s="62"/>
      <c r="FGA3" s="62"/>
      <c r="FGB3" s="62"/>
      <c r="FGC3" s="62"/>
      <c r="FGD3" s="62"/>
      <c r="FGE3" s="62"/>
      <c r="FGF3" s="62"/>
      <c r="FGG3" s="62"/>
      <c r="FGH3" s="62"/>
      <c r="FGI3" s="62"/>
      <c r="FGJ3" s="62"/>
      <c r="FGK3" s="62"/>
      <c r="FGL3" s="62"/>
      <c r="FGM3" s="62"/>
      <c r="FGN3" s="62"/>
      <c r="FGO3" s="62"/>
      <c r="FGP3" s="62"/>
      <c r="FGQ3" s="62"/>
      <c r="FGR3" s="62"/>
      <c r="FGS3" s="62"/>
      <c r="FGT3" s="62"/>
      <c r="FGU3" s="62"/>
      <c r="FGV3" s="62"/>
      <c r="FGW3" s="62"/>
      <c r="FGX3" s="62"/>
      <c r="FGY3" s="62"/>
      <c r="FGZ3" s="62"/>
      <c r="FHA3" s="62"/>
      <c r="FHB3" s="62"/>
      <c r="FHC3" s="62"/>
      <c r="FHD3" s="62"/>
      <c r="FHE3" s="62"/>
      <c r="FHF3" s="62"/>
      <c r="FHG3" s="62"/>
      <c r="FHH3" s="62"/>
      <c r="FHI3" s="62"/>
      <c r="FHJ3" s="62"/>
      <c r="FHK3" s="62"/>
      <c r="FHL3" s="62"/>
      <c r="FHM3" s="62"/>
      <c r="FHN3" s="62"/>
      <c r="FHO3" s="62"/>
      <c r="FHP3" s="62"/>
      <c r="FHQ3" s="62"/>
      <c r="FHR3" s="62"/>
      <c r="FHS3" s="62"/>
      <c r="FHT3" s="62"/>
      <c r="FHU3" s="62"/>
      <c r="FHV3" s="62"/>
      <c r="FHW3" s="62"/>
      <c r="FHX3" s="62"/>
      <c r="FHY3" s="62"/>
      <c r="FHZ3" s="62"/>
      <c r="FIA3" s="62"/>
      <c r="FIB3" s="62"/>
      <c r="FIC3" s="62"/>
      <c r="FID3" s="62"/>
      <c r="FIE3" s="62"/>
      <c r="FIF3" s="62"/>
      <c r="FIG3" s="62"/>
      <c r="FIH3" s="62"/>
      <c r="FII3" s="62"/>
      <c r="FIJ3" s="62"/>
      <c r="FIK3" s="62"/>
      <c r="FIL3" s="62"/>
      <c r="FIM3" s="62"/>
      <c r="FIN3" s="62"/>
      <c r="FIO3" s="62"/>
      <c r="FIP3" s="62"/>
      <c r="FIQ3" s="62"/>
      <c r="FIR3" s="62"/>
      <c r="FIS3" s="62"/>
      <c r="FIT3" s="62"/>
      <c r="FIU3" s="62"/>
      <c r="FIV3" s="62"/>
      <c r="FIW3" s="62"/>
      <c r="FIX3" s="62"/>
      <c r="FIY3" s="62"/>
      <c r="FIZ3" s="62"/>
      <c r="FJA3" s="62"/>
      <c r="FJB3" s="62"/>
      <c r="FJC3" s="62"/>
      <c r="FJD3" s="62"/>
      <c r="FJE3" s="62"/>
      <c r="FJF3" s="62"/>
      <c r="FJG3" s="62"/>
      <c r="FJH3" s="62"/>
      <c r="FJI3" s="62"/>
      <c r="FJJ3" s="62"/>
      <c r="FJK3" s="62"/>
      <c r="FJL3" s="62"/>
      <c r="FJM3" s="62"/>
      <c r="FJN3" s="62"/>
      <c r="FJO3" s="62"/>
      <c r="FJP3" s="62"/>
      <c r="FJQ3" s="62"/>
      <c r="FJR3" s="62"/>
      <c r="FJS3" s="62"/>
      <c r="FJT3" s="62"/>
      <c r="FJU3" s="62"/>
      <c r="FJV3" s="62"/>
      <c r="FJW3" s="62"/>
      <c r="FJX3" s="62"/>
      <c r="FJY3" s="62"/>
      <c r="FJZ3" s="62"/>
      <c r="FKA3" s="62"/>
      <c r="FKB3" s="62"/>
      <c r="FKC3" s="62"/>
      <c r="FKD3" s="62"/>
      <c r="FKE3" s="62"/>
      <c r="FKF3" s="62"/>
      <c r="FKG3" s="62"/>
      <c r="FKH3" s="62"/>
      <c r="FKI3" s="62"/>
      <c r="FKJ3" s="62"/>
      <c r="FKK3" s="62"/>
      <c r="FKL3" s="62"/>
      <c r="FKM3" s="62"/>
      <c r="FKN3" s="62"/>
      <c r="FKO3" s="62"/>
      <c r="FKP3" s="62"/>
      <c r="FKQ3" s="62"/>
      <c r="FKR3" s="62"/>
      <c r="FKS3" s="62"/>
      <c r="FKT3" s="62"/>
      <c r="FKU3" s="62"/>
      <c r="FKV3" s="62"/>
      <c r="FKW3" s="62"/>
      <c r="FKX3" s="62"/>
      <c r="FKY3" s="62"/>
      <c r="FKZ3" s="62"/>
      <c r="FLA3" s="62"/>
      <c r="FLB3" s="62"/>
      <c r="FLC3" s="62"/>
      <c r="FLD3" s="62"/>
      <c r="FLE3" s="62"/>
      <c r="FLF3" s="62"/>
      <c r="FLG3" s="62"/>
      <c r="FLH3" s="62"/>
      <c r="FLI3" s="62"/>
      <c r="FLJ3" s="62"/>
      <c r="FLK3" s="62"/>
      <c r="FLL3" s="62"/>
      <c r="FLM3" s="62"/>
      <c r="FLN3" s="62"/>
      <c r="FLO3" s="62"/>
      <c r="FLP3" s="62"/>
      <c r="FLQ3" s="62"/>
      <c r="FLR3" s="62"/>
      <c r="FLS3" s="62"/>
      <c r="FLT3" s="62"/>
      <c r="FLU3" s="62"/>
      <c r="FLV3" s="62"/>
      <c r="FLW3" s="62"/>
      <c r="FLX3" s="62"/>
      <c r="FLY3" s="62"/>
      <c r="FLZ3" s="62"/>
      <c r="FMA3" s="62"/>
      <c r="FMB3" s="62"/>
      <c r="FMC3" s="62"/>
      <c r="FMD3" s="62"/>
      <c r="FME3" s="62"/>
      <c r="FMF3" s="62"/>
      <c r="FMG3" s="62"/>
      <c r="FMH3" s="62"/>
      <c r="FMI3" s="62"/>
      <c r="FMJ3" s="62"/>
      <c r="FMK3" s="62"/>
      <c r="FML3" s="62"/>
      <c r="FMM3" s="62"/>
      <c r="FMN3" s="62"/>
      <c r="FMO3" s="62"/>
      <c r="FMP3" s="62"/>
      <c r="FMQ3" s="62"/>
      <c r="FMR3" s="62"/>
      <c r="FMS3" s="62"/>
      <c r="FMT3" s="62"/>
      <c r="FMU3" s="62"/>
      <c r="FMV3" s="62"/>
      <c r="FMW3" s="62"/>
      <c r="FMX3" s="62"/>
      <c r="FMY3" s="62"/>
      <c r="FMZ3" s="62"/>
      <c r="FNA3" s="62"/>
      <c r="FNB3" s="62"/>
      <c r="FNC3" s="62"/>
      <c r="FND3" s="62"/>
      <c r="FNE3" s="62"/>
      <c r="FNF3" s="62"/>
      <c r="FNG3" s="62"/>
      <c r="FNH3" s="62"/>
      <c r="FNI3" s="62"/>
      <c r="FNJ3" s="62"/>
      <c r="FNK3" s="62"/>
      <c r="FNL3" s="62"/>
      <c r="FNM3" s="62"/>
      <c r="FNN3" s="62"/>
      <c r="FNO3" s="62"/>
      <c r="FNP3" s="62"/>
      <c r="FNQ3" s="62"/>
      <c r="FNR3" s="62"/>
      <c r="FNS3" s="62"/>
      <c r="FNT3" s="62"/>
      <c r="FNU3" s="62"/>
      <c r="FNV3" s="62"/>
      <c r="FNW3" s="62"/>
      <c r="FNX3" s="62"/>
      <c r="FNY3" s="62"/>
      <c r="FNZ3" s="62"/>
      <c r="FOA3" s="62"/>
      <c r="FOB3" s="62"/>
      <c r="FOC3" s="62"/>
      <c r="FOD3" s="62"/>
      <c r="FOE3" s="62"/>
      <c r="FOF3" s="62"/>
      <c r="FOG3" s="62"/>
      <c r="FOH3" s="62"/>
      <c r="FOI3" s="62"/>
      <c r="FOJ3" s="62"/>
      <c r="FOK3" s="62"/>
      <c r="FOL3" s="62"/>
      <c r="FOM3" s="62"/>
      <c r="FON3" s="62"/>
      <c r="FOO3" s="62"/>
      <c r="FOP3" s="62"/>
      <c r="FOQ3" s="62"/>
      <c r="FOR3" s="62"/>
      <c r="FOS3" s="62"/>
      <c r="FOT3" s="62"/>
      <c r="FOU3" s="62"/>
      <c r="FOV3" s="62"/>
      <c r="FOW3" s="62"/>
      <c r="FOX3" s="62"/>
      <c r="FOY3" s="62"/>
      <c r="FOZ3" s="62"/>
      <c r="FPA3" s="62"/>
      <c r="FPB3" s="62"/>
      <c r="FPC3" s="62"/>
      <c r="FPD3" s="62"/>
      <c r="FPE3" s="62"/>
      <c r="FPF3" s="62"/>
      <c r="FPG3" s="62"/>
      <c r="FPH3" s="62"/>
      <c r="FPI3" s="62"/>
      <c r="FPJ3" s="62"/>
      <c r="FPK3" s="62"/>
      <c r="FPL3" s="62"/>
      <c r="FPM3" s="62"/>
      <c r="FPN3" s="62"/>
      <c r="FPO3" s="62"/>
      <c r="FPP3" s="62"/>
      <c r="FPQ3" s="62"/>
      <c r="FPR3" s="62"/>
      <c r="FPS3" s="62"/>
      <c r="FPT3" s="62"/>
      <c r="FPU3" s="62"/>
      <c r="FPV3" s="62"/>
      <c r="FPW3" s="62"/>
      <c r="FPX3" s="62"/>
      <c r="FPY3" s="62"/>
      <c r="FPZ3" s="62"/>
      <c r="FQA3" s="62"/>
      <c r="FQB3" s="62"/>
      <c r="FQC3" s="62"/>
      <c r="FQD3" s="62"/>
      <c r="FQE3" s="62"/>
      <c r="FQF3" s="62"/>
      <c r="FQG3" s="62"/>
      <c r="FQH3" s="62"/>
      <c r="FQI3" s="62"/>
      <c r="FQJ3" s="62"/>
      <c r="FQK3" s="62"/>
      <c r="FQL3" s="62"/>
      <c r="FQM3" s="62"/>
      <c r="FQN3" s="62"/>
      <c r="FQO3" s="62"/>
      <c r="FQP3" s="62"/>
      <c r="FQQ3" s="62"/>
      <c r="FQR3" s="62"/>
      <c r="FQS3" s="62"/>
      <c r="FQT3" s="62"/>
      <c r="FQU3" s="62"/>
      <c r="FQV3" s="62"/>
      <c r="FQW3" s="62"/>
      <c r="FQX3" s="62"/>
      <c r="FQY3" s="62"/>
      <c r="FQZ3" s="62"/>
      <c r="FRA3" s="62"/>
      <c r="FRB3" s="62"/>
      <c r="FRC3" s="62"/>
      <c r="FRD3" s="62"/>
      <c r="FRE3" s="62"/>
      <c r="FRF3" s="62"/>
      <c r="FRG3" s="62"/>
      <c r="FRH3" s="62"/>
      <c r="FRI3" s="62"/>
      <c r="FRJ3" s="62"/>
      <c r="FRK3" s="62"/>
      <c r="FRL3" s="62"/>
      <c r="FRM3" s="62"/>
      <c r="FRN3" s="62"/>
      <c r="FRO3" s="62"/>
      <c r="FRP3" s="62"/>
      <c r="FRQ3" s="62"/>
      <c r="FRR3" s="62"/>
      <c r="FRS3" s="62"/>
      <c r="FRT3" s="62"/>
      <c r="FRU3" s="62"/>
      <c r="FRV3" s="62"/>
      <c r="FRW3" s="62"/>
      <c r="FRX3" s="62"/>
      <c r="FRY3" s="62"/>
      <c r="FRZ3" s="62"/>
      <c r="FSA3" s="62"/>
      <c r="FSB3" s="62"/>
      <c r="FSC3" s="62"/>
      <c r="FSD3" s="62"/>
      <c r="FSE3" s="62"/>
      <c r="FSF3" s="62"/>
      <c r="FSG3" s="62"/>
      <c r="FSH3" s="62"/>
      <c r="FSI3" s="62"/>
      <c r="FSJ3" s="62"/>
      <c r="FSK3" s="62"/>
      <c r="FSL3" s="62"/>
      <c r="FSM3" s="62"/>
      <c r="FSN3" s="62"/>
      <c r="FSO3" s="62"/>
      <c r="FSP3" s="62"/>
      <c r="FSQ3" s="62"/>
      <c r="FSR3" s="62"/>
      <c r="FSS3" s="62"/>
      <c r="FST3" s="62"/>
      <c r="FSU3" s="62"/>
      <c r="FSV3" s="62"/>
      <c r="FSW3" s="62"/>
      <c r="FSX3" s="62"/>
      <c r="FSY3" s="62"/>
      <c r="FSZ3" s="62"/>
      <c r="FTA3" s="62"/>
      <c r="FTB3" s="62"/>
      <c r="FTC3" s="62"/>
      <c r="FTD3" s="62"/>
      <c r="FTE3" s="62"/>
      <c r="FTF3" s="62"/>
      <c r="FTG3" s="62"/>
      <c r="FTH3" s="62"/>
      <c r="FTI3" s="62"/>
      <c r="FTJ3" s="62"/>
      <c r="FTK3" s="62"/>
      <c r="FTL3" s="62"/>
      <c r="FTM3" s="62"/>
      <c r="FTN3" s="62"/>
      <c r="FTO3" s="62"/>
      <c r="FTP3" s="62"/>
      <c r="FTQ3" s="62"/>
      <c r="FTR3" s="62"/>
      <c r="FTS3" s="62"/>
      <c r="FTT3" s="62"/>
      <c r="FTU3" s="62"/>
      <c r="FTV3" s="62"/>
      <c r="FTW3" s="62"/>
      <c r="FTX3" s="62"/>
      <c r="FTY3" s="62"/>
      <c r="FTZ3" s="62"/>
      <c r="FUA3" s="62"/>
      <c r="FUB3" s="62"/>
      <c r="FUC3" s="62"/>
      <c r="FUD3" s="62"/>
      <c r="FUE3" s="62"/>
      <c r="FUF3" s="62"/>
      <c r="FUG3" s="62"/>
      <c r="FUH3" s="62"/>
      <c r="FUI3" s="62"/>
      <c r="FUJ3" s="62"/>
      <c r="FUK3" s="62"/>
      <c r="FUL3" s="62"/>
      <c r="FUM3" s="62"/>
      <c r="FUN3" s="62"/>
      <c r="FUO3" s="62"/>
      <c r="FUP3" s="62"/>
      <c r="FUQ3" s="62"/>
      <c r="FUR3" s="62"/>
      <c r="FUS3" s="62"/>
      <c r="FUT3" s="62"/>
      <c r="FUU3" s="62"/>
      <c r="FUV3" s="62"/>
      <c r="FUW3" s="62"/>
      <c r="FUX3" s="62"/>
      <c r="FUY3" s="62"/>
      <c r="FUZ3" s="62"/>
      <c r="FVA3" s="62"/>
      <c r="FVB3" s="62"/>
      <c r="FVC3" s="62"/>
      <c r="FVD3" s="62"/>
      <c r="FVE3" s="62"/>
      <c r="FVF3" s="62"/>
      <c r="FVG3" s="62"/>
      <c r="FVH3" s="62"/>
      <c r="FVI3" s="62"/>
      <c r="FVJ3" s="62"/>
      <c r="FVK3" s="62"/>
      <c r="FVL3" s="62"/>
      <c r="FVM3" s="62"/>
      <c r="FVN3" s="62"/>
      <c r="FVO3" s="62"/>
      <c r="FVP3" s="62"/>
      <c r="FVQ3" s="62"/>
      <c r="FVR3" s="62"/>
      <c r="FVS3" s="62"/>
      <c r="FVT3" s="62"/>
      <c r="FVU3" s="62"/>
      <c r="FVV3" s="62"/>
      <c r="FVW3" s="62"/>
      <c r="FVX3" s="62"/>
      <c r="FVY3" s="62"/>
      <c r="FVZ3" s="62"/>
      <c r="FWA3" s="62"/>
      <c r="FWB3" s="62"/>
      <c r="FWC3" s="62"/>
      <c r="FWD3" s="62"/>
      <c r="FWE3" s="62"/>
      <c r="FWF3" s="62"/>
      <c r="FWG3" s="62"/>
      <c r="FWH3" s="62"/>
      <c r="FWI3" s="62"/>
      <c r="FWJ3" s="62"/>
      <c r="FWK3" s="62"/>
      <c r="FWL3" s="62"/>
      <c r="FWM3" s="62"/>
      <c r="FWN3" s="62"/>
      <c r="FWO3" s="62"/>
      <c r="FWP3" s="62"/>
      <c r="FWQ3" s="62"/>
      <c r="FWR3" s="62"/>
      <c r="FWS3" s="62"/>
      <c r="FWT3" s="62"/>
      <c r="FWU3" s="62"/>
      <c r="FWV3" s="62"/>
      <c r="FWW3" s="62"/>
      <c r="FWX3" s="62"/>
      <c r="FWY3" s="62"/>
      <c r="FWZ3" s="62"/>
      <c r="FXA3" s="62"/>
      <c r="FXB3" s="62"/>
      <c r="FXC3" s="62"/>
      <c r="FXD3" s="62"/>
      <c r="FXE3" s="62"/>
      <c r="FXF3" s="62"/>
      <c r="FXG3" s="62"/>
      <c r="FXH3" s="62"/>
      <c r="FXI3" s="62"/>
      <c r="FXJ3" s="62"/>
      <c r="FXK3" s="62"/>
      <c r="FXL3" s="62"/>
      <c r="FXM3" s="62"/>
      <c r="FXN3" s="62"/>
      <c r="FXO3" s="62"/>
      <c r="FXP3" s="62"/>
      <c r="FXQ3" s="62"/>
      <c r="FXR3" s="62"/>
      <c r="FXS3" s="62"/>
      <c r="FXT3" s="62"/>
      <c r="FXU3" s="62"/>
      <c r="FXV3" s="62"/>
      <c r="FXW3" s="62"/>
      <c r="FXX3" s="62"/>
      <c r="FXY3" s="62"/>
      <c r="FXZ3" s="62"/>
      <c r="FYA3" s="62"/>
      <c r="FYB3" s="62"/>
      <c r="FYC3" s="62"/>
      <c r="FYD3" s="62"/>
      <c r="FYE3" s="62"/>
      <c r="FYF3" s="62"/>
      <c r="FYG3" s="62"/>
      <c r="FYH3" s="62"/>
      <c r="FYI3" s="62"/>
      <c r="FYJ3" s="62"/>
      <c r="FYK3" s="62"/>
      <c r="FYL3" s="62"/>
      <c r="FYM3" s="62"/>
      <c r="FYN3" s="62"/>
      <c r="FYO3" s="62"/>
      <c r="FYP3" s="62"/>
      <c r="FYQ3" s="62"/>
      <c r="FYR3" s="62"/>
      <c r="FYS3" s="62"/>
      <c r="FYT3" s="62"/>
      <c r="FYU3" s="62"/>
      <c r="FYV3" s="62"/>
      <c r="FYW3" s="62"/>
      <c r="FYX3" s="62"/>
      <c r="FYY3" s="62"/>
      <c r="FYZ3" s="62"/>
      <c r="FZA3" s="62"/>
      <c r="FZB3" s="62"/>
      <c r="FZC3" s="62"/>
      <c r="FZD3" s="62"/>
      <c r="FZE3" s="62"/>
      <c r="FZF3" s="62"/>
      <c r="FZG3" s="62"/>
      <c r="FZH3" s="62"/>
      <c r="FZI3" s="62"/>
      <c r="FZJ3" s="62"/>
      <c r="FZK3" s="62"/>
      <c r="FZL3" s="62"/>
      <c r="FZM3" s="62"/>
      <c r="FZN3" s="62"/>
      <c r="FZO3" s="62"/>
      <c r="FZP3" s="62"/>
      <c r="FZQ3" s="62"/>
      <c r="FZR3" s="62"/>
      <c r="FZS3" s="62"/>
      <c r="FZT3" s="62"/>
      <c r="FZU3" s="62"/>
      <c r="FZV3" s="62"/>
      <c r="FZW3" s="62"/>
      <c r="FZX3" s="62"/>
      <c r="FZY3" s="62"/>
      <c r="FZZ3" s="62"/>
      <c r="GAA3" s="62"/>
      <c r="GAB3" s="62"/>
      <c r="GAC3" s="62"/>
      <c r="GAD3" s="62"/>
      <c r="GAE3" s="62"/>
      <c r="GAF3" s="62"/>
      <c r="GAG3" s="62"/>
      <c r="GAH3" s="62"/>
      <c r="GAI3" s="62"/>
      <c r="GAJ3" s="62"/>
      <c r="GAK3" s="62"/>
      <c r="GAL3" s="62"/>
      <c r="GAM3" s="62"/>
      <c r="GAN3" s="62"/>
      <c r="GAO3" s="62"/>
      <c r="GAP3" s="62"/>
      <c r="GAQ3" s="62"/>
      <c r="GAR3" s="62"/>
      <c r="GAS3" s="62"/>
      <c r="GAT3" s="62"/>
      <c r="GAU3" s="62"/>
      <c r="GAV3" s="62"/>
      <c r="GAW3" s="62"/>
      <c r="GAX3" s="62"/>
      <c r="GAY3" s="62"/>
      <c r="GAZ3" s="62"/>
      <c r="GBA3" s="62"/>
      <c r="GBB3" s="62"/>
      <c r="GBC3" s="62"/>
      <c r="GBD3" s="62"/>
      <c r="GBE3" s="62"/>
      <c r="GBF3" s="62"/>
      <c r="GBG3" s="62"/>
      <c r="GBH3" s="62"/>
      <c r="GBI3" s="62"/>
      <c r="GBJ3" s="62"/>
      <c r="GBK3" s="62"/>
      <c r="GBL3" s="62"/>
      <c r="GBM3" s="62"/>
      <c r="GBN3" s="62"/>
      <c r="GBO3" s="62"/>
      <c r="GBP3" s="62"/>
      <c r="GBQ3" s="62"/>
      <c r="GBR3" s="62"/>
      <c r="GBS3" s="62"/>
      <c r="GBT3" s="62"/>
      <c r="GBU3" s="62"/>
      <c r="GBV3" s="62"/>
      <c r="GBW3" s="62"/>
      <c r="GBX3" s="62"/>
      <c r="GBY3" s="62"/>
      <c r="GBZ3" s="62"/>
      <c r="GCA3" s="62"/>
      <c r="GCB3" s="62"/>
      <c r="GCC3" s="62"/>
      <c r="GCD3" s="62"/>
      <c r="GCE3" s="62"/>
      <c r="GCF3" s="62"/>
      <c r="GCG3" s="62"/>
      <c r="GCH3" s="62"/>
      <c r="GCI3" s="62"/>
      <c r="GCJ3" s="62"/>
      <c r="GCK3" s="62"/>
      <c r="GCL3" s="62"/>
      <c r="GCM3" s="62"/>
      <c r="GCN3" s="62"/>
      <c r="GCO3" s="62"/>
      <c r="GCP3" s="62"/>
      <c r="GCQ3" s="62"/>
      <c r="GCR3" s="62"/>
      <c r="GCS3" s="62"/>
      <c r="GCT3" s="62"/>
      <c r="GCU3" s="62"/>
      <c r="GCV3" s="62"/>
      <c r="GCW3" s="62"/>
      <c r="GCX3" s="62"/>
      <c r="GCY3" s="62"/>
      <c r="GCZ3" s="62"/>
      <c r="GDA3" s="62"/>
      <c r="GDB3" s="62"/>
      <c r="GDC3" s="62"/>
      <c r="GDD3" s="62"/>
      <c r="GDE3" s="62"/>
      <c r="GDF3" s="62"/>
      <c r="GDG3" s="62"/>
      <c r="GDH3" s="62"/>
      <c r="GDI3" s="62"/>
      <c r="GDJ3" s="62"/>
      <c r="GDK3" s="62"/>
      <c r="GDL3" s="62"/>
      <c r="GDM3" s="62"/>
      <c r="GDN3" s="62"/>
      <c r="GDO3" s="62"/>
      <c r="GDP3" s="62"/>
      <c r="GDQ3" s="62"/>
      <c r="GDR3" s="62"/>
      <c r="GDS3" s="62"/>
      <c r="GDT3" s="62"/>
      <c r="GDU3" s="62"/>
      <c r="GDV3" s="62"/>
      <c r="GDW3" s="62"/>
      <c r="GDX3" s="62"/>
      <c r="GDY3" s="62"/>
      <c r="GDZ3" s="62"/>
      <c r="GEA3" s="62"/>
      <c r="GEB3" s="62"/>
      <c r="GEC3" s="62"/>
      <c r="GED3" s="62"/>
      <c r="GEE3" s="62"/>
      <c r="GEF3" s="62"/>
      <c r="GEG3" s="62"/>
      <c r="GEH3" s="62"/>
      <c r="GEI3" s="62"/>
      <c r="GEJ3" s="62"/>
      <c r="GEK3" s="62"/>
      <c r="GEL3" s="62"/>
      <c r="GEM3" s="62"/>
      <c r="GEN3" s="62"/>
      <c r="GEO3" s="62"/>
      <c r="GEP3" s="62"/>
      <c r="GEQ3" s="62"/>
      <c r="GER3" s="62"/>
      <c r="GES3" s="62"/>
      <c r="GET3" s="62"/>
      <c r="GEU3" s="62"/>
      <c r="GEV3" s="62"/>
      <c r="GEW3" s="62"/>
      <c r="GEX3" s="62"/>
      <c r="GEY3" s="62"/>
      <c r="GEZ3" s="62"/>
      <c r="GFA3" s="62"/>
      <c r="GFB3" s="62"/>
      <c r="GFC3" s="62"/>
      <c r="GFD3" s="62"/>
      <c r="GFE3" s="62"/>
      <c r="GFF3" s="62"/>
      <c r="GFG3" s="62"/>
      <c r="GFH3" s="62"/>
      <c r="GFI3" s="62"/>
      <c r="GFJ3" s="62"/>
      <c r="GFK3" s="62"/>
      <c r="GFL3" s="62"/>
      <c r="GFM3" s="62"/>
      <c r="GFN3" s="62"/>
      <c r="GFO3" s="62"/>
      <c r="GFP3" s="62"/>
      <c r="GFQ3" s="62"/>
      <c r="GFR3" s="62"/>
      <c r="GFS3" s="62"/>
      <c r="GFT3" s="62"/>
      <c r="GFU3" s="62"/>
      <c r="GFV3" s="62"/>
      <c r="GFW3" s="62"/>
      <c r="GFX3" s="62"/>
      <c r="GFY3" s="62"/>
      <c r="GFZ3" s="62"/>
      <c r="GGA3" s="62"/>
      <c r="GGB3" s="62"/>
      <c r="GGC3" s="62"/>
      <c r="GGD3" s="62"/>
      <c r="GGE3" s="62"/>
      <c r="GGF3" s="62"/>
      <c r="GGG3" s="62"/>
      <c r="GGH3" s="62"/>
      <c r="GGI3" s="62"/>
      <c r="GGJ3" s="62"/>
      <c r="GGK3" s="62"/>
      <c r="GGL3" s="62"/>
      <c r="GGM3" s="62"/>
      <c r="GGN3" s="62"/>
      <c r="GGO3" s="62"/>
      <c r="GGP3" s="62"/>
      <c r="GGQ3" s="62"/>
      <c r="GGR3" s="62"/>
      <c r="GGS3" s="62"/>
      <c r="GGT3" s="62"/>
      <c r="GGU3" s="62"/>
      <c r="GGV3" s="62"/>
      <c r="GGW3" s="62"/>
      <c r="GGX3" s="62"/>
      <c r="GGY3" s="62"/>
      <c r="GGZ3" s="62"/>
      <c r="GHA3" s="62"/>
      <c r="GHB3" s="62"/>
      <c r="GHC3" s="62"/>
      <c r="GHD3" s="62"/>
      <c r="GHE3" s="62"/>
      <c r="GHF3" s="62"/>
      <c r="GHG3" s="62"/>
      <c r="GHH3" s="62"/>
      <c r="GHI3" s="62"/>
      <c r="GHJ3" s="62"/>
      <c r="GHK3" s="62"/>
      <c r="GHL3" s="62"/>
      <c r="GHM3" s="62"/>
      <c r="GHN3" s="62"/>
      <c r="GHO3" s="62"/>
      <c r="GHP3" s="62"/>
      <c r="GHQ3" s="62"/>
      <c r="GHR3" s="62"/>
      <c r="GHS3" s="62"/>
      <c r="GHT3" s="62"/>
      <c r="GHU3" s="62"/>
      <c r="GHV3" s="62"/>
      <c r="GHW3" s="62"/>
      <c r="GHX3" s="62"/>
      <c r="GHY3" s="62"/>
      <c r="GHZ3" s="62"/>
      <c r="GIA3" s="62"/>
      <c r="GIB3" s="62"/>
      <c r="GIC3" s="62"/>
      <c r="GID3" s="62"/>
      <c r="GIE3" s="62"/>
      <c r="GIF3" s="62"/>
      <c r="GIG3" s="62"/>
      <c r="GIH3" s="62"/>
      <c r="GII3" s="62"/>
      <c r="GIJ3" s="62"/>
      <c r="GIK3" s="62"/>
      <c r="GIL3" s="62"/>
      <c r="GIM3" s="62"/>
      <c r="GIN3" s="62"/>
      <c r="GIO3" s="62"/>
      <c r="GIP3" s="62"/>
      <c r="GIQ3" s="62"/>
      <c r="GIR3" s="62"/>
      <c r="GIS3" s="62"/>
      <c r="GIT3" s="62"/>
      <c r="GIU3" s="62"/>
      <c r="GIV3" s="62"/>
      <c r="GIW3" s="62"/>
      <c r="GIX3" s="62"/>
      <c r="GIY3" s="62"/>
      <c r="GIZ3" s="62"/>
      <c r="GJA3" s="62"/>
      <c r="GJB3" s="62"/>
      <c r="GJC3" s="62"/>
      <c r="GJD3" s="62"/>
      <c r="GJE3" s="62"/>
      <c r="GJF3" s="62"/>
      <c r="GJG3" s="62"/>
      <c r="GJH3" s="62"/>
      <c r="GJI3" s="62"/>
      <c r="GJJ3" s="62"/>
      <c r="GJK3" s="62"/>
      <c r="GJL3" s="62"/>
      <c r="GJM3" s="62"/>
      <c r="GJN3" s="62"/>
      <c r="GJO3" s="62"/>
      <c r="GJP3" s="62"/>
      <c r="GJQ3" s="62"/>
      <c r="GJR3" s="62"/>
      <c r="GJS3" s="62"/>
      <c r="GJT3" s="62"/>
      <c r="GJU3" s="62"/>
      <c r="GJV3" s="62"/>
      <c r="GJW3" s="62"/>
      <c r="GJX3" s="62"/>
      <c r="GJY3" s="62"/>
      <c r="GJZ3" s="62"/>
      <c r="GKA3" s="62"/>
      <c r="GKB3" s="62"/>
      <c r="GKC3" s="62"/>
      <c r="GKD3" s="62"/>
      <c r="GKE3" s="62"/>
      <c r="GKF3" s="62"/>
      <c r="GKG3" s="62"/>
      <c r="GKH3" s="62"/>
      <c r="GKI3" s="62"/>
      <c r="GKJ3" s="62"/>
      <c r="GKK3" s="62"/>
      <c r="GKL3" s="62"/>
      <c r="GKM3" s="62"/>
      <c r="GKN3" s="62"/>
      <c r="GKO3" s="62"/>
      <c r="GKP3" s="62"/>
      <c r="GKQ3" s="62"/>
      <c r="GKR3" s="62"/>
      <c r="GKS3" s="62"/>
      <c r="GKT3" s="62"/>
      <c r="GKU3" s="62"/>
      <c r="GKV3" s="62"/>
      <c r="GKW3" s="62"/>
      <c r="GKX3" s="62"/>
      <c r="GKY3" s="62"/>
      <c r="GKZ3" s="62"/>
      <c r="GLA3" s="62"/>
      <c r="GLB3" s="62"/>
      <c r="GLC3" s="62"/>
      <c r="GLD3" s="62"/>
      <c r="GLE3" s="62"/>
      <c r="GLF3" s="62"/>
      <c r="GLG3" s="62"/>
      <c r="GLH3" s="62"/>
      <c r="GLI3" s="62"/>
      <c r="GLJ3" s="62"/>
      <c r="GLK3" s="62"/>
      <c r="GLL3" s="62"/>
      <c r="GLM3" s="62"/>
      <c r="GLN3" s="62"/>
      <c r="GLO3" s="62"/>
      <c r="GLP3" s="62"/>
      <c r="GLQ3" s="62"/>
      <c r="GLR3" s="62"/>
      <c r="GLS3" s="62"/>
      <c r="GLT3" s="62"/>
      <c r="GLU3" s="62"/>
      <c r="GLV3" s="62"/>
      <c r="GLW3" s="62"/>
      <c r="GLX3" s="62"/>
      <c r="GLY3" s="62"/>
      <c r="GLZ3" s="62"/>
      <c r="GMA3" s="62"/>
      <c r="GMB3" s="62"/>
      <c r="GMC3" s="62"/>
      <c r="GMD3" s="62"/>
      <c r="GME3" s="62"/>
      <c r="GMF3" s="62"/>
      <c r="GMG3" s="62"/>
      <c r="GMH3" s="62"/>
      <c r="GMI3" s="62"/>
      <c r="GMJ3" s="62"/>
      <c r="GMK3" s="62"/>
      <c r="GML3" s="62"/>
      <c r="GMM3" s="62"/>
      <c r="GMN3" s="62"/>
      <c r="GMO3" s="62"/>
      <c r="GMP3" s="62"/>
      <c r="GMQ3" s="62"/>
      <c r="GMR3" s="62"/>
      <c r="GMS3" s="62"/>
      <c r="GMT3" s="62"/>
      <c r="GMU3" s="62"/>
      <c r="GMV3" s="62"/>
      <c r="GMW3" s="62"/>
      <c r="GMX3" s="62"/>
      <c r="GMY3" s="62"/>
      <c r="GMZ3" s="62"/>
      <c r="GNA3" s="62"/>
      <c r="GNB3" s="62"/>
      <c r="GNC3" s="62"/>
      <c r="GND3" s="62"/>
      <c r="GNE3" s="62"/>
      <c r="GNF3" s="62"/>
      <c r="GNG3" s="62"/>
      <c r="GNH3" s="62"/>
      <c r="GNI3" s="62"/>
      <c r="GNJ3" s="62"/>
      <c r="GNK3" s="62"/>
      <c r="GNL3" s="62"/>
      <c r="GNM3" s="62"/>
      <c r="GNN3" s="62"/>
      <c r="GNO3" s="62"/>
      <c r="GNP3" s="62"/>
      <c r="GNQ3" s="62"/>
      <c r="GNR3" s="62"/>
      <c r="GNS3" s="62"/>
      <c r="GNT3" s="62"/>
      <c r="GNU3" s="62"/>
      <c r="GNV3" s="62"/>
      <c r="GNW3" s="62"/>
      <c r="GNX3" s="62"/>
      <c r="GNY3" s="62"/>
      <c r="GNZ3" s="62"/>
      <c r="GOA3" s="62"/>
      <c r="GOB3" s="62"/>
      <c r="GOC3" s="62"/>
      <c r="GOD3" s="62"/>
      <c r="GOE3" s="62"/>
      <c r="GOF3" s="62"/>
      <c r="GOG3" s="62"/>
      <c r="GOH3" s="62"/>
      <c r="GOI3" s="62"/>
      <c r="GOJ3" s="62"/>
      <c r="GOK3" s="62"/>
      <c r="GOL3" s="62"/>
      <c r="GOM3" s="62"/>
      <c r="GON3" s="62"/>
      <c r="GOO3" s="62"/>
      <c r="GOP3" s="62"/>
      <c r="GOQ3" s="62"/>
      <c r="GOR3" s="62"/>
      <c r="GOS3" s="62"/>
      <c r="GOT3" s="62"/>
      <c r="GOU3" s="62"/>
      <c r="GOV3" s="62"/>
      <c r="GOW3" s="62"/>
      <c r="GOX3" s="62"/>
      <c r="GOY3" s="62"/>
      <c r="GOZ3" s="62"/>
      <c r="GPA3" s="62"/>
      <c r="GPB3" s="62"/>
      <c r="GPC3" s="62"/>
      <c r="GPD3" s="62"/>
      <c r="GPE3" s="62"/>
      <c r="GPF3" s="62"/>
      <c r="GPG3" s="62"/>
      <c r="GPH3" s="62"/>
      <c r="GPI3" s="62"/>
      <c r="GPJ3" s="62"/>
      <c r="GPK3" s="62"/>
      <c r="GPL3" s="62"/>
      <c r="GPM3" s="62"/>
      <c r="GPN3" s="62"/>
      <c r="GPO3" s="62"/>
      <c r="GPP3" s="62"/>
      <c r="GPQ3" s="62"/>
      <c r="GPR3" s="62"/>
      <c r="GPS3" s="62"/>
      <c r="GPT3" s="62"/>
      <c r="GPU3" s="62"/>
      <c r="GPV3" s="62"/>
      <c r="GPW3" s="62"/>
      <c r="GPX3" s="62"/>
      <c r="GPY3" s="62"/>
      <c r="GPZ3" s="62"/>
      <c r="GQA3" s="62"/>
      <c r="GQB3" s="62"/>
      <c r="GQC3" s="62"/>
      <c r="GQD3" s="62"/>
      <c r="GQE3" s="62"/>
      <c r="GQF3" s="62"/>
      <c r="GQG3" s="62"/>
      <c r="GQH3" s="62"/>
      <c r="GQI3" s="62"/>
      <c r="GQJ3" s="62"/>
      <c r="GQK3" s="62"/>
      <c r="GQL3" s="62"/>
      <c r="GQM3" s="62"/>
      <c r="GQN3" s="62"/>
      <c r="GQO3" s="62"/>
      <c r="GQP3" s="62"/>
      <c r="GQQ3" s="62"/>
      <c r="GQR3" s="62"/>
      <c r="GQS3" s="62"/>
      <c r="GQT3" s="62"/>
      <c r="GQU3" s="62"/>
      <c r="GQV3" s="62"/>
      <c r="GQW3" s="62"/>
      <c r="GQX3" s="62"/>
      <c r="GQY3" s="62"/>
      <c r="GQZ3" s="62"/>
      <c r="GRA3" s="62"/>
      <c r="GRB3" s="62"/>
      <c r="GRC3" s="62"/>
      <c r="GRD3" s="62"/>
      <c r="GRE3" s="62"/>
      <c r="GRF3" s="62"/>
      <c r="GRG3" s="62"/>
      <c r="GRH3" s="62"/>
      <c r="GRI3" s="62"/>
      <c r="GRJ3" s="62"/>
      <c r="GRK3" s="62"/>
      <c r="GRL3" s="62"/>
      <c r="GRM3" s="62"/>
      <c r="GRN3" s="62"/>
      <c r="GRO3" s="62"/>
      <c r="GRP3" s="62"/>
      <c r="GRQ3" s="62"/>
      <c r="GRR3" s="62"/>
      <c r="GRS3" s="62"/>
      <c r="GRT3" s="62"/>
      <c r="GRU3" s="62"/>
      <c r="GRV3" s="62"/>
      <c r="GRW3" s="62"/>
      <c r="GRX3" s="62"/>
      <c r="GRY3" s="62"/>
      <c r="GRZ3" s="62"/>
      <c r="GSA3" s="62"/>
      <c r="GSB3" s="62"/>
      <c r="GSC3" s="62"/>
      <c r="GSD3" s="62"/>
      <c r="GSE3" s="62"/>
      <c r="GSF3" s="62"/>
      <c r="GSG3" s="62"/>
      <c r="GSH3" s="62"/>
      <c r="GSI3" s="62"/>
      <c r="GSJ3" s="62"/>
      <c r="GSK3" s="62"/>
      <c r="GSL3" s="62"/>
      <c r="GSM3" s="62"/>
      <c r="GSN3" s="62"/>
      <c r="GSO3" s="62"/>
      <c r="GSP3" s="62"/>
      <c r="GSQ3" s="62"/>
      <c r="GSR3" s="62"/>
      <c r="GSS3" s="62"/>
      <c r="GST3" s="62"/>
      <c r="GSU3" s="62"/>
      <c r="GSV3" s="62"/>
      <c r="GSW3" s="62"/>
      <c r="GSX3" s="62"/>
      <c r="GSY3" s="62"/>
      <c r="GSZ3" s="62"/>
      <c r="GTA3" s="62"/>
      <c r="GTB3" s="62"/>
      <c r="GTC3" s="62"/>
      <c r="GTD3" s="62"/>
      <c r="GTE3" s="62"/>
      <c r="GTF3" s="62"/>
      <c r="GTG3" s="62"/>
      <c r="GTH3" s="62"/>
      <c r="GTI3" s="62"/>
      <c r="GTJ3" s="62"/>
      <c r="GTK3" s="62"/>
      <c r="GTL3" s="62"/>
      <c r="GTM3" s="62"/>
      <c r="GTN3" s="62"/>
      <c r="GTO3" s="62"/>
      <c r="GTP3" s="62"/>
      <c r="GTQ3" s="62"/>
      <c r="GTR3" s="62"/>
      <c r="GTS3" s="62"/>
      <c r="GTT3" s="62"/>
      <c r="GTU3" s="62"/>
      <c r="GTV3" s="62"/>
      <c r="GTW3" s="62"/>
      <c r="GTX3" s="62"/>
      <c r="GTY3" s="62"/>
      <c r="GTZ3" s="62"/>
      <c r="GUA3" s="62"/>
      <c r="GUB3" s="62"/>
      <c r="GUC3" s="62"/>
      <c r="GUD3" s="62"/>
      <c r="GUE3" s="62"/>
      <c r="GUF3" s="62"/>
      <c r="GUG3" s="62"/>
      <c r="GUH3" s="62"/>
      <c r="GUI3" s="62"/>
      <c r="GUJ3" s="62"/>
      <c r="GUK3" s="62"/>
      <c r="GUL3" s="62"/>
      <c r="GUM3" s="62"/>
      <c r="GUN3" s="62"/>
      <c r="GUO3" s="62"/>
      <c r="GUP3" s="62"/>
      <c r="GUQ3" s="62"/>
      <c r="GUR3" s="62"/>
      <c r="GUS3" s="62"/>
      <c r="GUT3" s="62"/>
      <c r="GUU3" s="62"/>
      <c r="GUV3" s="62"/>
      <c r="GUW3" s="62"/>
      <c r="GUX3" s="62"/>
      <c r="GUY3" s="62"/>
      <c r="GUZ3" s="62"/>
      <c r="GVA3" s="62"/>
      <c r="GVB3" s="62"/>
      <c r="GVC3" s="62"/>
      <c r="GVD3" s="62"/>
      <c r="GVE3" s="62"/>
      <c r="GVF3" s="62"/>
      <c r="GVG3" s="62"/>
      <c r="GVH3" s="62"/>
      <c r="GVI3" s="62"/>
      <c r="GVJ3" s="62"/>
      <c r="GVK3" s="62"/>
      <c r="GVL3" s="62"/>
      <c r="GVM3" s="62"/>
      <c r="GVN3" s="62"/>
      <c r="GVO3" s="62"/>
      <c r="GVP3" s="62"/>
      <c r="GVQ3" s="62"/>
      <c r="GVR3" s="62"/>
      <c r="GVS3" s="62"/>
      <c r="GVT3" s="62"/>
      <c r="GVU3" s="62"/>
      <c r="GVV3" s="62"/>
      <c r="GVW3" s="62"/>
      <c r="GVX3" s="62"/>
      <c r="GVY3" s="62"/>
      <c r="GVZ3" s="62"/>
      <c r="GWA3" s="62"/>
      <c r="GWB3" s="62"/>
      <c r="GWC3" s="62"/>
      <c r="GWD3" s="62"/>
      <c r="GWE3" s="62"/>
      <c r="GWF3" s="62"/>
      <c r="GWG3" s="62"/>
      <c r="GWH3" s="62"/>
      <c r="GWI3" s="62"/>
      <c r="GWJ3" s="62"/>
      <c r="GWK3" s="62"/>
      <c r="GWL3" s="62"/>
      <c r="GWM3" s="62"/>
      <c r="GWN3" s="62"/>
      <c r="GWO3" s="62"/>
      <c r="GWP3" s="62"/>
      <c r="GWQ3" s="62"/>
      <c r="GWR3" s="62"/>
      <c r="GWS3" s="62"/>
      <c r="GWT3" s="62"/>
      <c r="GWU3" s="62"/>
      <c r="GWV3" s="62"/>
      <c r="GWW3" s="62"/>
      <c r="GWX3" s="62"/>
      <c r="GWY3" s="62"/>
      <c r="GWZ3" s="62"/>
      <c r="GXA3" s="62"/>
      <c r="GXB3" s="62"/>
      <c r="GXC3" s="62"/>
      <c r="GXD3" s="62"/>
      <c r="GXE3" s="62"/>
      <c r="GXF3" s="62"/>
      <c r="GXG3" s="62"/>
      <c r="GXH3" s="62"/>
      <c r="GXI3" s="62"/>
      <c r="GXJ3" s="62"/>
      <c r="GXK3" s="62"/>
      <c r="GXL3" s="62"/>
      <c r="GXM3" s="62"/>
      <c r="GXN3" s="62"/>
      <c r="GXO3" s="62"/>
      <c r="GXP3" s="62"/>
      <c r="GXQ3" s="62"/>
      <c r="GXR3" s="62"/>
      <c r="GXS3" s="62"/>
      <c r="GXT3" s="62"/>
      <c r="GXU3" s="62"/>
      <c r="GXV3" s="62"/>
      <c r="GXW3" s="62"/>
      <c r="GXX3" s="62"/>
      <c r="GXY3" s="62"/>
      <c r="GXZ3" s="62"/>
      <c r="GYA3" s="62"/>
      <c r="GYB3" s="62"/>
      <c r="GYC3" s="62"/>
      <c r="GYD3" s="62"/>
      <c r="GYE3" s="62"/>
      <c r="GYF3" s="62"/>
      <c r="GYG3" s="62"/>
      <c r="GYH3" s="62"/>
      <c r="GYI3" s="62"/>
      <c r="GYJ3" s="62"/>
      <c r="GYK3" s="62"/>
      <c r="GYL3" s="62"/>
      <c r="GYM3" s="62"/>
      <c r="GYN3" s="62"/>
      <c r="GYO3" s="62"/>
      <c r="GYP3" s="62"/>
      <c r="GYQ3" s="62"/>
      <c r="GYR3" s="62"/>
      <c r="GYS3" s="62"/>
      <c r="GYT3" s="62"/>
      <c r="GYU3" s="62"/>
      <c r="GYV3" s="62"/>
      <c r="GYW3" s="62"/>
      <c r="GYX3" s="62"/>
      <c r="GYY3" s="62"/>
      <c r="GYZ3" s="62"/>
      <c r="GZA3" s="62"/>
      <c r="GZB3" s="62"/>
      <c r="GZC3" s="62"/>
      <c r="GZD3" s="62"/>
      <c r="GZE3" s="62"/>
      <c r="GZF3" s="62"/>
      <c r="GZG3" s="62"/>
      <c r="GZH3" s="62"/>
      <c r="GZI3" s="62"/>
      <c r="GZJ3" s="62"/>
      <c r="GZK3" s="62"/>
      <c r="GZL3" s="62"/>
      <c r="GZM3" s="62"/>
      <c r="GZN3" s="62"/>
      <c r="GZO3" s="62"/>
      <c r="GZP3" s="62"/>
      <c r="GZQ3" s="62"/>
      <c r="GZR3" s="62"/>
      <c r="GZS3" s="62"/>
      <c r="GZT3" s="62"/>
      <c r="GZU3" s="62"/>
      <c r="GZV3" s="62"/>
      <c r="GZW3" s="62"/>
      <c r="GZX3" s="62"/>
      <c r="GZY3" s="62"/>
      <c r="GZZ3" s="62"/>
      <c r="HAA3" s="62"/>
      <c r="HAB3" s="62"/>
      <c r="HAC3" s="62"/>
      <c r="HAD3" s="62"/>
      <c r="HAE3" s="62"/>
      <c r="HAF3" s="62"/>
      <c r="HAG3" s="62"/>
      <c r="HAH3" s="62"/>
      <c r="HAI3" s="62"/>
      <c r="HAJ3" s="62"/>
      <c r="HAK3" s="62"/>
      <c r="HAL3" s="62"/>
      <c r="HAM3" s="62"/>
      <c r="HAN3" s="62"/>
      <c r="HAO3" s="62"/>
      <c r="HAP3" s="62"/>
      <c r="HAQ3" s="62"/>
      <c r="HAR3" s="62"/>
      <c r="HAS3" s="62"/>
      <c r="HAT3" s="62"/>
      <c r="HAU3" s="62"/>
      <c r="HAV3" s="62"/>
      <c r="HAW3" s="62"/>
      <c r="HAX3" s="62"/>
      <c r="HAY3" s="62"/>
      <c r="HAZ3" s="62"/>
      <c r="HBA3" s="62"/>
      <c r="HBB3" s="62"/>
      <c r="HBC3" s="62"/>
      <c r="HBD3" s="62"/>
      <c r="HBE3" s="62"/>
      <c r="HBF3" s="62"/>
      <c r="HBG3" s="62"/>
      <c r="HBH3" s="62"/>
      <c r="HBI3" s="62"/>
      <c r="HBJ3" s="62"/>
      <c r="HBK3" s="62"/>
      <c r="HBL3" s="62"/>
      <c r="HBM3" s="62"/>
      <c r="HBN3" s="62"/>
      <c r="HBO3" s="62"/>
      <c r="HBP3" s="62"/>
      <c r="HBQ3" s="62"/>
      <c r="HBR3" s="62"/>
      <c r="HBS3" s="62"/>
      <c r="HBT3" s="62"/>
      <c r="HBU3" s="62"/>
      <c r="HBV3" s="62"/>
      <c r="HBW3" s="62"/>
      <c r="HBX3" s="62"/>
      <c r="HBY3" s="62"/>
      <c r="HBZ3" s="62"/>
      <c r="HCA3" s="62"/>
      <c r="HCB3" s="62"/>
      <c r="HCC3" s="62"/>
      <c r="HCD3" s="62"/>
      <c r="HCE3" s="62"/>
      <c r="HCF3" s="62"/>
      <c r="HCG3" s="62"/>
      <c r="HCH3" s="62"/>
      <c r="HCI3" s="62"/>
      <c r="HCJ3" s="62"/>
      <c r="HCK3" s="62"/>
      <c r="HCL3" s="62"/>
      <c r="HCM3" s="62"/>
      <c r="HCN3" s="62"/>
      <c r="HCO3" s="62"/>
      <c r="HCP3" s="62"/>
      <c r="HCQ3" s="62"/>
      <c r="HCR3" s="62"/>
      <c r="HCS3" s="62"/>
      <c r="HCT3" s="62"/>
      <c r="HCU3" s="62"/>
      <c r="HCV3" s="62"/>
      <c r="HCW3" s="62"/>
      <c r="HCX3" s="62"/>
      <c r="HCY3" s="62"/>
      <c r="HCZ3" s="62"/>
      <c r="HDA3" s="62"/>
      <c r="HDB3" s="62"/>
      <c r="HDC3" s="62"/>
      <c r="HDD3" s="62"/>
      <c r="HDE3" s="62"/>
      <c r="HDF3" s="62"/>
      <c r="HDG3" s="62"/>
      <c r="HDH3" s="62"/>
      <c r="HDI3" s="62"/>
      <c r="HDJ3" s="62"/>
      <c r="HDK3" s="62"/>
      <c r="HDL3" s="62"/>
      <c r="HDM3" s="62"/>
      <c r="HDN3" s="62"/>
      <c r="HDO3" s="62"/>
      <c r="HDP3" s="62"/>
      <c r="HDQ3" s="62"/>
      <c r="HDR3" s="62"/>
      <c r="HDS3" s="62"/>
      <c r="HDT3" s="62"/>
      <c r="HDU3" s="62"/>
      <c r="HDV3" s="62"/>
      <c r="HDW3" s="62"/>
      <c r="HDX3" s="62"/>
      <c r="HDY3" s="62"/>
      <c r="HDZ3" s="62"/>
      <c r="HEA3" s="62"/>
      <c r="HEB3" s="62"/>
      <c r="HEC3" s="62"/>
      <c r="HED3" s="62"/>
      <c r="HEE3" s="62"/>
      <c r="HEF3" s="62"/>
      <c r="HEG3" s="62"/>
      <c r="HEH3" s="62"/>
      <c r="HEI3" s="62"/>
      <c r="HEJ3" s="62"/>
      <c r="HEK3" s="62"/>
      <c r="HEL3" s="62"/>
      <c r="HEM3" s="62"/>
      <c r="HEN3" s="62"/>
      <c r="HEO3" s="62"/>
      <c r="HEP3" s="62"/>
      <c r="HEQ3" s="62"/>
      <c r="HER3" s="62"/>
      <c r="HES3" s="62"/>
      <c r="HET3" s="62"/>
      <c r="HEU3" s="62"/>
      <c r="HEV3" s="62"/>
      <c r="HEW3" s="62"/>
      <c r="HEX3" s="62"/>
      <c r="HEY3" s="62"/>
      <c r="HEZ3" s="62"/>
      <c r="HFA3" s="62"/>
      <c r="HFB3" s="62"/>
      <c r="HFC3" s="62"/>
      <c r="HFD3" s="62"/>
      <c r="HFE3" s="62"/>
      <c r="HFF3" s="62"/>
      <c r="HFG3" s="62"/>
      <c r="HFH3" s="62"/>
      <c r="HFI3" s="62"/>
      <c r="HFJ3" s="62"/>
      <c r="HFK3" s="62"/>
      <c r="HFL3" s="62"/>
      <c r="HFM3" s="62"/>
      <c r="HFN3" s="62"/>
      <c r="HFO3" s="62"/>
      <c r="HFP3" s="62"/>
      <c r="HFQ3" s="62"/>
      <c r="HFR3" s="62"/>
      <c r="HFS3" s="62"/>
      <c r="HFT3" s="62"/>
      <c r="HFU3" s="62"/>
      <c r="HFV3" s="62"/>
      <c r="HFW3" s="62"/>
      <c r="HFX3" s="62"/>
      <c r="HFY3" s="62"/>
      <c r="HFZ3" s="62"/>
      <c r="HGA3" s="62"/>
      <c r="HGB3" s="62"/>
      <c r="HGC3" s="62"/>
      <c r="HGD3" s="62"/>
      <c r="HGE3" s="62"/>
      <c r="HGF3" s="62"/>
      <c r="HGG3" s="62"/>
      <c r="HGH3" s="62"/>
      <c r="HGI3" s="62"/>
      <c r="HGJ3" s="62"/>
      <c r="HGK3" s="62"/>
      <c r="HGL3" s="62"/>
      <c r="HGM3" s="62"/>
      <c r="HGN3" s="62"/>
      <c r="HGO3" s="62"/>
      <c r="HGP3" s="62"/>
      <c r="HGQ3" s="62"/>
      <c r="HGR3" s="62"/>
      <c r="HGS3" s="62"/>
      <c r="HGT3" s="62"/>
      <c r="HGU3" s="62"/>
      <c r="HGV3" s="62"/>
      <c r="HGW3" s="62"/>
      <c r="HGX3" s="62"/>
      <c r="HGY3" s="62"/>
      <c r="HGZ3" s="62"/>
      <c r="HHA3" s="62"/>
      <c r="HHB3" s="62"/>
      <c r="HHC3" s="62"/>
      <c r="HHD3" s="62"/>
      <c r="HHE3" s="62"/>
      <c r="HHF3" s="62"/>
      <c r="HHG3" s="62"/>
      <c r="HHH3" s="62"/>
      <c r="HHI3" s="62"/>
      <c r="HHJ3" s="62"/>
      <c r="HHK3" s="62"/>
      <c r="HHL3" s="62"/>
      <c r="HHM3" s="62"/>
      <c r="HHN3" s="62"/>
      <c r="HHO3" s="62"/>
      <c r="HHP3" s="62"/>
      <c r="HHQ3" s="62"/>
      <c r="HHR3" s="62"/>
      <c r="HHS3" s="62"/>
      <c r="HHT3" s="62"/>
      <c r="HHU3" s="62"/>
      <c r="HHV3" s="62"/>
      <c r="HHW3" s="62"/>
      <c r="HHX3" s="62"/>
      <c r="HHY3" s="62"/>
      <c r="HHZ3" s="62"/>
      <c r="HIA3" s="62"/>
      <c r="HIB3" s="62"/>
      <c r="HIC3" s="62"/>
      <c r="HID3" s="62"/>
      <c r="HIE3" s="62"/>
      <c r="HIF3" s="62"/>
      <c r="HIG3" s="62"/>
      <c r="HIH3" s="62"/>
      <c r="HII3" s="62"/>
      <c r="HIJ3" s="62"/>
      <c r="HIK3" s="62"/>
      <c r="HIL3" s="62"/>
      <c r="HIM3" s="62"/>
      <c r="HIN3" s="62"/>
      <c r="HIO3" s="62"/>
      <c r="HIP3" s="62"/>
      <c r="HIQ3" s="62"/>
      <c r="HIR3" s="62"/>
      <c r="HIS3" s="62"/>
      <c r="HIT3" s="62"/>
      <c r="HIU3" s="62"/>
      <c r="HIV3" s="62"/>
      <c r="HIW3" s="62"/>
      <c r="HIX3" s="62"/>
      <c r="HIY3" s="62"/>
      <c r="HIZ3" s="62"/>
      <c r="HJA3" s="62"/>
      <c r="HJB3" s="62"/>
      <c r="HJC3" s="62"/>
      <c r="HJD3" s="62"/>
      <c r="HJE3" s="62"/>
      <c r="HJF3" s="62"/>
      <c r="HJG3" s="62"/>
      <c r="HJH3" s="62"/>
      <c r="HJI3" s="62"/>
      <c r="HJJ3" s="62"/>
      <c r="HJK3" s="62"/>
      <c r="HJL3" s="62"/>
      <c r="HJM3" s="62"/>
      <c r="HJN3" s="62"/>
      <c r="HJO3" s="62"/>
      <c r="HJP3" s="62"/>
      <c r="HJQ3" s="62"/>
      <c r="HJR3" s="62"/>
      <c r="HJS3" s="62"/>
      <c r="HJT3" s="62"/>
      <c r="HJU3" s="62"/>
      <c r="HJV3" s="62"/>
      <c r="HJW3" s="62"/>
      <c r="HJX3" s="62"/>
      <c r="HJY3" s="62"/>
      <c r="HJZ3" s="62"/>
      <c r="HKA3" s="62"/>
      <c r="HKB3" s="62"/>
      <c r="HKC3" s="62"/>
      <c r="HKD3" s="62"/>
      <c r="HKE3" s="62"/>
      <c r="HKF3" s="62"/>
      <c r="HKG3" s="62"/>
      <c r="HKH3" s="62"/>
      <c r="HKI3" s="62"/>
      <c r="HKJ3" s="62"/>
      <c r="HKK3" s="62"/>
      <c r="HKL3" s="62"/>
      <c r="HKM3" s="62"/>
      <c r="HKN3" s="62"/>
      <c r="HKO3" s="62"/>
      <c r="HKP3" s="62"/>
      <c r="HKQ3" s="62"/>
      <c r="HKR3" s="62"/>
      <c r="HKS3" s="62"/>
      <c r="HKT3" s="62"/>
      <c r="HKU3" s="62"/>
      <c r="HKV3" s="62"/>
      <c r="HKW3" s="62"/>
      <c r="HKX3" s="62"/>
      <c r="HKY3" s="62"/>
      <c r="HKZ3" s="62"/>
      <c r="HLA3" s="62"/>
      <c r="HLB3" s="62"/>
      <c r="HLC3" s="62"/>
      <c r="HLD3" s="62"/>
      <c r="HLE3" s="62"/>
      <c r="HLF3" s="62"/>
      <c r="HLG3" s="62"/>
      <c r="HLH3" s="62"/>
      <c r="HLI3" s="62"/>
      <c r="HLJ3" s="62"/>
      <c r="HLK3" s="62"/>
      <c r="HLL3" s="62"/>
      <c r="HLM3" s="62"/>
      <c r="HLN3" s="62"/>
      <c r="HLO3" s="62"/>
      <c r="HLP3" s="62"/>
      <c r="HLQ3" s="62"/>
      <c r="HLR3" s="62"/>
      <c r="HLS3" s="62"/>
      <c r="HLT3" s="62"/>
      <c r="HLU3" s="62"/>
      <c r="HLV3" s="62"/>
      <c r="HLW3" s="62"/>
      <c r="HLX3" s="62"/>
      <c r="HLY3" s="62"/>
      <c r="HLZ3" s="62"/>
      <c r="HMA3" s="62"/>
      <c r="HMB3" s="62"/>
      <c r="HMC3" s="62"/>
      <c r="HMD3" s="62"/>
      <c r="HME3" s="62"/>
      <c r="HMF3" s="62"/>
      <c r="HMG3" s="62"/>
      <c r="HMH3" s="62"/>
      <c r="HMI3" s="62"/>
      <c r="HMJ3" s="62"/>
      <c r="HMK3" s="62"/>
      <c r="HML3" s="62"/>
      <c r="HMM3" s="62"/>
      <c r="HMN3" s="62"/>
      <c r="HMO3" s="62"/>
      <c r="HMP3" s="62"/>
      <c r="HMQ3" s="62"/>
      <c r="HMR3" s="62"/>
      <c r="HMS3" s="62"/>
      <c r="HMT3" s="62"/>
      <c r="HMU3" s="62"/>
      <c r="HMV3" s="62"/>
      <c r="HMW3" s="62"/>
      <c r="HMX3" s="62"/>
      <c r="HMY3" s="62"/>
      <c r="HMZ3" s="62"/>
      <c r="HNA3" s="62"/>
      <c r="HNB3" s="62"/>
      <c r="HNC3" s="62"/>
      <c r="HND3" s="62"/>
      <c r="HNE3" s="62"/>
      <c r="HNF3" s="62"/>
      <c r="HNG3" s="62"/>
      <c r="HNH3" s="62"/>
      <c r="HNI3" s="62"/>
      <c r="HNJ3" s="62"/>
      <c r="HNK3" s="62"/>
      <c r="HNL3" s="62"/>
      <c r="HNM3" s="62"/>
      <c r="HNN3" s="62"/>
      <c r="HNO3" s="62"/>
      <c r="HNP3" s="62"/>
      <c r="HNQ3" s="62"/>
      <c r="HNR3" s="62"/>
      <c r="HNS3" s="62"/>
      <c r="HNT3" s="62"/>
      <c r="HNU3" s="62"/>
      <c r="HNV3" s="62"/>
      <c r="HNW3" s="62"/>
      <c r="HNX3" s="62"/>
      <c r="HNY3" s="62"/>
      <c r="HNZ3" s="62"/>
      <c r="HOA3" s="62"/>
      <c r="HOB3" s="62"/>
      <c r="HOC3" s="62"/>
      <c r="HOD3" s="62"/>
      <c r="HOE3" s="62"/>
      <c r="HOF3" s="62"/>
      <c r="HOG3" s="62"/>
      <c r="HOH3" s="62"/>
      <c r="HOI3" s="62"/>
      <c r="HOJ3" s="62"/>
      <c r="HOK3" s="62"/>
      <c r="HOL3" s="62"/>
      <c r="HOM3" s="62"/>
      <c r="HON3" s="62"/>
      <c r="HOO3" s="62"/>
      <c r="HOP3" s="62"/>
      <c r="HOQ3" s="62"/>
      <c r="HOR3" s="62"/>
      <c r="HOS3" s="62"/>
      <c r="HOT3" s="62"/>
      <c r="HOU3" s="62"/>
      <c r="HOV3" s="62"/>
      <c r="HOW3" s="62"/>
      <c r="HOX3" s="62"/>
      <c r="HOY3" s="62"/>
      <c r="HOZ3" s="62"/>
      <c r="HPA3" s="62"/>
      <c r="HPB3" s="62"/>
      <c r="HPC3" s="62"/>
      <c r="HPD3" s="62"/>
      <c r="HPE3" s="62"/>
      <c r="HPF3" s="62"/>
      <c r="HPG3" s="62"/>
      <c r="HPH3" s="62"/>
      <c r="HPI3" s="62"/>
      <c r="HPJ3" s="62"/>
      <c r="HPK3" s="62"/>
      <c r="HPL3" s="62"/>
      <c r="HPM3" s="62"/>
      <c r="HPN3" s="62"/>
      <c r="HPO3" s="62"/>
      <c r="HPP3" s="62"/>
      <c r="HPQ3" s="62"/>
      <c r="HPR3" s="62"/>
      <c r="HPS3" s="62"/>
      <c r="HPT3" s="62"/>
      <c r="HPU3" s="62"/>
      <c r="HPV3" s="62"/>
      <c r="HPW3" s="62"/>
      <c r="HPX3" s="62"/>
      <c r="HPY3" s="62"/>
      <c r="HPZ3" s="62"/>
      <c r="HQA3" s="62"/>
      <c r="HQB3" s="62"/>
      <c r="HQC3" s="62"/>
      <c r="HQD3" s="62"/>
      <c r="HQE3" s="62"/>
      <c r="HQF3" s="62"/>
      <c r="HQG3" s="62"/>
      <c r="HQH3" s="62"/>
      <c r="HQI3" s="62"/>
      <c r="HQJ3" s="62"/>
      <c r="HQK3" s="62"/>
      <c r="HQL3" s="62"/>
      <c r="HQM3" s="62"/>
      <c r="HQN3" s="62"/>
      <c r="HQO3" s="62"/>
      <c r="HQP3" s="62"/>
      <c r="HQQ3" s="62"/>
      <c r="HQR3" s="62"/>
      <c r="HQS3" s="62"/>
      <c r="HQT3" s="62"/>
      <c r="HQU3" s="62"/>
      <c r="HQV3" s="62"/>
      <c r="HQW3" s="62"/>
      <c r="HQX3" s="62"/>
      <c r="HQY3" s="62"/>
      <c r="HQZ3" s="62"/>
      <c r="HRA3" s="62"/>
      <c r="HRB3" s="62"/>
      <c r="HRC3" s="62"/>
      <c r="HRD3" s="62"/>
      <c r="HRE3" s="62"/>
      <c r="HRF3" s="62"/>
      <c r="HRG3" s="62"/>
      <c r="HRH3" s="62"/>
      <c r="HRI3" s="62"/>
      <c r="HRJ3" s="62"/>
      <c r="HRK3" s="62"/>
      <c r="HRL3" s="62"/>
      <c r="HRM3" s="62"/>
      <c r="HRN3" s="62"/>
      <c r="HRO3" s="62"/>
      <c r="HRP3" s="62"/>
      <c r="HRQ3" s="62"/>
      <c r="HRR3" s="62"/>
      <c r="HRS3" s="62"/>
      <c r="HRT3" s="62"/>
      <c r="HRU3" s="62"/>
      <c r="HRV3" s="62"/>
      <c r="HRW3" s="62"/>
      <c r="HRX3" s="62"/>
      <c r="HRY3" s="62"/>
      <c r="HRZ3" s="62"/>
      <c r="HSA3" s="62"/>
      <c r="HSB3" s="62"/>
      <c r="HSC3" s="62"/>
      <c r="HSD3" s="62"/>
      <c r="HSE3" s="62"/>
      <c r="HSF3" s="62"/>
      <c r="HSG3" s="62"/>
      <c r="HSH3" s="62"/>
      <c r="HSI3" s="62"/>
      <c r="HSJ3" s="62"/>
      <c r="HSK3" s="62"/>
      <c r="HSL3" s="62"/>
      <c r="HSM3" s="62"/>
      <c r="HSN3" s="62"/>
      <c r="HSO3" s="62"/>
      <c r="HSP3" s="62"/>
      <c r="HSQ3" s="62"/>
      <c r="HSR3" s="62"/>
      <c r="HSS3" s="62"/>
      <c r="HST3" s="62"/>
      <c r="HSU3" s="62"/>
      <c r="HSV3" s="62"/>
      <c r="HSW3" s="62"/>
      <c r="HSX3" s="62"/>
      <c r="HSY3" s="62"/>
      <c r="HSZ3" s="62"/>
      <c r="HTA3" s="62"/>
      <c r="HTB3" s="62"/>
      <c r="HTC3" s="62"/>
      <c r="HTD3" s="62"/>
      <c r="HTE3" s="62"/>
      <c r="HTF3" s="62"/>
      <c r="HTG3" s="62"/>
      <c r="HTH3" s="62"/>
      <c r="HTI3" s="62"/>
      <c r="HTJ3" s="62"/>
      <c r="HTK3" s="62"/>
      <c r="HTL3" s="62"/>
      <c r="HTM3" s="62"/>
      <c r="HTN3" s="62"/>
      <c r="HTO3" s="62"/>
      <c r="HTP3" s="62"/>
      <c r="HTQ3" s="62"/>
      <c r="HTR3" s="62"/>
      <c r="HTS3" s="62"/>
      <c r="HTT3" s="62"/>
      <c r="HTU3" s="62"/>
      <c r="HTV3" s="62"/>
      <c r="HTW3" s="62"/>
      <c r="HTX3" s="62"/>
      <c r="HTY3" s="62"/>
      <c r="HTZ3" s="62"/>
      <c r="HUA3" s="62"/>
      <c r="HUB3" s="62"/>
      <c r="HUC3" s="62"/>
      <c r="HUD3" s="62"/>
      <c r="HUE3" s="62"/>
      <c r="HUF3" s="62"/>
      <c r="HUG3" s="62"/>
      <c r="HUH3" s="62"/>
      <c r="HUI3" s="62"/>
      <c r="HUJ3" s="62"/>
      <c r="HUK3" s="62"/>
      <c r="HUL3" s="62"/>
      <c r="HUM3" s="62"/>
      <c r="HUN3" s="62"/>
      <c r="HUO3" s="62"/>
      <c r="HUP3" s="62"/>
      <c r="HUQ3" s="62"/>
      <c r="HUR3" s="62"/>
      <c r="HUS3" s="62"/>
      <c r="HUT3" s="62"/>
      <c r="HUU3" s="62"/>
      <c r="HUV3" s="62"/>
      <c r="HUW3" s="62"/>
      <c r="HUX3" s="62"/>
      <c r="HUY3" s="62"/>
      <c r="HUZ3" s="62"/>
      <c r="HVA3" s="62"/>
      <c r="HVB3" s="62"/>
      <c r="HVC3" s="62"/>
      <c r="HVD3" s="62"/>
      <c r="HVE3" s="62"/>
      <c r="HVF3" s="62"/>
      <c r="HVG3" s="62"/>
      <c r="HVH3" s="62"/>
      <c r="HVI3" s="62"/>
      <c r="HVJ3" s="62"/>
      <c r="HVK3" s="62"/>
      <c r="HVL3" s="62"/>
      <c r="HVM3" s="62"/>
      <c r="HVN3" s="62"/>
      <c r="HVO3" s="62"/>
      <c r="HVP3" s="62"/>
      <c r="HVQ3" s="62"/>
      <c r="HVR3" s="62"/>
      <c r="HVS3" s="62"/>
      <c r="HVT3" s="62"/>
      <c r="HVU3" s="62"/>
      <c r="HVV3" s="62"/>
      <c r="HVW3" s="62"/>
      <c r="HVX3" s="62"/>
      <c r="HVY3" s="62"/>
      <c r="HVZ3" s="62"/>
      <c r="HWA3" s="62"/>
      <c r="HWB3" s="62"/>
      <c r="HWC3" s="62"/>
      <c r="HWD3" s="62"/>
      <c r="HWE3" s="62"/>
      <c r="HWF3" s="62"/>
      <c r="HWG3" s="62"/>
      <c r="HWH3" s="62"/>
      <c r="HWI3" s="62"/>
      <c r="HWJ3" s="62"/>
      <c r="HWK3" s="62"/>
      <c r="HWL3" s="62"/>
      <c r="HWM3" s="62"/>
      <c r="HWN3" s="62"/>
      <c r="HWO3" s="62"/>
      <c r="HWP3" s="62"/>
      <c r="HWQ3" s="62"/>
      <c r="HWR3" s="62"/>
      <c r="HWS3" s="62"/>
      <c r="HWT3" s="62"/>
      <c r="HWU3" s="62"/>
      <c r="HWV3" s="62"/>
      <c r="HWW3" s="62"/>
      <c r="HWX3" s="62"/>
      <c r="HWY3" s="62"/>
      <c r="HWZ3" s="62"/>
      <c r="HXA3" s="62"/>
      <c r="HXB3" s="62"/>
      <c r="HXC3" s="62"/>
      <c r="HXD3" s="62"/>
      <c r="HXE3" s="62"/>
      <c r="HXF3" s="62"/>
      <c r="HXG3" s="62"/>
      <c r="HXH3" s="62"/>
      <c r="HXI3" s="62"/>
      <c r="HXJ3" s="62"/>
      <c r="HXK3" s="62"/>
      <c r="HXL3" s="62"/>
      <c r="HXM3" s="62"/>
      <c r="HXN3" s="62"/>
      <c r="HXO3" s="62"/>
      <c r="HXP3" s="62"/>
      <c r="HXQ3" s="62"/>
      <c r="HXR3" s="62"/>
      <c r="HXS3" s="62"/>
      <c r="HXT3" s="62"/>
      <c r="HXU3" s="62"/>
      <c r="HXV3" s="62"/>
      <c r="HXW3" s="62"/>
      <c r="HXX3" s="62"/>
      <c r="HXY3" s="62"/>
      <c r="HXZ3" s="62"/>
      <c r="HYA3" s="62"/>
      <c r="HYB3" s="62"/>
      <c r="HYC3" s="62"/>
      <c r="HYD3" s="62"/>
      <c r="HYE3" s="62"/>
      <c r="HYF3" s="62"/>
      <c r="HYG3" s="62"/>
      <c r="HYH3" s="62"/>
      <c r="HYI3" s="62"/>
      <c r="HYJ3" s="62"/>
      <c r="HYK3" s="62"/>
      <c r="HYL3" s="62"/>
      <c r="HYM3" s="62"/>
      <c r="HYN3" s="62"/>
      <c r="HYO3" s="62"/>
      <c r="HYP3" s="62"/>
      <c r="HYQ3" s="62"/>
      <c r="HYR3" s="62"/>
      <c r="HYS3" s="62"/>
      <c r="HYT3" s="62"/>
      <c r="HYU3" s="62"/>
      <c r="HYV3" s="62"/>
      <c r="HYW3" s="62"/>
      <c r="HYX3" s="62"/>
      <c r="HYY3" s="62"/>
      <c r="HYZ3" s="62"/>
      <c r="HZA3" s="62"/>
      <c r="HZB3" s="62"/>
      <c r="HZC3" s="62"/>
      <c r="HZD3" s="62"/>
      <c r="HZE3" s="62"/>
      <c r="HZF3" s="62"/>
      <c r="HZG3" s="62"/>
      <c r="HZH3" s="62"/>
      <c r="HZI3" s="62"/>
      <c r="HZJ3" s="62"/>
      <c r="HZK3" s="62"/>
      <c r="HZL3" s="62"/>
      <c r="HZM3" s="62"/>
      <c r="HZN3" s="62"/>
      <c r="HZO3" s="62"/>
      <c r="HZP3" s="62"/>
      <c r="HZQ3" s="62"/>
      <c r="HZR3" s="62"/>
      <c r="HZS3" s="62"/>
      <c r="HZT3" s="62"/>
      <c r="HZU3" s="62"/>
      <c r="HZV3" s="62"/>
      <c r="HZW3" s="62"/>
      <c r="HZX3" s="62"/>
      <c r="HZY3" s="62"/>
      <c r="HZZ3" s="62"/>
      <c r="IAA3" s="62"/>
      <c r="IAB3" s="62"/>
      <c r="IAC3" s="62"/>
      <c r="IAD3" s="62"/>
      <c r="IAE3" s="62"/>
      <c r="IAF3" s="62"/>
      <c r="IAG3" s="62"/>
      <c r="IAH3" s="62"/>
      <c r="IAI3" s="62"/>
      <c r="IAJ3" s="62"/>
      <c r="IAK3" s="62"/>
      <c r="IAL3" s="62"/>
      <c r="IAM3" s="62"/>
      <c r="IAN3" s="62"/>
      <c r="IAO3" s="62"/>
      <c r="IAP3" s="62"/>
      <c r="IAQ3" s="62"/>
      <c r="IAR3" s="62"/>
      <c r="IAS3" s="62"/>
      <c r="IAT3" s="62"/>
      <c r="IAU3" s="62"/>
      <c r="IAV3" s="62"/>
      <c r="IAW3" s="62"/>
      <c r="IAX3" s="62"/>
      <c r="IAY3" s="62"/>
      <c r="IAZ3" s="62"/>
      <c r="IBA3" s="62"/>
      <c r="IBB3" s="62"/>
      <c r="IBC3" s="62"/>
      <c r="IBD3" s="62"/>
      <c r="IBE3" s="62"/>
      <c r="IBF3" s="62"/>
      <c r="IBG3" s="62"/>
      <c r="IBH3" s="62"/>
      <c r="IBI3" s="62"/>
      <c r="IBJ3" s="62"/>
      <c r="IBK3" s="62"/>
      <c r="IBL3" s="62"/>
      <c r="IBM3" s="62"/>
      <c r="IBN3" s="62"/>
      <c r="IBO3" s="62"/>
      <c r="IBP3" s="62"/>
      <c r="IBQ3" s="62"/>
      <c r="IBR3" s="62"/>
      <c r="IBS3" s="62"/>
      <c r="IBT3" s="62"/>
      <c r="IBU3" s="62"/>
      <c r="IBV3" s="62"/>
      <c r="IBW3" s="62"/>
      <c r="IBX3" s="62"/>
      <c r="IBY3" s="62"/>
      <c r="IBZ3" s="62"/>
      <c r="ICA3" s="62"/>
      <c r="ICB3" s="62"/>
      <c r="ICC3" s="62"/>
      <c r="ICD3" s="62"/>
      <c r="ICE3" s="62"/>
      <c r="ICF3" s="62"/>
      <c r="ICG3" s="62"/>
      <c r="ICH3" s="62"/>
      <c r="ICI3" s="62"/>
      <c r="ICJ3" s="62"/>
      <c r="ICK3" s="62"/>
      <c r="ICL3" s="62"/>
      <c r="ICM3" s="62"/>
      <c r="ICN3" s="62"/>
      <c r="ICO3" s="62"/>
      <c r="ICP3" s="62"/>
      <c r="ICQ3" s="62"/>
      <c r="ICR3" s="62"/>
      <c r="ICS3" s="62"/>
      <c r="ICT3" s="62"/>
      <c r="ICU3" s="62"/>
      <c r="ICV3" s="62"/>
      <c r="ICW3" s="62"/>
      <c r="ICX3" s="62"/>
      <c r="ICY3" s="62"/>
      <c r="ICZ3" s="62"/>
      <c r="IDA3" s="62"/>
      <c r="IDB3" s="62"/>
      <c r="IDC3" s="62"/>
      <c r="IDD3" s="62"/>
      <c r="IDE3" s="62"/>
      <c r="IDF3" s="62"/>
      <c r="IDG3" s="62"/>
      <c r="IDH3" s="62"/>
      <c r="IDI3" s="62"/>
      <c r="IDJ3" s="62"/>
      <c r="IDK3" s="62"/>
      <c r="IDL3" s="62"/>
      <c r="IDM3" s="62"/>
      <c r="IDN3" s="62"/>
      <c r="IDO3" s="62"/>
      <c r="IDP3" s="62"/>
      <c r="IDQ3" s="62"/>
      <c r="IDR3" s="62"/>
      <c r="IDS3" s="62"/>
      <c r="IDT3" s="62"/>
      <c r="IDU3" s="62"/>
      <c r="IDV3" s="62"/>
      <c r="IDW3" s="62"/>
      <c r="IDX3" s="62"/>
      <c r="IDY3" s="62"/>
      <c r="IDZ3" s="62"/>
      <c r="IEA3" s="62"/>
      <c r="IEB3" s="62"/>
      <c r="IEC3" s="62"/>
      <c r="IED3" s="62"/>
      <c r="IEE3" s="62"/>
      <c r="IEF3" s="62"/>
      <c r="IEG3" s="62"/>
      <c r="IEH3" s="62"/>
      <c r="IEI3" s="62"/>
      <c r="IEJ3" s="62"/>
      <c r="IEK3" s="62"/>
      <c r="IEL3" s="62"/>
      <c r="IEM3" s="62"/>
      <c r="IEN3" s="62"/>
      <c r="IEO3" s="62"/>
      <c r="IEP3" s="62"/>
      <c r="IEQ3" s="62"/>
      <c r="IER3" s="62"/>
      <c r="IES3" s="62"/>
      <c r="IET3" s="62"/>
      <c r="IEU3" s="62"/>
      <c r="IEV3" s="62"/>
      <c r="IEW3" s="62"/>
      <c r="IEX3" s="62"/>
      <c r="IEY3" s="62"/>
      <c r="IEZ3" s="62"/>
      <c r="IFA3" s="62"/>
      <c r="IFB3" s="62"/>
      <c r="IFC3" s="62"/>
      <c r="IFD3" s="62"/>
      <c r="IFE3" s="62"/>
      <c r="IFF3" s="62"/>
      <c r="IFG3" s="62"/>
      <c r="IFH3" s="62"/>
      <c r="IFI3" s="62"/>
      <c r="IFJ3" s="62"/>
      <c r="IFK3" s="62"/>
      <c r="IFL3" s="62"/>
      <c r="IFM3" s="62"/>
      <c r="IFN3" s="62"/>
      <c r="IFO3" s="62"/>
      <c r="IFP3" s="62"/>
      <c r="IFQ3" s="62"/>
      <c r="IFR3" s="62"/>
      <c r="IFS3" s="62"/>
      <c r="IFT3" s="62"/>
      <c r="IFU3" s="62"/>
      <c r="IFV3" s="62"/>
      <c r="IFW3" s="62"/>
      <c r="IFX3" s="62"/>
      <c r="IFY3" s="62"/>
      <c r="IFZ3" s="62"/>
      <c r="IGA3" s="62"/>
      <c r="IGB3" s="62"/>
      <c r="IGC3" s="62"/>
      <c r="IGD3" s="62"/>
      <c r="IGE3" s="62"/>
      <c r="IGF3" s="62"/>
      <c r="IGG3" s="62"/>
      <c r="IGH3" s="62"/>
      <c r="IGI3" s="62"/>
      <c r="IGJ3" s="62"/>
      <c r="IGK3" s="62"/>
      <c r="IGL3" s="62"/>
      <c r="IGM3" s="62"/>
      <c r="IGN3" s="62"/>
      <c r="IGO3" s="62"/>
      <c r="IGP3" s="62"/>
      <c r="IGQ3" s="62"/>
      <c r="IGR3" s="62"/>
      <c r="IGS3" s="62"/>
      <c r="IGT3" s="62"/>
      <c r="IGU3" s="62"/>
      <c r="IGV3" s="62"/>
      <c r="IGW3" s="62"/>
      <c r="IGX3" s="62"/>
      <c r="IGY3" s="62"/>
      <c r="IGZ3" s="62"/>
      <c r="IHA3" s="62"/>
      <c r="IHB3" s="62"/>
      <c r="IHC3" s="62"/>
      <c r="IHD3" s="62"/>
      <c r="IHE3" s="62"/>
      <c r="IHF3" s="62"/>
      <c r="IHG3" s="62"/>
      <c r="IHH3" s="62"/>
      <c r="IHI3" s="62"/>
      <c r="IHJ3" s="62"/>
      <c r="IHK3" s="62"/>
      <c r="IHL3" s="62"/>
      <c r="IHM3" s="62"/>
      <c r="IHN3" s="62"/>
      <c r="IHO3" s="62"/>
      <c r="IHP3" s="62"/>
      <c r="IHQ3" s="62"/>
      <c r="IHR3" s="62"/>
      <c r="IHS3" s="62"/>
      <c r="IHT3" s="62"/>
      <c r="IHU3" s="62"/>
      <c r="IHV3" s="62"/>
      <c r="IHW3" s="62"/>
      <c r="IHX3" s="62"/>
      <c r="IHY3" s="62"/>
      <c r="IHZ3" s="62"/>
      <c r="IIA3" s="62"/>
      <c r="IIB3" s="62"/>
      <c r="IIC3" s="62"/>
      <c r="IID3" s="62"/>
      <c r="IIE3" s="62"/>
      <c r="IIF3" s="62"/>
      <c r="IIG3" s="62"/>
      <c r="IIH3" s="62"/>
      <c r="III3" s="62"/>
      <c r="IIJ3" s="62"/>
      <c r="IIK3" s="62"/>
      <c r="IIL3" s="62"/>
      <c r="IIM3" s="62"/>
      <c r="IIN3" s="62"/>
      <c r="IIO3" s="62"/>
      <c r="IIP3" s="62"/>
      <c r="IIQ3" s="62"/>
      <c r="IIR3" s="62"/>
      <c r="IIS3" s="62"/>
      <c r="IIT3" s="62"/>
      <c r="IIU3" s="62"/>
      <c r="IIV3" s="62"/>
      <c r="IIW3" s="62"/>
      <c r="IIX3" s="62"/>
      <c r="IIY3" s="62"/>
      <c r="IIZ3" s="62"/>
      <c r="IJA3" s="62"/>
      <c r="IJB3" s="62"/>
      <c r="IJC3" s="62"/>
      <c r="IJD3" s="62"/>
      <c r="IJE3" s="62"/>
      <c r="IJF3" s="62"/>
      <c r="IJG3" s="62"/>
      <c r="IJH3" s="62"/>
      <c r="IJI3" s="62"/>
      <c r="IJJ3" s="62"/>
      <c r="IJK3" s="62"/>
      <c r="IJL3" s="62"/>
      <c r="IJM3" s="62"/>
      <c r="IJN3" s="62"/>
      <c r="IJO3" s="62"/>
      <c r="IJP3" s="62"/>
      <c r="IJQ3" s="62"/>
      <c r="IJR3" s="62"/>
      <c r="IJS3" s="62"/>
      <c r="IJT3" s="62"/>
      <c r="IJU3" s="62"/>
      <c r="IJV3" s="62"/>
      <c r="IJW3" s="62"/>
      <c r="IJX3" s="62"/>
      <c r="IJY3" s="62"/>
      <c r="IJZ3" s="62"/>
      <c r="IKA3" s="62"/>
      <c r="IKB3" s="62"/>
      <c r="IKC3" s="62"/>
      <c r="IKD3" s="62"/>
      <c r="IKE3" s="62"/>
      <c r="IKF3" s="62"/>
      <c r="IKG3" s="62"/>
      <c r="IKH3" s="62"/>
      <c r="IKI3" s="62"/>
      <c r="IKJ3" s="62"/>
      <c r="IKK3" s="62"/>
      <c r="IKL3" s="62"/>
      <c r="IKM3" s="62"/>
      <c r="IKN3" s="62"/>
      <c r="IKO3" s="62"/>
      <c r="IKP3" s="62"/>
      <c r="IKQ3" s="62"/>
      <c r="IKR3" s="62"/>
      <c r="IKS3" s="62"/>
      <c r="IKT3" s="62"/>
      <c r="IKU3" s="62"/>
      <c r="IKV3" s="62"/>
      <c r="IKW3" s="62"/>
      <c r="IKX3" s="62"/>
      <c r="IKY3" s="62"/>
      <c r="IKZ3" s="62"/>
      <c r="ILA3" s="62"/>
      <c r="ILB3" s="62"/>
      <c r="ILC3" s="62"/>
      <c r="ILD3" s="62"/>
      <c r="ILE3" s="62"/>
      <c r="ILF3" s="62"/>
      <c r="ILG3" s="62"/>
      <c r="ILH3" s="62"/>
      <c r="ILI3" s="62"/>
      <c r="ILJ3" s="62"/>
      <c r="ILK3" s="62"/>
      <c r="ILL3" s="62"/>
      <c r="ILM3" s="62"/>
      <c r="ILN3" s="62"/>
      <c r="ILO3" s="62"/>
      <c r="ILP3" s="62"/>
      <c r="ILQ3" s="62"/>
      <c r="ILR3" s="62"/>
      <c r="ILS3" s="62"/>
      <c r="ILT3" s="62"/>
      <c r="ILU3" s="62"/>
      <c r="ILV3" s="62"/>
      <c r="ILW3" s="62"/>
      <c r="ILX3" s="62"/>
      <c r="ILY3" s="62"/>
      <c r="ILZ3" s="62"/>
      <c r="IMA3" s="62"/>
      <c r="IMB3" s="62"/>
      <c r="IMC3" s="62"/>
      <c r="IMD3" s="62"/>
      <c r="IME3" s="62"/>
      <c r="IMF3" s="62"/>
      <c r="IMG3" s="62"/>
      <c r="IMH3" s="62"/>
      <c r="IMI3" s="62"/>
      <c r="IMJ3" s="62"/>
      <c r="IMK3" s="62"/>
      <c r="IML3" s="62"/>
      <c r="IMM3" s="62"/>
      <c r="IMN3" s="62"/>
      <c r="IMO3" s="62"/>
      <c r="IMP3" s="62"/>
      <c r="IMQ3" s="62"/>
      <c r="IMR3" s="62"/>
      <c r="IMS3" s="62"/>
      <c r="IMT3" s="62"/>
      <c r="IMU3" s="62"/>
      <c r="IMV3" s="62"/>
      <c r="IMW3" s="62"/>
      <c r="IMX3" s="62"/>
      <c r="IMY3" s="62"/>
      <c r="IMZ3" s="62"/>
      <c r="INA3" s="62"/>
      <c r="INB3" s="62"/>
      <c r="INC3" s="62"/>
      <c r="IND3" s="62"/>
      <c r="INE3" s="62"/>
      <c r="INF3" s="62"/>
      <c r="ING3" s="62"/>
      <c r="INH3" s="62"/>
      <c r="INI3" s="62"/>
      <c r="INJ3" s="62"/>
      <c r="INK3" s="62"/>
      <c r="INL3" s="62"/>
      <c r="INM3" s="62"/>
      <c r="INN3" s="62"/>
      <c r="INO3" s="62"/>
      <c r="INP3" s="62"/>
      <c r="INQ3" s="62"/>
      <c r="INR3" s="62"/>
      <c r="INS3" s="62"/>
      <c r="INT3" s="62"/>
      <c r="INU3" s="62"/>
      <c r="INV3" s="62"/>
      <c r="INW3" s="62"/>
      <c r="INX3" s="62"/>
      <c r="INY3" s="62"/>
      <c r="INZ3" s="62"/>
      <c r="IOA3" s="62"/>
      <c r="IOB3" s="62"/>
      <c r="IOC3" s="62"/>
      <c r="IOD3" s="62"/>
      <c r="IOE3" s="62"/>
      <c r="IOF3" s="62"/>
      <c r="IOG3" s="62"/>
      <c r="IOH3" s="62"/>
      <c r="IOI3" s="62"/>
      <c r="IOJ3" s="62"/>
      <c r="IOK3" s="62"/>
      <c r="IOL3" s="62"/>
      <c r="IOM3" s="62"/>
      <c r="ION3" s="62"/>
      <c r="IOO3" s="62"/>
      <c r="IOP3" s="62"/>
      <c r="IOQ3" s="62"/>
      <c r="IOR3" s="62"/>
      <c r="IOS3" s="62"/>
      <c r="IOT3" s="62"/>
      <c r="IOU3" s="62"/>
      <c r="IOV3" s="62"/>
      <c r="IOW3" s="62"/>
      <c r="IOX3" s="62"/>
      <c r="IOY3" s="62"/>
      <c r="IOZ3" s="62"/>
      <c r="IPA3" s="62"/>
      <c r="IPB3" s="62"/>
      <c r="IPC3" s="62"/>
      <c r="IPD3" s="62"/>
      <c r="IPE3" s="62"/>
      <c r="IPF3" s="62"/>
      <c r="IPG3" s="62"/>
      <c r="IPH3" s="62"/>
      <c r="IPI3" s="62"/>
      <c r="IPJ3" s="62"/>
      <c r="IPK3" s="62"/>
      <c r="IPL3" s="62"/>
      <c r="IPM3" s="62"/>
      <c r="IPN3" s="62"/>
      <c r="IPO3" s="62"/>
      <c r="IPP3" s="62"/>
      <c r="IPQ3" s="62"/>
      <c r="IPR3" s="62"/>
      <c r="IPS3" s="62"/>
      <c r="IPT3" s="62"/>
      <c r="IPU3" s="62"/>
      <c r="IPV3" s="62"/>
      <c r="IPW3" s="62"/>
      <c r="IPX3" s="62"/>
      <c r="IPY3" s="62"/>
      <c r="IPZ3" s="62"/>
      <c r="IQA3" s="62"/>
      <c r="IQB3" s="62"/>
      <c r="IQC3" s="62"/>
      <c r="IQD3" s="62"/>
      <c r="IQE3" s="62"/>
      <c r="IQF3" s="62"/>
      <c r="IQG3" s="62"/>
      <c r="IQH3" s="62"/>
      <c r="IQI3" s="62"/>
      <c r="IQJ3" s="62"/>
      <c r="IQK3" s="62"/>
      <c r="IQL3" s="62"/>
      <c r="IQM3" s="62"/>
      <c r="IQN3" s="62"/>
      <c r="IQO3" s="62"/>
      <c r="IQP3" s="62"/>
      <c r="IQQ3" s="62"/>
      <c r="IQR3" s="62"/>
      <c r="IQS3" s="62"/>
      <c r="IQT3" s="62"/>
      <c r="IQU3" s="62"/>
      <c r="IQV3" s="62"/>
      <c r="IQW3" s="62"/>
      <c r="IQX3" s="62"/>
      <c r="IQY3" s="62"/>
      <c r="IQZ3" s="62"/>
      <c r="IRA3" s="62"/>
      <c r="IRB3" s="62"/>
      <c r="IRC3" s="62"/>
      <c r="IRD3" s="62"/>
      <c r="IRE3" s="62"/>
      <c r="IRF3" s="62"/>
      <c r="IRG3" s="62"/>
      <c r="IRH3" s="62"/>
      <c r="IRI3" s="62"/>
      <c r="IRJ3" s="62"/>
      <c r="IRK3" s="62"/>
      <c r="IRL3" s="62"/>
      <c r="IRM3" s="62"/>
      <c r="IRN3" s="62"/>
      <c r="IRO3" s="62"/>
      <c r="IRP3" s="62"/>
      <c r="IRQ3" s="62"/>
      <c r="IRR3" s="62"/>
      <c r="IRS3" s="62"/>
      <c r="IRT3" s="62"/>
      <c r="IRU3" s="62"/>
      <c r="IRV3" s="62"/>
      <c r="IRW3" s="62"/>
      <c r="IRX3" s="62"/>
      <c r="IRY3" s="62"/>
      <c r="IRZ3" s="62"/>
      <c r="ISA3" s="62"/>
      <c r="ISB3" s="62"/>
      <c r="ISC3" s="62"/>
      <c r="ISD3" s="62"/>
      <c r="ISE3" s="62"/>
      <c r="ISF3" s="62"/>
      <c r="ISG3" s="62"/>
      <c r="ISH3" s="62"/>
      <c r="ISI3" s="62"/>
      <c r="ISJ3" s="62"/>
      <c r="ISK3" s="62"/>
      <c r="ISL3" s="62"/>
      <c r="ISM3" s="62"/>
      <c r="ISN3" s="62"/>
      <c r="ISO3" s="62"/>
      <c r="ISP3" s="62"/>
      <c r="ISQ3" s="62"/>
      <c r="ISR3" s="62"/>
      <c r="ISS3" s="62"/>
      <c r="IST3" s="62"/>
      <c r="ISU3" s="62"/>
      <c r="ISV3" s="62"/>
      <c r="ISW3" s="62"/>
      <c r="ISX3" s="62"/>
      <c r="ISY3" s="62"/>
      <c r="ISZ3" s="62"/>
      <c r="ITA3" s="62"/>
      <c r="ITB3" s="62"/>
      <c r="ITC3" s="62"/>
      <c r="ITD3" s="62"/>
      <c r="ITE3" s="62"/>
      <c r="ITF3" s="62"/>
      <c r="ITG3" s="62"/>
      <c r="ITH3" s="62"/>
      <c r="ITI3" s="62"/>
      <c r="ITJ3" s="62"/>
      <c r="ITK3" s="62"/>
      <c r="ITL3" s="62"/>
      <c r="ITM3" s="62"/>
      <c r="ITN3" s="62"/>
      <c r="ITO3" s="62"/>
      <c r="ITP3" s="62"/>
      <c r="ITQ3" s="62"/>
      <c r="ITR3" s="62"/>
      <c r="ITS3" s="62"/>
      <c r="ITT3" s="62"/>
      <c r="ITU3" s="62"/>
      <c r="ITV3" s="62"/>
      <c r="ITW3" s="62"/>
      <c r="ITX3" s="62"/>
      <c r="ITY3" s="62"/>
      <c r="ITZ3" s="62"/>
      <c r="IUA3" s="62"/>
      <c r="IUB3" s="62"/>
      <c r="IUC3" s="62"/>
      <c r="IUD3" s="62"/>
      <c r="IUE3" s="62"/>
      <c r="IUF3" s="62"/>
      <c r="IUG3" s="62"/>
      <c r="IUH3" s="62"/>
      <c r="IUI3" s="62"/>
      <c r="IUJ3" s="62"/>
      <c r="IUK3" s="62"/>
      <c r="IUL3" s="62"/>
      <c r="IUM3" s="62"/>
      <c r="IUN3" s="62"/>
      <c r="IUO3" s="62"/>
      <c r="IUP3" s="62"/>
      <c r="IUQ3" s="62"/>
      <c r="IUR3" s="62"/>
      <c r="IUS3" s="62"/>
      <c r="IUT3" s="62"/>
      <c r="IUU3" s="62"/>
      <c r="IUV3" s="62"/>
      <c r="IUW3" s="62"/>
      <c r="IUX3" s="62"/>
      <c r="IUY3" s="62"/>
      <c r="IUZ3" s="62"/>
      <c r="IVA3" s="62"/>
      <c r="IVB3" s="62"/>
      <c r="IVC3" s="62"/>
      <c r="IVD3" s="62"/>
      <c r="IVE3" s="62"/>
      <c r="IVF3" s="62"/>
      <c r="IVG3" s="62"/>
      <c r="IVH3" s="62"/>
      <c r="IVI3" s="62"/>
      <c r="IVJ3" s="62"/>
      <c r="IVK3" s="62"/>
      <c r="IVL3" s="62"/>
      <c r="IVM3" s="62"/>
      <c r="IVN3" s="62"/>
      <c r="IVO3" s="62"/>
      <c r="IVP3" s="62"/>
      <c r="IVQ3" s="62"/>
      <c r="IVR3" s="62"/>
      <c r="IVS3" s="62"/>
      <c r="IVT3" s="62"/>
      <c r="IVU3" s="62"/>
      <c r="IVV3" s="62"/>
      <c r="IVW3" s="62"/>
      <c r="IVX3" s="62"/>
      <c r="IVY3" s="62"/>
      <c r="IVZ3" s="62"/>
      <c r="IWA3" s="62"/>
      <c r="IWB3" s="62"/>
      <c r="IWC3" s="62"/>
      <c r="IWD3" s="62"/>
      <c r="IWE3" s="62"/>
      <c r="IWF3" s="62"/>
      <c r="IWG3" s="62"/>
      <c r="IWH3" s="62"/>
      <c r="IWI3" s="62"/>
      <c r="IWJ3" s="62"/>
      <c r="IWK3" s="62"/>
      <c r="IWL3" s="62"/>
      <c r="IWM3" s="62"/>
      <c r="IWN3" s="62"/>
      <c r="IWO3" s="62"/>
      <c r="IWP3" s="62"/>
      <c r="IWQ3" s="62"/>
      <c r="IWR3" s="62"/>
      <c r="IWS3" s="62"/>
      <c r="IWT3" s="62"/>
      <c r="IWU3" s="62"/>
      <c r="IWV3" s="62"/>
      <c r="IWW3" s="62"/>
      <c r="IWX3" s="62"/>
      <c r="IWY3" s="62"/>
      <c r="IWZ3" s="62"/>
      <c r="IXA3" s="62"/>
      <c r="IXB3" s="62"/>
      <c r="IXC3" s="62"/>
      <c r="IXD3" s="62"/>
      <c r="IXE3" s="62"/>
      <c r="IXF3" s="62"/>
      <c r="IXG3" s="62"/>
      <c r="IXH3" s="62"/>
      <c r="IXI3" s="62"/>
      <c r="IXJ3" s="62"/>
      <c r="IXK3" s="62"/>
      <c r="IXL3" s="62"/>
      <c r="IXM3" s="62"/>
      <c r="IXN3" s="62"/>
      <c r="IXO3" s="62"/>
      <c r="IXP3" s="62"/>
      <c r="IXQ3" s="62"/>
      <c r="IXR3" s="62"/>
      <c r="IXS3" s="62"/>
      <c r="IXT3" s="62"/>
      <c r="IXU3" s="62"/>
      <c r="IXV3" s="62"/>
      <c r="IXW3" s="62"/>
      <c r="IXX3" s="62"/>
      <c r="IXY3" s="62"/>
      <c r="IXZ3" s="62"/>
      <c r="IYA3" s="62"/>
      <c r="IYB3" s="62"/>
      <c r="IYC3" s="62"/>
      <c r="IYD3" s="62"/>
      <c r="IYE3" s="62"/>
      <c r="IYF3" s="62"/>
      <c r="IYG3" s="62"/>
      <c r="IYH3" s="62"/>
      <c r="IYI3" s="62"/>
      <c r="IYJ3" s="62"/>
      <c r="IYK3" s="62"/>
      <c r="IYL3" s="62"/>
      <c r="IYM3" s="62"/>
      <c r="IYN3" s="62"/>
      <c r="IYO3" s="62"/>
      <c r="IYP3" s="62"/>
      <c r="IYQ3" s="62"/>
      <c r="IYR3" s="62"/>
      <c r="IYS3" s="62"/>
      <c r="IYT3" s="62"/>
      <c r="IYU3" s="62"/>
      <c r="IYV3" s="62"/>
      <c r="IYW3" s="62"/>
      <c r="IYX3" s="62"/>
      <c r="IYY3" s="62"/>
      <c r="IYZ3" s="62"/>
      <c r="IZA3" s="62"/>
      <c r="IZB3" s="62"/>
      <c r="IZC3" s="62"/>
      <c r="IZD3" s="62"/>
      <c r="IZE3" s="62"/>
      <c r="IZF3" s="62"/>
      <c r="IZG3" s="62"/>
      <c r="IZH3" s="62"/>
      <c r="IZI3" s="62"/>
      <c r="IZJ3" s="62"/>
      <c r="IZK3" s="62"/>
      <c r="IZL3" s="62"/>
      <c r="IZM3" s="62"/>
      <c r="IZN3" s="62"/>
      <c r="IZO3" s="62"/>
      <c r="IZP3" s="62"/>
      <c r="IZQ3" s="62"/>
      <c r="IZR3" s="62"/>
      <c r="IZS3" s="62"/>
      <c r="IZT3" s="62"/>
      <c r="IZU3" s="62"/>
      <c r="IZV3" s="62"/>
      <c r="IZW3" s="62"/>
      <c r="IZX3" s="62"/>
      <c r="IZY3" s="62"/>
      <c r="IZZ3" s="62"/>
      <c r="JAA3" s="62"/>
      <c r="JAB3" s="62"/>
      <c r="JAC3" s="62"/>
      <c r="JAD3" s="62"/>
      <c r="JAE3" s="62"/>
      <c r="JAF3" s="62"/>
      <c r="JAG3" s="62"/>
      <c r="JAH3" s="62"/>
      <c r="JAI3" s="62"/>
      <c r="JAJ3" s="62"/>
      <c r="JAK3" s="62"/>
      <c r="JAL3" s="62"/>
      <c r="JAM3" s="62"/>
      <c r="JAN3" s="62"/>
      <c r="JAO3" s="62"/>
      <c r="JAP3" s="62"/>
      <c r="JAQ3" s="62"/>
      <c r="JAR3" s="62"/>
      <c r="JAS3" s="62"/>
      <c r="JAT3" s="62"/>
      <c r="JAU3" s="62"/>
      <c r="JAV3" s="62"/>
      <c r="JAW3" s="62"/>
      <c r="JAX3" s="62"/>
      <c r="JAY3" s="62"/>
      <c r="JAZ3" s="62"/>
      <c r="JBA3" s="62"/>
      <c r="JBB3" s="62"/>
      <c r="JBC3" s="62"/>
      <c r="JBD3" s="62"/>
      <c r="JBE3" s="62"/>
      <c r="JBF3" s="62"/>
      <c r="JBG3" s="62"/>
      <c r="JBH3" s="62"/>
      <c r="JBI3" s="62"/>
      <c r="JBJ3" s="62"/>
      <c r="JBK3" s="62"/>
      <c r="JBL3" s="62"/>
      <c r="JBM3" s="62"/>
      <c r="JBN3" s="62"/>
      <c r="JBO3" s="62"/>
      <c r="JBP3" s="62"/>
      <c r="JBQ3" s="62"/>
      <c r="JBR3" s="62"/>
      <c r="JBS3" s="62"/>
      <c r="JBT3" s="62"/>
      <c r="JBU3" s="62"/>
      <c r="JBV3" s="62"/>
      <c r="JBW3" s="62"/>
      <c r="JBX3" s="62"/>
      <c r="JBY3" s="62"/>
      <c r="JBZ3" s="62"/>
      <c r="JCA3" s="62"/>
      <c r="JCB3" s="62"/>
      <c r="JCC3" s="62"/>
      <c r="JCD3" s="62"/>
      <c r="JCE3" s="62"/>
      <c r="JCF3" s="62"/>
      <c r="JCG3" s="62"/>
      <c r="JCH3" s="62"/>
      <c r="JCI3" s="62"/>
      <c r="JCJ3" s="62"/>
      <c r="JCK3" s="62"/>
      <c r="JCL3" s="62"/>
      <c r="JCM3" s="62"/>
      <c r="JCN3" s="62"/>
      <c r="JCO3" s="62"/>
      <c r="JCP3" s="62"/>
      <c r="JCQ3" s="62"/>
      <c r="JCR3" s="62"/>
      <c r="JCS3" s="62"/>
      <c r="JCT3" s="62"/>
      <c r="JCU3" s="62"/>
      <c r="JCV3" s="62"/>
      <c r="JCW3" s="62"/>
      <c r="JCX3" s="62"/>
      <c r="JCY3" s="62"/>
      <c r="JCZ3" s="62"/>
      <c r="JDA3" s="62"/>
      <c r="JDB3" s="62"/>
      <c r="JDC3" s="62"/>
      <c r="JDD3" s="62"/>
      <c r="JDE3" s="62"/>
      <c r="JDF3" s="62"/>
      <c r="JDG3" s="62"/>
      <c r="JDH3" s="62"/>
      <c r="JDI3" s="62"/>
      <c r="JDJ3" s="62"/>
      <c r="JDK3" s="62"/>
      <c r="JDL3" s="62"/>
      <c r="JDM3" s="62"/>
      <c r="JDN3" s="62"/>
      <c r="JDO3" s="62"/>
      <c r="JDP3" s="62"/>
      <c r="JDQ3" s="62"/>
      <c r="JDR3" s="62"/>
      <c r="JDS3" s="62"/>
      <c r="JDT3" s="62"/>
      <c r="JDU3" s="62"/>
      <c r="JDV3" s="62"/>
      <c r="JDW3" s="62"/>
      <c r="JDX3" s="62"/>
      <c r="JDY3" s="62"/>
      <c r="JDZ3" s="62"/>
      <c r="JEA3" s="62"/>
      <c r="JEB3" s="62"/>
      <c r="JEC3" s="62"/>
      <c r="JED3" s="62"/>
      <c r="JEE3" s="62"/>
      <c r="JEF3" s="62"/>
      <c r="JEG3" s="62"/>
      <c r="JEH3" s="62"/>
      <c r="JEI3" s="62"/>
      <c r="JEJ3" s="62"/>
      <c r="JEK3" s="62"/>
      <c r="JEL3" s="62"/>
      <c r="JEM3" s="62"/>
      <c r="JEN3" s="62"/>
      <c r="JEO3" s="62"/>
      <c r="JEP3" s="62"/>
      <c r="JEQ3" s="62"/>
      <c r="JER3" s="62"/>
      <c r="JES3" s="62"/>
      <c r="JET3" s="62"/>
      <c r="JEU3" s="62"/>
      <c r="JEV3" s="62"/>
      <c r="JEW3" s="62"/>
      <c r="JEX3" s="62"/>
      <c r="JEY3" s="62"/>
      <c r="JEZ3" s="62"/>
      <c r="JFA3" s="62"/>
      <c r="JFB3" s="62"/>
      <c r="JFC3" s="62"/>
      <c r="JFD3" s="62"/>
      <c r="JFE3" s="62"/>
      <c r="JFF3" s="62"/>
      <c r="JFG3" s="62"/>
      <c r="JFH3" s="62"/>
      <c r="JFI3" s="62"/>
      <c r="JFJ3" s="62"/>
      <c r="JFK3" s="62"/>
      <c r="JFL3" s="62"/>
      <c r="JFM3" s="62"/>
      <c r="JFN3" s="62"/>
      <c r="JFO3" s="62"/>
      <c r="JFP3" s="62"/>
      <c r="JFQ3" s="62"/>
      <c r="JFR3" s="62"/>
      <c r="JFS3" s="62"/>
      <c r="JFT3" s="62"/>
      <c r="JFU3" s="62"/>
      <c r="JFV3" s="62"/>
      <c r="JFW3" s="62"/>
      <c r="JFX3" s="62"/>
      <c r="JFY3" s="62"/>
      <c r="JFZ3" s="62"/>
      <c r="JGA3" s="62"/>
      <c r="JGB3" s="62"/>
      <c r="JGC3" s="62"/>
      <c r="JGD3" s="62"/>
      <c r="JGE3" s="62"/>
      <c r="JGF3" s="62"/>
      <c r="JGG3" s="62"/>
      <c r="JGH3" s="62"/>
      <c r="JGI3" s="62"/>
      <c r="JGJ3" s="62"/>
      <c r="JGK3" s="62"/>
      <c r="JGL3" s="62"/>
      <c r="JGM3" s="62"/>
      <c r="JGN3" s="62"/>
      <c r="JGO3" s="62"/>
      <c r="JGP3" s="62"/>
      <c r="JGQ3" s="62"/>
      <c r="JGR3" s="62"/>
      <c r="JGS3" s="62"/>
      <c r="JGT3" s="62"/>
      <c r="JGU3" s="62"/>
      <c r="JGV3" s="62"/>
      <c r="JGW3" s="62"/>
      <c r="JGX3" s="62"/>
      <c r="JGY3" s="62"/>
      <c r="JGZ3" s="62"/>
      <c r="JHA3" s="62"/>
      <c r="JHB3" s="62"/>
      <c r="JHC3" s="62"/>
      <c r="JHD3" s="62"/>
      <c r="JHE3" s="62"/>
      <c r="JHF3" s="62"/>
      <c r="JHG3" s="62"/>
      <c r="JHH3" s="62"/>
      <c r="JHI3" s="62"/>
      <c r="JHJ3" s="62"/>
      <c r="JHK3" s="62"/>
      <c r="JHL3" s="62"/>
      <c r="JHM3" s="62"/>
      <c r="JHN3" s="62"/>
      <c r="JHO3" s="62"/>
      <c r="JHP3" s="62"/>
      <c r="JHQ3" s="62"/>
      <c r="JHR3" s="62"/>
      <c r="JHS3" s="62"/>
      <c r="JHT3" s="62"/>
      <c r="JHU3" s="62"/>
      <c r="JHV3" s="62"/>
      <c r="JHW3" s="62"/>
      <c r="JHX3" s="62"/>
      <c r="JHY3" s="62"/>
      <c r="JHZ3" s="62"/>
      <c r="JIA3" s="62"/>
      <c r="JIB3" s="62"/>
      <c r="JIC3" s="62"/>
      <c r="JID3" s="62"/>
      <c r="JIE3" s="62"/>
      <c r="JIF3" s="62"/>
      <c r="JIG3" s="62"/>
      <c r="JIH3" s="62"/>
      <c r="JII3" s="62"/>
      <c r="JIJ3" s="62"/>
      <c r="JIK3" s="62"/>
      <c r="JIL3" s="62"/>
      <c r="JIM3" s="62"/>
      <c r="JIN3" s="62"/>
      <c r="JIO3" s="62"/>
      <c r="JIP3" s="62"/>
      <c r="JIQ3" s="62"/>
      <c r="JIR3" s="62"/>
      <c r="JIS3" s="62"/>
      <c r="JIT3" s="62"/>
      <c r="JIU3" s="62"/>
      <c r="JIV3" s="62"/>
      <c r="JIW3" s="62"/>
      <c r="JIX3" s="62"/>
      <c r="JIY3" s="62"/>
      <c r="JIZ3" s="62"/>
      <c r="JJA3" s="62"/>
      <c r="JJB3" s="62"/>
      <c r="JJC3" s="62"/>
      <c r="JJD3" s="62"/>
      <c r="JJE3" s="62"/>
      <c r="JJF3" s="62"/>
      <c r="JJG3" s="62"/>
      <c r="JJH3" s="62"/>
      <c r="JJI3" s="62"/>
      <c r="JJJ3" s="62"/>
      <c r="JJK3" s="62"/>
      <c r="JJL3" s="62"/>
      <c r="JJM3" s="62"/>
      <c r="JJN3" s="62"/>
      <c r="JJO3" s="62"/>
      <c r="JJP3" s="62"/>
      <c r="JJQ3" s="62"/>
      <c r="JJR3" s="62"/>
      <c r="JJS3" s="62"/>
      <c r="JJT3" s="62"/>
      <c r="JJU3" s="62"/>
      <c r="JJV3" s="62"/>
      <c r="JJW3" s="62"/>
      <c r="JJX3" s="62"/>
      <c r="JJY3" s="62"/>
      <c r="JJZ3" s="62"/>
      <c r="JKA3" s="62"/>
      <c r="JKB3" s="62"/>
      <c r="JKC3" s="62"/>
      <c r="JKD3" s="62"/>
      <c r="JKE3" s="62"/>
      <c r="JKF3" s="62"/>
      <c r="JKG3" s="62"/>
      <c r="JKH3" s="62"/>
      <c r="JKI3" s="62"/>
      <c r="JKJ3" s="62"/>
      <c r="JKK3" s="62"/>
      <c r="JKL3" s="62"/>
      <c r="JKM3" s="62"/>
      <c r="JKN3" s="62"/>
      <c r="JKO3" s="62"/>
      <c r="JKP3" s="62"/>
      <c r="JKQ3" s="62"/>
      <c r="JKR3" s="62"/>
      <c r="JKS3" s="62"/>
      <c r="JKT3" s="62"/>
      <c r="JKU3" s="62"/>
      <c r="JKV3" s="62"/>
      <c r="JKW3" s="62"/>
      <c r="JKX3" s="62"/>
      <c r="JKY3" s="62"/>
      <c r="JKZ3" s="62"/>
      <c r="JLA3" s="62"/>
      <c r="JLB3" s="62"/>
      <c r="JLC3" s="62"/>
      <c r="JLD3" s="62"/>
      <c r="JLE3" s="62"/>
      <c r="JLF3" s="62"/>
      <c r="JLG3" s="62"/>
      <c r="JLH3" s="62"/>
      <c r="JLI3" s="62"/>
      <c r="JLJ3" s="62"/>
      <c r="JLK3" s="62"/>
      <c r="JLL3" s="62"/>
      <c r="JLM3" s="62"/>
      <c r="JLN3" s="62"/>
      <c r="JLO3" s="62"/>
      <c r="JLP3" s="62"/>
      <c r="JLQ3" s="62"/>
      <c r="JLR3" s="62"/>
      <c r="JLS3" s="62"/>
      <c r="JLT3" s="62"/>
      <c r="JLU3" s="62"/>
      <c r="JLV3" s="62"/>
      <c r="JLW3" s="62"/>
      <c r="JLX3" s="62"/>
      <c r="JLY3" s="62"/>
      <c r="JLZ3" s="62"/>
      <c r="JMA3" s="62"/>
      <c r="JMB3" s="62"/>
      <c r="JMC3" s="62"/>
      <c r="JMD3" s="62"/>
      <c r="JME3" s="62"/>
      <c r="JMF3" s="62"/>
      <c r="JMG3" s="62"/>
      <c r="JMH3" s="62"/>
      <c r="JMI3" s="62"/>
      <c r="JMJ3" s="62"/>
      <c r="JMK3" s="62"/>
      <c r="JML3" s="62"/>
      <c r="JMM3" s="62"/>
      <c r="JMN3" s="62"/>
      <c r="JMO3" s="62"/>
      <c r="JMP3" s="62"/>
      <c r="JMQ3" s="62"/>
      <c r="JMR3" s="62"/>
      <c r="JMS3" s="62"/>
      <c r="JMT3" s="62"/>
      <c r="JMU3" s="62"/>
      <c r="JMV3" s="62"/>
      <c r="JMW3" s="62"/>
      <c r="JMX3" s="62"/>
      <c r="JMY3" s="62"/>
      <c r="JMZ3" s="62"/>
      <c r="JNA3" s="62"/>
      <c r="JNB3" s="62"/>
      <c r="JNC3" s="62"/>
      <c r="JND3" s="62"/>
      <c r="JNE3" s="62"/>
      <c r="JNF3" s="62"/>
      <c r="JNG3" s="62"/>
      <c r="JNH3" s="62"/>
      <c r="JNI3" s="62"/>
      <c r="JNJ3" s="62"/>
      <c r="JNK3" s="62"/>
      <c r="JNL3" s="62"/>
      <c r="JNM3" s="62"/>
      <c r="JNN3" s="62"/>
      <c r="JNO3" s="62"/>
      <c r="JNP3" s="62"/>
      <c r="JNQ3" s="62"/>
      <c r="JNR3" s="62"/>
      <c r="JNS3" s="62"/>
      <c r="JNT3" s="62"/>
      <c r="JNU3" s="62"/>
      <c r="JNV3" s="62"/>
      <c r="JNW3" s="62"/>
      <c r="JNX3" s="62"/>
      <c r="JNY3" s="62"/>
      <c r="JNZ3" s="62"/>
      <c r="JOA3" s="62"/>
      <c r="JOB3" s="62"/>
      <c r="JOC3" s="62"/>
      <c r="JOD3" s="62"/>
      <c r="JOE3" s="62"/>
      <c r="JOF3" s="62"/>
      <c r="JOG3" s="62"/>
      <c r="JOH3" s="62"/>
      <c r="JOI3" s="62"/>
      <c r="JOJ3" s="62"/>
      <c r="JOK3" s="62"/>
      <c r="JOL3" s="62"/>
      <c r="JOM3" s="62"/>
      <c r="JON3" s="62"/>
      <c r="JOO3" s="62"/>
      <c r="JOP3" s="62"/>
      <c r="JOQ3" s="62"/>
      <c r="JOR3" s="62"/>
      <c r="JOS3" s="62"/>
      <c r="JOT3" s="62"/>
      <c r="JOU3" s="62"/>
      <c r="JOV3" s="62"/>
      <c r="JOW3" s="62"/>
      <c r="JOX3" s="62"/>
      <c r="JOY3" s="62"/>
      <c r="JOZ3" s="62"/>
      <c r="JPA3" s="62"/>
      <c r="JPB3" s="62"/>
      <c r="JPC3" s="62"/>
      <c r="JPD3" s="62"/>
      <c r="JPE3" s="62"/>
      <c r="JPF3" s="62"/>
      <c r="JPG3" s="62"/>
      <c r="JPH3" s="62"/>
      <c r="JPI3" s="62"/>
      <c r="JPJ3" s="62"/>
      <c r="JPK3" s="62"/>
      <c r="JPL3" s="62"/>
      <c r="JPM3" s="62"/>
      <c r="JPN3" s="62"/>
      <c r="JPO3" s="62"/>
      <c r="JPP3" s="62"/>
      <c r="JPQ3" s="62"/>
      <c r="JPR3" s="62"/>
      <c r="JPS3" s="62"/>
      <c r="JPT3" s="62"/>
      <c r="JPU3" s="62"/>
      <c r="JPV3" s="62"/>
      <c r="JPW3" s="62"/>
      <c r="JPX3" s="62"/>
      <c r="JPY3" s="62"/>
      <c r="JPZ3" s="62"/>
      <c r="JQA3" s="62"/>
      <c r="JQB3" s="62"/>
      <c r="JQC3" s="62"/>
      <c r="JQD3" s="62"/>
      <c r="JQE3" s="62"/>
      <c r="JQF3" s="62"/>
      <c r="JQG3" s="62"/>
      <c r="JQH3" s="62"/>
      <c r="JQI3" s="62"/>
      <c r="JQJ3" s="62"/>
      <c r="JQK3" s="62"/>
      <c r="JQL3" s="62"/>
      <c r="JQM3" s="62"/>
      <c r="JQN3" s="62"/>
      <c r="JQO3" s="62"/>
      <c r="JQP3" s="62"/>
      <c r="JQQ3" s="62"/>
      <c r="JQR3" s="62"/>
      <c r="JQS3" s="62"/>
      <c r="JQT3" s="62"/>
      <c r="JQU3" s="62"/>
      <c r="JQV3" s="62"/>
      <c r="JQW3" s="62"/>
      <c r="JQX3" s="62"/>
      <c r="JQY3" s="62"/>
      <c r="JQZ3" s="62"/>
      <c r="JRA3" s="62"/>
      <c r="JRB3" s="62"/>
      <c r="JRC3" s="62"/>
      <c r="JRD3" s="62"/>
      <c r="JRE3" s="62"/>
      <c r="JRF3" s="62"/>
      <c r="JRG3" s="62"/>
      <c r="JRH3" s="62"/>
      <c r="JRI3" s="62"/>
      <c r="JRJ3" s="62"/>
      <c r="JRK3" s="62"/>
      <c r="JRL3" s="62"/>
      <c r="JRM3" s="62"/>
      <c r="JRN3" s="62"/>
      <c r="JRO3" s="62"/>
      <c r="JRP3" s="62"/>
      <c r="JRQ3" s="62"/>
      <c r="JRR3" s="62"/>
      <c r="JRS3" s="62"/>
      <c r="JRT3" s="62"/>
      <c r="JRU3" s="62"/>
      <c r="JRV3" s="62"/>
      <c r="JRW3" s="62"/>
      <c r="JRX3" s="62"/>
      <c r="JRY3" s="62"/>
      <c r="JRZ3" s="62"/>
      <c r="JSA3" s="62"/>
      <c r="JSB3" s="62"/>
      <c r="JSC3" s="62"/>
      <c r="JSD3" s="62"/>
      <c r="JSE3" s="62"/>
      <c r="JSF3" s="62"/>
      <c r="JSG3" s="62"/>
      <c r="JSH3" s="62"/>
      <c r="JSI3" s="62"/>
      <c r="JSJ3" s="62"/>
      <c r="JSK3" s="62"/>
      <c r="JSL3" s="62"/>
      <c r="JSM3" s="62"/>
      <c r="JSN3" s="62"/>
      <c r="JSO3" s="62"/>
      <c r="JSP3" s="62"/>
      <c r="JSQ3" s="62"/>
      <c r="JSR3" s="62"/>
      <c r="JSS3" s="62"/>
      <c r="JST3" s="62"/>
      <c r="JSU3" s="62"/>
      <c r="JSV3" s="62"/>
      <c r="JSW3" s="62"/>
      <c r="JSX3" s="62"/>
      <c r="JSY3" s="62"/>
      <c r="JSZ3" s="62"/>
      <c r="JTA3" s="62"/>
      <c r="JTB3" s="62"/>
      <c r="JTC3" s="62"/>
      <c r="JTD3" s="62"/>
      <c r="JTE3" s="62"/>
      <c r="JTF3" s="62"/>
      <c r="JTG3" s="62"/>
      <c r="JTH3" s="62"/>
      <c r="JTI3" s="62"/>
      <c r="JTJ3" s="62"/>
      <c r="JTK3" s="62"/>
      <c r="JTL3" s="62"/>
      <c r="JTM3" s="62"/>
      <c r="JTN3" s="62"/>
      <c r="JTO3" s="62"/>
      <c r="JTP3" s="62"/>
      <c r="JTQ3" s="62"/>
      <c r="JTR3" s="62"/>
      <c r="JTS3" s="62"/>
      <c r="JTT3" s="62"/>
      <c r="JTU3" s="62"/>
      <c r="JTV3" s="62"/>
      <c r="JTW3" s="62"/>
      <c r="JTX3" s="62"/>
      <c r="JTY3" s="62"/>
      <c r="JTZ3" s="62"/>
      <c r="JUA3" s="62"/>
      <c r="JUB3" s="62"/>
      <c r="JUC3" s="62"/>
      <c r="JUD3" s="62"/>
      <c r="JUE3" s="62"/>
      <c r="JUF3" s="62"/>
      <c r="JUG3" s="62"/>
      <c r="JUH3" s="62"/>
      <c r="JUI3" s="62"/>
      <c r="JUJ3" s="62"/>
      <c r="JUK3" s="62"/>
      <c r="JUL3" s="62"/>
      <c r="JUM3" s="62"/>
      <c r="JUN3" s="62"/>
      <c r="JUO3" s="62"/>
      <c r="JUP3" s="62"/>
      <c r="JUQ3" s="62"/>
      <c r="JUR3" s="62"/>
      <c r="JUS3" s="62"/>
      <c r="JUT3" s="62"/>
      <c r="JUU3" s="62"/>
      <c r="JUV3" s="62"/>
      <c r="JUW3" s="62"/>
      <c r="JUX3" s="62"/>
      <c r="JUY3" s="62"/>
      <c r="JUZ3" s="62"/>
      <c r="JVA3" s="62"/>
      <c r="JVB3" s="62"/>
      <c r="JVC3" s="62"/>
      <c r="JVD3" s="62"/>
      <c r="JVE3" s="62"/>
      <c r="JVF3" s="62"/>
      <c r="JVG3" s="62"/>
      <c r="JVH3" s="62"/>
      <c r="JVI3" s="62"/>
      <c r="JVJ3" s="62"/>
      <c r="JVK3" s="62"/>
      <c r="JVL3" s="62"/>
      <c r="JVM3" s="62"/>
      <c r="JVN3" s="62"/>
      <c r="JVO3" s="62"/>
      <c r="JVP3" s="62"/>
      <c r="JVQ3" s="62"/>
      <c r="JVR3" s="62"/>
      <c r="JVS3" s="62"/>
      <c r="JVT3" s="62"/>
      <c r="JVU3" s="62"/>
      <c r="JVV3" s="62"/>
      <c r="JVW3" s="62"/>
      <c r="JVX3" s="62"/>
      <c r="JVY3" s="62"/>
      <c r="JVZ3" s="62"/>
      <c r="JWA3" s="62"/>
      <c r="JWB3" s="62"/>
      <c r="JWC3" s="62"/>
      <c r="JWD3" s="62"/>
      <c r="JWE3" s="62"/>
      <c r="JWF3" s="62"/>
      <c r="JWG3" s="62"/>
      <c r="JWH3" s="62"/>
      <c r="JWI3" s="62"/>
      <c r="JWJ3" s="62"/>
      <c r="JWK3" s="62"/>
      <c r="JWL3" s="62"/>
      <c r="JWM3" s="62"/>
      <c r="JWN3" s="62"/>
      <c r="JWO3" s="62"/>
      <c r="JWP3" s="62"/>
      <c r="JWQ3" s="62"/>
      <c r="JWR3" s="62"/>
      <c r="JWS3" s="62"/>
      <c r="JWT3" s="62"/>
      <c r="JWU3" s="62"/>
      <c r="JWV3" s="62"/>
      <c r="JWW3" s="62"/>
      <c r="JWX3" s="62"/>
      <c r="JWY3" s="62"/>
      <c r="JWZ3" s="62"/>
      <c r="JXA3" s="62"/>
      <c r="JXB3" s="62"/>
      <c r="JXC3" s="62"/>
      <c r="JXD3" s="62"/>
      <c r="JXE3" s="62"/>
      <c r="JXF3" s="62"/>
      <c r="JXG3" s="62"/>
      <c r="JXH3" s="62"/>
      <c r="JXI3" s="62"/>
      <c r="JXJ3" s="62"/>
      <c r="JXK3" s="62"/>
      <c r="JXL3" s="62"/>
      <c r="JXM3" s="62"/>
      <c r="JXN3" s="62"/>
      <c r="JXO3" s="62"/>
      <c r="JXP3" s="62"/>
      <c r="JXQ3" s="62"/>
      <c r="JXR3" s="62"/>
      <c r="JXS3" s="62"/>
      <c r="JXT3" s="62"/>
      <c r="JXU3" s="62"/>
      <c r="JXV3" s="62"/>
      <c r="JXW3" s="62"/>
      <c r="JXX3" s="62"/>
      <c r="JXY3" s="62"/>
      <c r="JXZ3" s="62"/>
      <c r="JYA3" s="62"/>
      <c r="JYB3" s="62"/>
      <c r="JYC3" s="62"/>
      <c r="JYD3" s="62"/>
      <c r="JYE3" s="62"/>
      <c r="JYF3" s="62"/>
      <c r="JYG3" s="62"/>
      <c r="JYH3" s="62"/>
      <c r="JYI3" s="62"/>
      <c r="JYJ3" s="62"/>
      <c r="JYK3" s="62"/>
      <c r="JYL3" s="62"/>
      <c r="JYM3" s="62"/>
      <c r="JYN3" s="62"/>
      <c r="JYO3" s="62"/>
      <c r="JYP3" s="62"/>
      <c r="JYQ3" s="62"/>
      <c r="JYR3" s="62"/>
      <c r="JYS3" s="62"/>
      <c r="JYT3" s="62"/>
      <c r="JYU3" s="62"/>
      <c r="JYV3" s="62"/>
      <c r="JYW3" s="62"/>
      <c r="JYX3" s="62"/>
      <c r="JYY3" s="62"/>
      <c r="JYZ3" s="62"/>
      <c r="JZA3" s="62"/>
      <c r="JZB3" s="62"/>
      <c r="JZC3" s="62"/>
      <c r="JZD3" s="62"/>
      <c r="JZE3" s="62"/>
      <c r="JZF3" s="62"/>
      <c r="JZG3" s="62"/>
      <c r="JZH3" s="62"/>
      <c r="JZI3" s="62"/>
      <c r="JZJ3" s="62"/>
      <c r="JZK3" s="62"/>
      <c r="JZL3" s="62"/>
      <c r="JZM3" s="62"/>
      <c r="JZN3" s="62"/>
      <c r="JZO3" s="62"/>
      <c r="JZP3" s="62"/>
      <c r="JZQ3" s="62"/>
      <c r="JZR3" s="62"/>
      <c r="JZS3" s="62"/>
      <c r="JZT3" s="62"/>
      <c r="JZU3" s="62"/>
      <c r="JZV3" s="62"/>
      <c r="JZW3" s="62"/>
      <c r="JZX3" s="62"/>
      <c r="JZY3" s="62"/>
      <c r="JZZ3" s="62"/>
      <c r="KAA3" s="62"/>
      <c r="KAB3" s="62"/>
      <c r="KAC3" s="62"/>
      <c r="KAD3" s="62"/>
      <c r="KAE3" s="62"/>
      <c r="KAF3" s="62"/>
      <c r="KAG3" s="62"/>
      <c r="KAH3" s="62"/>
      <c r="KAI3" s="62"/>
      <c r="KAJ3" s="62"/>
      <c r="KAK3" s="62"/>
      <c r="KAL3" s="62"/>
      <c r="KAM3" s="62"/>
      <c r="KAN3" s="62"/>
      <c r="KAO3" s="62"/>
      <c r="KAP3" s="62"/>
      <c r="KAQ3" s="62"/>
      <c r="KAR3" s="62"/>
      <c r="KAS3" s="62"/>
      <c r="KAT3" s="62"/>
      <c r="KAU3" s="62"/>
      <c r="KAV3" s="62"/>
      <c r="KAW3" s="62"/>
      <c r="KAX3" s="62"/>
      <c r="KAY3" s="62"/>
      <c r="KAZ3" s="62"/>
      <c r="KBA3" s="62"/>
      <c r="KBB3" s="62"/>
      <c r="KBC3" s="62"/>
      <c r="KBD3" s="62"/>
      <c r="KBE3" s="62"/>
      <c r="KBF3" s="62"/>
      <c r="KBG3" s="62"/>
      <c r="KBH3" s="62"/>
      <c r="KBI3" s="62"/>
      <c r="KBJ3" s="62"/>
      <c r="KBK3" s="62"/>
      <c r="KBL3" s="62"/>
      <c r="KBM3" s="62"/>
      <c r="KBN3" s="62"/>
      <c r="KBO3" s="62"/>
      <c r="KBP3" s="62"/>
      <c r="KBQ3" s="62"/>
      <c r="KBR3" s="62"/>
      <c r="KBS3" s="62"/>
      <c r="KBT3" s="62"/>
      <c r="KBU3" s="62"/>
      <c r="KBV3" s="62"/>
      <c r="KBW3" s="62"/>
      <c r="KBX3" s="62"/>
      <c r="KBY3" s="62"/>
      <c r="KBZ3" s="62"/>
      <c r="KCA3" s="62"/>
      <c r="KCB3" s="62"/>
      <c r="KCC3" s="62"/>
      <c r="KCD3" s="62"/>
      <c r="KCE3" s="62"/>
      <c r="KCF3" s="62"/>
      <c r="KCG3" s="62"/>
      <c r="KCH3" s="62"/>
      <c r="KCI3" s="62"/>
      <c r="KCJ3" s="62"/>
      <c r="KCK3" s="62"/>
      <c r="KCL3" s="62"/>
      <c r="KCM3" s="62"/>
      <c r="KCN3" s="62"/>
      <c r="KCO3" s="62"/>
      <c r="KCP3" s="62"/>
      <c r="KCQ3" s="62"/>
      <c r="KCR3" s="62"/>
      <c r="KCS3" s="62"/>
      <c r="KCT3" s="62"/>
      <c r="KCU3" s="62"/>
      <c r="KCV3" s="62"/>
      <c r="KCW3" s="62"/>
      <c r="KCX3" s="62"/>
      <c r="KCY3" s="62"/>
      <c r="KCZ3" s="62"/>
      <c r="KDA3" s="62"/>
      <c r="KDB3" s="62"/>
      <c r="KDC3" s="62"/>
      <c r="KDD3" s="62"/>
      <c r="KDE3" s="62"/>
      <c r="KDF3" s="62"/>
      <c r="KDG3" s="62"/>
      <c r="KDH3" s="62"/>
      <c r="KDI3" s="62"/>
      <c r="KDJ3" s="62"/>
      <c r="KDK3" s="62"/>
      <c r="KDL3" s="62"/>
      <c r="KDM3" s="62"/>
      <c r="KDN3" s="62"/>
      <c r="KDO3" s="62"/>
      <c r="KDP3" s="62"/>
      <c r="KDQ3" s="62"/>
      <c r="KDR3" s="62"/>
      <c r="KDS3" s="62"/>
      <c r="KDT3" s="62"/>
      <c r="KDU3" s="62"/>
      <c r="KDV3" s="62"/>
      <c r="KDW3" s="62"/>
      <c r="KDX3" s="62"/>
      <c r="KDY3" s="62"/>
      <c r="KDZ3" s="62"/>
      <c r="KEA3" s="62"/>
      <c r="KEB3" s="62"/>
      <c r="KEC3" s="62"/>
      <c r="KED3" s="62"/>
      <c r="KEE3" s="62"/>
      <c r="KEF3" s="62"/>
      <c r="KEG3" s="62"/>
      <c r="KEH3" s="62"/>
      <c r="KEI3" s="62"/>
      <c r="KEJ3" s="62"/>
      <c r="KEK3" s="62"/>
      <c r="KEL3" s="62"/>
      <c r="KEM3" s="62"/>
      <c r="KEN3" s="62"/>
      <c r="KEO3" s="62"/>
      <c r="KEP3" s="62"/>
      <c r="KEQ3" s="62"/>
      <c r="KER3" s="62"/>
      <c r="KES3" s="62"/>
      <c r="KET3" s="62"/>
      <c r="KEU3" s="62"/>
      <c r="KEV3" s="62"/>
      <c r="KEW3" s="62"/>
      <c r="KEX3" s="62"/>
      <c r="KEY3" s="62"/>
      <c r="KEZ3" s="62"/>
      <c r="KFA3" s="62"/>
      <c r="KFB3" s="62"/>
      <c r="KFC3" s="62"/>
      <c r="KFD3" s="62"/>
      <c r="KFE3" s="62"/>
      <c r="KFF3" s="62"/>
      <c r="KFG3" s="62"/>
      <c r="KFH3" s="62"/>
      <c r="KFI3" s="62"/>
      <c r="KFJ3" s="62"/>
      <c r="KFK3" s="62"/>
      <c r="KFL3" s="62"/>
      <c r="KFM3" s="62"/>
      <c r="KFN3" s="62"/>
      <c r="KFO3" s="62"/>
      <c r="KFP3" s="62"/>
      <c r="KFQ3" s="62"/>
      <c r="KFR3" s="62"/>
      <c r="KFS3" s="62"/>
      <c r="KFT3" s="62"/>
      <c r="KFU3" s="62"/>
      <c r="KFV3" s="62"/>
      <c r="KFW3" s="62"/>
      <c r="KFX3" s="62"/>
      <c r="KFY3" s="62"/>
      <c r="KFZ3" s="62"/>
      <c r="KGA3" s="62"/>
      <c r="KGB3" s="62"/>
      <c r="KGC3" s="62"/>
      <c r="KGD3" s="62"/>
      <c r="KGE3" s="62"/>
      <c r="KGF3" s="62"/>
      <c r="KGG3" s="62"/>
      <c r="KGH3" s="62"/>
      <c r="KGI3" s="62"/>
      <c r="KGJ3" s="62"/>
      <c r="KGK3" s="62"/>
      <c r="KGL3" s="62"/>
      <c r="KGM3" s="62"/>
      <c r="KGN3" s="62"/>
      <c r="KGO3" s="62"/>
      <c r="KGP3" s="62"/>
      <c r="KGQ3" s="62"/>
      <c r="KGR3" s="62"/>
      <c r="KGS3" s="62"/>
      <c r="KGT3" s="62"/>
      <c r="KGU3" s="62"/>
      <c r="KGV3" s="62"/>
      <c r="KGW3" s="62"/>
      <c r="KGX3" s="62"/>
      <c r="KGY3" s="62"/>
      <c r="KGZ3" s="62"/>
      <c r="KHA3" s="62"/>
      <c r="KHB3" s="62"/>
      <c r="KHC3" s="62"/>
      <c r="KHD3" s="62"/>
      <c r="KHE3" s="62"/>
      <c r="KHF3" s="62"/>
      <c r="KHG3" s="62"/>
      <c r="KHH3" s="62"/>
      <c r="KHI3" s="62"/>
      <c r="KHJ3" s="62"/>
      <c r="KHK3" s="62"/>
      <c r="KHL3" s="62"/>
      <c r="KHM3" s="62"/>
      <c r="KHN3" s="62"/>
      <c r="KHO3" s="62"/>
      <c r="KHP3" s="62"/>
      <c r="KHQ3" s="62"/>
      <c r="KHR3" s="62"/>
      <c r="KHS3" s="62"/>
      <c r="KHT3" s="62"/>
      <c r="KHU3" s="62"/>
      <c r="KHV3" s="62"/>
      <c r="KHW3" s="62"/>
      <c r="KHX3" s="62"/>
      <c r="KHY3" s="62"/>
      <c r="KHZ3" s="62"/>
      <c r="KIA3" s="62"/>
      <c r="KIB3" s="62"/>
      <c r="KIC3" s="62"/>
      <c r="KID3" s="62"/>
      <c r="KIE3" s="62"/>
      <c r="KIF3" s="62"/>
      <c r="KIG3" s="62"/>
      <c r="KIH3" s="62"/>
      <c r="KII3" s="62"/>
      <c r="KIJ3" s="62"/>
      <c r="KIK3" s="62"/>
      <c r="KIL3" s="62"/>
      <c r="KIM3" s="62"/>
      <c r="KIN3" s="62"/>
      <c r="KIO3" s="62"/>
      <c r="KIP3" s="62"/>
      <c r="KIQ3" s="62"/>
      <c r="KIR3" s="62"/>
      <c r="KIS3" s="62"/>
      <c r="KIT3" s="62"/>
      <c r="KIU3" s="62"/>
      <c r="KIV3" s="62"/>
      <c r="KIW3" s="62"/>
      <c r="KIX3" s="62"/>
      <c r="KIY3" s="62"/>
      <c r="KIZ3" s="62"/>
      <c r="KJA3" s="62"/>
      <c r="KJB3" s="62"/>
      <c r="KJC3" s="62"/>
      <c r="KJD3" s="62"/>
      <c r="KJE3" s="62"/>
      <c r="KJF3" s="62"/>
      <c r="KJG3" s="62"/>
      <c r="KJH3" s="62"/>
      <c r="KJI3" s="62"/>
      <c r="KJJ3" s="62"/>
      <c r="KJK3" s="62"/>
      <c r="KJL3" s="62"/>
      <c r="KJM3" s="62"/>
      <c r="KJN3" s="62"/>
      <c r="KJO3" s="62"/>
      <c r="KJP3" s="62"/>
      <c r="KJQ3" s="62"/>
      <c r="KJR3" s="62"/>
      <c r="KJS3" s="62"/>
      <c r="KJT3" s="62"/>
      <c r="KJU3" s="62"/>
      <c r="KJV3" s="62"/>
      <c r="KJW3" s="62"/>
      <c r="KJX3" s="62"/>
      <c r="KJY3" s="62"/>
      <c r="KJZ3" s="62"/>
      <c r="KKA3" s="62"/>
      <c r="KKB3" s="62"/>
      <c r="KKC3" s="62"/>
      <c r="KKD3" s="62"/>
      <c r="KKE3" s="62"/>
      <c r="KKF3" s="62"/>
      <c r="KKG3" s="62"/>
      <c r="KKH3" s="62"/>
      <c r="KKI3" s="62"/>
      <c r="KKJ3" s="62"/>
      <c r="KKK3" s="62"/>
      <c r="KKL3" s="62"/>
      <c r="KKM3" s="62"/>
      <c r="KKN3" s="62"/>
      <c r="KKO3" s="62"/>
      <c r="KKP3" s="62"/>
      <c r="KKQ3" s="62"/>
      <c r="KKR3" s="62"/>
      <c r="KKS3" s="62"/>
      <c r="KKT3" s="62"/>
      <c r="KKU3" s="62"/>
      <c r="KKV3" s="62"/>
      <c r="KKW3" s="62"/>
      <c r="KKX3" s="62"/>
      <c r="KKY3" s="62"/>
      <c r="KKZ3" s="62"/>
      <c r="KLA3" s="62"/>
      <c r="KLB3" s="62"/>
      <c r="KLC3" s="62"/>
      <c r="KLD3" s="62"/>
      <c r="KLE3" s="62"/>
      <c r="KLF3" s="62"/>
      <c r="KLG3" s="62"/>
      <c r="KLH3" s="62"/>
      <c r="KLI3" s="62"/>
      <c r="KLJ3" s="62"/>
      <c r="KLK3" s="62"/>
      <c r="KLL3" s="62"/>
      <c r="KLM3" s="62"/>
      <c r="KLN3" s="62"/>
      <c r="KLO3" s="62"/>
      <c r="KLP3" s="62"/>
      <c r="KLQ3" s="62"/>
      <c r="KLR3" s="62"/>
      <c r="KLS3" s="62"/>
      <c r="KLT3" s="62"/>
      <c r="KLU3" s="62"/>
      <c r="KLV3" s="62"/>
      <c r="KLW3" s="62"/>
      <c r="KLX3" s="62"/>
      <c r="KLY3" s="62"/>
      <c r="KLZ3" s="62"/>
      <c r="KMA3" s="62"/>
      <c r="KMB3" s="62"/>
      <c r="KMC3" s="62"/>
      <c r="KMD3" s="62"/>
      <c r="KME3" s="62"/>
      <c r="KMF3" s="62"/>
      <c r="KMG3" s="62"/>
      <c r="KMH3" s="62"/>
      <c r="KMI3" s="62"/>
      <c r="KMJ3" s="62"/>
      <c r="KMK3" s="62"/>
      <c r="KML3" s="62"/>
      <c r="KMM3" s="62"/>
      <c r="KMN3" s="62"/>
      <c r="KMO3" s="62"/>
      <c r="KMP3" s="62"/>
      <c r="KMQ3" s="62"/>
      <c r="KMR3" s="62"/>
      <c r="KMS3" s="62"/>
      <c r="KMT3" s="62"/>
      <c r="KMU3" s="62"/>
      <c r="KMV3" s="62"/>
      <c r="KMW3" s="62"/>
      <c r="KMX3" s="62"/>
      <c r="KMY3" s="62"/>
      <c r="KMZ3" s="62"/>
      <c r="KNA3" s="62"/>
      <c r="KNB3" s="62"/>
      <c r="KNC3" s="62"/>
      <c r="KND3" s="62"/>
      <c r="KNE3" s="62"/>
      <c r="KNF3" s="62"/>
      <c r="KNG3" s="62"/>
      <c r="KNH3" s="62"/>
      <c r="KNI3" s="62"/>
      <c r="KNJ3" s="62"/>
      <c r="KNK3" s="62"/>
      <c r="KNL3" s="62"/>
      <c r="KNM3" s="62"/>
      <c r="KNN3" s="62"/>
      <c r="KNO3" s="62"/>
      <c r="KNP3" s="62"/>
      <c r="KNQ3" s="62"/>
      <c r="KNR3" s="62"/>
      <c r="KNS3" s="62"/>
      <c r="KNT3" s="62"/>
      <c r="KNU3" s="62"/>
      <c r="KNV3" s="62"/>
      <c r="KNW3" s="62"/>
      <c r="KNX3" s="62"/>
      <c r="KNY3" s="62"/>
      <c r="KNZ3" s="62"/>
      <c r="KOA3" s="62"/>
      <c r="KOB3" s="62"/>
      <c r="KOC3" s="62"/>
      <c r="KOD3" s="62"/>
      <c r="KOE3" s="62"/>
      <c r="KOF3" s="62"/>
      <c r="KOG3" s="62"/>
      <c r="KOH3" s="62"/>
      <c r="KOI3" s="62"/>
      <c r="KOJ3" s="62"/>
      <c r="KOK3" s="62"/>
      <c r="KOL3" s="62"/>
      <c r="KOM3" s="62"/>
      <c r="KON3" s="62"/>
      <c r="KOO3" s="62"/>
      <c r="KOP3" s="62"/>
      <c r="KOQ3" s="62"/>
      <c r="KOR3" s="62"/>
      <c r="KOS3" s="62"/>
      <c r="KOT3" s="62"/>
      <c r="KOU3" s="62"/>
      <c r="KOV3" s="62"/>
      <c r="KOW3" s="62"/>
      <c r="KOX3" s="62"/>
      <c r="KOY3" s="62"/>
      <c r="KOZ3" s="62"/>
      <c r="KPA3" s="62"/>
      <c r="KPB3" s="62"/>
      <c r="KPC3" s="62"/>
      <c r="KPD3" s="62"/>
      <c r="KPE3" s="62"/>
      <c r="KPF3" s="62"/>
      <c r="KPG3" s="62"/>
      <c r="KPH3" s="62"/>
      <c r="KPI3" s="62"/>
      <c r="KPJ3" s="62"/>
      <c r="KPK3" s="62"/>
      <c r="KPL3" s="62"/>
      <c r="KPM3" s="62"/>
      <c r="KPN3" s="62"/>
      <c r="KPO3" s="62"/>
      <c r="KPP3" s="62"/>
      <c r="KPQ3" s="62"/>
      <c r="KPR3" s="62"/>
      <c r="KPS3" s="62"/>
      <c r="KPT3" s="62"/>
      <c r="KPU3" s="62"/>
      <c r="KPV3" s="62"/>
      <c r="KPW3" s="62"/>
      <c r="KPX3" s="62"/>
      <c r="KPY3" s="62"/>
      <c r="KPZ3" s="62"/>
      <c r="KQA3" s="62"/>
      <c r="KQB3" s="62"/>
      <c r="KQC3" s="62"/>
      <c r="KQD3" s="62"/>
      <c r="KQE3" s="62"/>
      <c r="KQF3" s="62"/>
      <c r="KQG3" s="62"/>
      <c r="KQH3" s="62"/>
      <c r="KQI3" s="62"/>
      <c r="KQJ3" s="62"/>
      <c r="KQK3" s="62"/>
      <c r="KQL3" s="62"/>
      <c r="KQM3" s="62"/>
      <c r="KQN3" s="62"/>
      <c r="KQO3" s="62"/>
      <c r="KQP3" s="62"/>
      <c r="KQQ3" s="62"/>
      <c r="KQR3" s="62"/>
      <c r="KQS3" s="62"/>
      <c r="KQT3" s="62"/>
      <c r="KQU3" s="62"/>
      <c r="KQV3" s="62"/>
      <c r="KQW3" s="62"/>
      <c r="KQX3" s="62"/>
      <c r="KQY3" s="62"/>
      <c r="KQZ3" s="62"/>
      <c r="KRA3" s="62"/>
      <c r="KRB3" s="62"/>
      <c r="KRC3" s="62"/>
      <c r="KRD3" s="62"/>
      <c r="KRE3" s="62"/>
      <c r="KRF3" s="62"/>
      <c r="KRG3" s="62"/>
      <c r="KRH3" s="62"/>
      <c r="KRI3" s="62"/>
      <c r="KRJ3" s="62"/>
      <c r="KRK3" s="62"/>
      <c r="KRL3" s="62"/>
      <c r="KRM3" s="62"/>
      <c r="KRN3" s="62"/>
      <c r="KRO3" s="62"/>
      <c r="KRP3" s="62"/>
      <c r="KRQ3" s="62"/>
      <c r="KRR3" s="62"/>
      <c r="KRS3" s="62"/>
      <c r="KRT3" s="62"/>
      <c r="KRU3" s="62"/>
      <c r="KRV3" s="62"/>
      <c r="KRW3" s="62"/>
      <c r="KRX3" s="62"/>
      <c r="KRY3" s="62"/>
      <c r="KRZ3" s="62"/>
      <c r="KSA3" s="62"/>
      <c r="KSB3" s="62"/>
      <c r="KSC3" s="62"/>
      <c r="KSD3" s="62"/>
      <c r="KSE3" s="62"/>
      <c r="KSF3" s="62"/>
      <c r="KSG3" s="62"/>
      <c r="KSH3" s="62"/>
      <c r="KSI3" s="62"/>
      <c r="KSJ3" s="62"/>
      <c r="KSK3" s="62"/>
      <c r="KSL3" s="62"/>
      <c r="KSM3" s="62"/>
      <c r="KSN3" s="62"/>
      <c r="KSO3" s="62"/>
      <c r="KSP3" s="62"/>
      <c r="KSQ3" s="62"/>
      <c r="KSR3" s="62"/>
      <c r="KSS3" s="62"/>
      <c r="KST3" s="62"/>
      <c r="KSU3" s="62"/>
      <c r="KSV3" s="62"/>
      <c r="KSW3" s="62"/>
      <c r="KSX3" s="62"/>
      <c r="KSY3" s="62"/>
      <c r="KSZ3" s="62"/>
      <c r="KTA3" s="62"/>
      <c r="KTB3" s="62"/>
      <c r="KTC3" s="62"/>
      <c r="KTD3" s="62"/>
      <c r="KTE3" s="62"/>
      <c r="KTF3" s="62"/>
      <c r="KTG3" s="62"/>
      <c r="KTH3" s="62"/>
      <c r="KTI3" s="62"/>
      <c r="KTJ3" s="62"/>
      <c r="KTK3" s="62"/>
      <c r="KTL3" s="62"/>
      <c r="KTM3" s="62"/>
      <c r="KTN3" s="62"/>
      <c r="KTO3" s="62"/>
      <c r="KTP3" s="62"/>
      <c r="KTQ3" s="62"/>
      <c r="KTR3" s="62"/>
      <c r="KTS3" s="62"/>
      <c r="KTT3" s="62"/>
      <c r="KTU3" s="62"/>
      <c r="KTV3" s="62"/>
      <c r="KTW3" s="62"/>
      <c r="KTX3" s="62"/>
      <c r="KTY3" s="62"/>
      <c r="KTZ3" s="62"/>
      <c r="KUA3" s="62"/>
      <c r="KUB3" s="62"/>
      <c r="KUC3" s="62"/>
      <c r="KUD3" s="62"/>
      <c r="KUE3" s="62"/>
      <c r="KUF3" s="62"/>
      <c r="KUG3" s="62"/>
      <c r="KUH3" s="62"/>
      <c r="KUI3" s="62"/>
      <c r="KUJ3" s="62"/>
      <c r="KUK3" s="62"/>
      <c r="KUL3" s="62"/>
      <c r="KUM3" s="62"/>
      <c r="KUN3" s="62"/>
      <c r="KUO3" s="62"/>
      <c r="KUP3" s="62"/>
      <c r="KUQ3" s="62"/>
      <c r="KUR3" s="62"/>
      <c r="KUS3" s="62"/>
      <c r="KUT3" s="62"/>
      <c r="KUU3" s="62"/>
      <c r="KUV3" s="62"/>
      <c r="KUW3" s="62"/>
      <c r="KUX3" s="62"/>
      <c r="KUY3" s="62"/>
      <c r="KUZ3" s="62"/>
      <c r="KVA3" s="62"/>
      <c r="KVB3" s="62"/>
      <c r="KVC3" s="62"/>
      <c r="KVD3" s="62"/>
      <c r="KVE3" s="62"/>
      <c r="KVF3" s="62"/>
      <c r="KVG3" s="62"/>
      <c r="KVH3" s="62"/>
      <c r="KVI3" s="62"/>
      <c r="KVJ3" s="62"/>
      <c r="KVK3" s="62"/>
      <c r="KVL3" s="62"/>
      <c r="KVM3" s="62"/>
      <c r="KVN3" s="62"/>
      <c r="KVO3" s="62"/>
      <c r="KVP3" s="62"/>
      <c r="KVQ3" s="62"/>
      <c r="KVR3" s="62"/>
      <c r="KVS3" s="62"/>
      <c r="KVT3" s="62"/>
      <c r="KVU3" s="62"/>
      <c r="KVV3" s="62"/>
      <c r="KVW3" s="62"/>
      <c r="KVX3" s="62"/>
      <c r="KVY3" s="62"/>
      <c r="KVZ3" s="62"/>
      <c r="KWA3" s="62"/>
      <c r="KWB3" s="62"/>
      <c r="KWC3" s="62"/>
      <c r="KWD3" s="62"/>
      <c r="KWE3" s="62"/>
      <c r="KWF3" s="62"/>
      <c r="KWG3" s="62"/>
      <c r="KWH3" s="62"/>
      <c r="KWI3" s="62"/>
      <c r="KWJ3" s="62"/>
      <c r="KWK3" s="62"/>
      <c r="KWL3" s="62"/>
      <c r="KWM3" s="62"/>
      <c r="KWN3" s="62"/>
      <c r="KWO3" s="62"/>
      <c r="KWP3" s="62"/>
      <c r="KWQ3" s="62"/>
      <c r="KWR3" s="62"/>
      <c r="KWS3" s="62"/>
      <c r="KWT3" s="62"/>
      <c r="KWU3" s="62"/>
      <c r="KWV3" s="62"/>
      <c r="KWW3" s="62"/>
      <c r="KWX3" s="62"/>
      <c r="KWY3" s="62"/>
      <c r="KWZ3" s="62"/>
      <c r="KXA3" s="62"/>
      <c r="KXB3" s="62"/>
      <c r="KXC3" s="62"/>
      <c r="KXD3" s="62"/>
      <c r="KXE3" s="62"/>
      <c r="KXF3" s="62"/>
      <c r="KXG3" s="62"/>
      <c r="KXH3" s="62"/>
      <c r="KXI3" s="62"/>
      <c r="KXJ3" s="62"/>
      <c r="KXK3" s="62"/>
      <c r="KXL3" s="62"/>
      <c r="KXM3" s="62"/>
      <c r="KXN3" s="62"/>
      <c r="KXO3" s="62"/>
      <c r="KXP3" s="62"/>
      <c r="KXQ3" s="62"/>
      <c r="KXR3" s="62"/>
      <c r="KXS3" s="62"/>
      <c r="KXT3" s="62"/>
      <c r="KXU3" s="62"/>
      <c r="KXV3" s="62"/>
      <c r="KXW3" s="62"/>
      <c r="KXX3" s="62"/>
      <c r="KXY3" s="62"/>
      <c r="KXZ3" s="62"/>
      <c r="KYA3" s="62"/>
      <c r="KYB3" s="62"/>
      <c r="KYC3" s="62"/>
      <c r="KYD3" s="62"/>
      <c r="KYE3" s="62"/>
      <c r="KYF3" s="62"/>
      <c r="KYG3" s="62"/>
      <c r="KYH3" s="62"/>
      <c r="KYI3" s="62"/>
      <c r="KYJ3" s="62"/>
      <c r="KYK3" s="62"/>
      <c r="KYL3" s="62"/>
      <c r="KYM3" s="62"/>
      <c r="KYN3" s="62"/>
      <c r="KYO3" s="62"/>
      <c r="KYP3" s="62"/>
      <c r="KYQ3" s="62"/>
      <c r="KYR3" s="62"/>
      <c r="KYS3" s="62"/>
      <c r="KYT3" s="62"/>
      <c r="KYU3" s="62"/>
      <c r="KYV3" s="62"/>
      <c r="KYW3" s="62"/>
      <c r="KYX3" s="62"/>
      <c r="KYY3" s="62"/>
      <c r="KYZ3" s="62"/>
      <c r="KZA3" s="62"/>
      <c r="KZB3" s="62"/>
      <c r="KZC3" s="62"/>
      <c r="KZD3" s="62"/>
      <c r="KZE3" s="62"/>
      <c r="KZF3" s="62"/>
      <c r="KZG3" s="62"/>
      <c r="KZH3" s="62"/>
      <c r="KZI3" s="62"/>
      <c r="KZJ3" s="62"/>
      <c r="KZK3" s="62"/>
      <c r="KZL3" s="62"/>
      <c r="KZM3" s="62"/>
      <c r="KZN3" s="62"/>
      <c r="KZO3" s="62"/>
      <c r="KZP3" s="62"/>
      <c r="KZQ3" s="62"/>
      <c r="KZR3" s="62"/>
      <c r="KZS3" s="62"/>
      <c r="KZT3" s="62"/>
      <c r="KZU3" s="62"/>
      <c r="KZV3" s="62"/>
      <c r="KZW3" s="62"/>
      <c r="KZX3" s="62"/>
      <c r="KZY3" s="62"/>
      <c r="KZZ3" s="62"/>
      <c r="LAA3" s="62"/>
      <c r="LAB3" s="62"/>
      <c r="LAC3" s="62"/>
      <c r="LAD3" s="62"/>
      <c r="LAE3" s="62"/>
      <c r="LAF3" s="62"/>
      <c r="LAG3" s="62"/>
      <c r="LAH3" s="62"/>
      <c r="LAI3" s="62"/>
      <c r="LAJ3" s="62"/>
      <c r="LAK3" s="62"/>
      <c r="LAL3" s="62"/>
      <c r="LAM3" s="62"/>
      <c r="LAN3" s="62"/>
      <c r="LAO3" s="62"/>
      <c r="LAP3" s="62"/>
      <c r="LAQ3" s="62"/>
      <c r="LAR3" s="62"/>
      <c r="LAS3" s="62"/>
      <c r="LAT3" s="62"/>
      <c r="LAU3" s="62"/>
      <c r="LAV3" s="62"/>
      <c r="LAW3" s="62"/>
      <c r="LAX3" s="62"/>
      <c r="LAY3" s="62"/>
      <c r="LAZ3" s="62"/>
      <c r="LBA3" s="62"/>
      <c r="LBB3" s="62"/>
      <c r="LBC3" s="62"/>
      <c r="LBD3" s="62"/>
      <c r="LBE3" s="62"/>
      <c r="LBF3" s="62"/>
      <c r="LBG3" s="62"/>
      <c r="LBH3" s="62"/>
      <c r="LBI3" s="62"/>
      <c r="LBJ3" s="62"/>
      <c r="LBK3" s="62"/>
      <c r="LBL3" s="62"/>
      <c r="LBM3" s="62"/>
      <c r="LBN3" s="62"/>
      <c r="LBO3" s="62"/>
      <c r="LBP3" s="62"/>
      <c r="LBQ3" s="62"/>
      <c r="LBR3" s="62"/>
      <c r="LBS3" s="62"/>
      <c r="LBT3" s="62"/>
      <c r="LBU3" s="62"/>
      <c r="LBV3" s="62"/>
      <c r="LBW3" s="62"/>
      <c r="LBX3" s="62"/>
      <c r="LBY3" s="62"/>
      <c r="LBZ3" s="62"/>
      <c r="LCA3" s="62"/>
      <c r="LCB3" s="62"/>
      <c r="LCC3" s="62"/>
      <c r="LCD3" s="62"/>
      <c r="LCE3" s="62"/>
      <c r="LCF3" s="62"/>
      <c r="LCG3" s="62"/>
      <c r="LCH3" s="62"/>
      <c r="LCI3" s="62"/>
      <c r="LCJ3" s="62"/>
      <c r="LCK3" s="62"/>
      <c r="LCL3" s="62"/>
      <c r="LCM3" s="62"/>
      <c r="LCN3" s="62"/>
      <c r="LCO3" s="62"/>
      <c r="LCP3" s="62"/>
      <c r="LCQ3" s="62"/>
      <c r="LCR3" s="62"/>
      <c r="LCS3" s="62"/>
      <c r="LCT3" s="62"/>
      <c r="LCU3" s="62"/>
      <c r="LCV3" s="62"/>
      <c r="LCW3" s="62"/>
      <c r="LCX3" s="62"/>
      <c r="LCY3" s="62"/>
      <c r="LCZ3" s="62"/>
      <c r="LDA3" s="62"/>
      <c r="LDB3" s="62"/>
      <c r="LDC3" s="62"/>
      <c r="LDD3" s="62"/>
      <c r="LDE3" s="62"/>
      <c r="LDF3" s="62"/>
      <c r="LDG3" s="62"/>
      <c r="LDH3" s="62"/>
      <c r="LDI3" s="62"/>
      <c r="LDJ3" s="62"/>
      <c r="LDK3" s="62"/>
      <c r="LDL3" s="62"/>
      <c r="LDM3" s="62"/>
      <c r="LDN3" s="62"/>
      <c r="LDO3" s="62"/>
      <c r="LDP3" s="62"/>
      <c r="LDQ3" s="62"/>
      <c r="LDR3" s="62"/>
      <c r="LDS3" s="62"/>
      <c r="LDT3" s="62"/>
      <c r="LDU3" s="62"/>
      <c r="LDV3" s="62"/>
      <c r="LDW3" s="62"/>
      <c r="LDX3" s="62"/>
      <c r="LDY3" s="62"/>
      <c r="LDZ3" s="62"/>
      <c r="LEA3" s="62"/>
      <c r="LEB3" s="62"/>
      <c r="LEC3" s="62"/>
      <c r="LED3" s="62"/>
      <c r="LEE3" s="62"/>
      <c r="LEF3" s="62"/>
      <c r="LEG3" s="62"/>
      <c r="LEH3" s="62"/>
      <c r="LEI3" s="62"/>
      <c r="LEJ3" s="62"/>
      <c r="LEK3" s="62"/>
      <c r="LEL3" s="62"/>
      <c r="LEM3" s="62"/>
      <c r="LEN3" s="62"/>
      <c r="LEO3" s="62"/>
      <c r="LEP3" s="62"/>
      <c r="LEQ3" s="62"/>
      <c r="LER3" s="62"/>
      <c r="LES3" s="62"/>
      <c r="LET3" s="62"/>
      <c r="LEU3" s="62"/>
      <c r="LEV3" s="62"/>
      <c r="LEW3" s="62"/>
      <c r="LEX3" s="62"/>
      <c r="LEY3" s="62"/>
      <c r="LEZ3" s="62"/>
      <c r="LFA3" s="62"/>
      <c r="LFB3" s="62"/>
      <c r="LFC3" s="62"/>
      <c r="LFD3" s="62"/>
      <c r="LFE3" s="62"/>
      <c r="LFF3" s="62"/>
      <c r="LFG3" s="62"/>
      <c r="LFH3" s="62"/>
      <c r="LFI3" s="62"/>
      <c r="LFJ3" s="62"/>
      <c r="LFK3" s="62"/>
      <c r="LFL3" s="62"/>
      <c r="LFM3" s="62"/>
      <c r="LFN3" s="62"/>
      <c r="LFO3" s="62"/>
      <c r="LFP3" s="62"/>
      <c r="LFQ3" s="62"/>
      <c r="LFR3" s="62"/>
      <c r="LFS3" s="62"/>
      <c r="LFT3" s="62"/>
      <c r="LFU3" s="62"/>
      <c r="LFV3" s="62"/>
      <c r="LFW3" s="62"/>
      <c r="LFX3" s="62"/>
      <c r="LFY3" s="62"/>
      <c r="LFZ3" s="62"/>
      <c r="LGA3" s="62"/>
      <c r="LGB3" s="62"/>
      <c r="LGC3" s="62"/>
      <c r="LGD3" s="62"/>
      <c r="LGE3" s="62"/>
      <c r="LGF3" s="62"/>
      <c r="LGG3" s="62"/>
      <c r="LGH3" s="62"/>
      <c r="LGI3" s="62"/>
      <c r="LGJ3" s="62"/>
      <c r="LGK3" s="62"/>
      <c r="LGL3" s="62"/>
      <c r="LGM3" s="62"/>
      <c r="LGN3" s="62"/>
      <c r="LGO3" s="62"/>
      <c r="LGP3" s="62"/>
      <c r="LGQ3" s="62"/>
      <c r="LGR3" s="62"/>
      <c r="LGS3" s="62"/>
      <c r="LGT3" s="62"/>
      <c r="LGU3" s="62"/>
      <c r="LGV3" s="62"/>
      <c r="LGW3" s="62"/>
      <c r="LGX3" s="62"/>
      <c r="LGY3" s="62"/>
      <c r="LGZ3" s="62"/>
      <c r="LHA3" s="62"/>
      <c r="LHB3" s="62"/>
      <c r="LHC3" s="62"/>
      <c r="LHD3" s="62"/>
      <c r="LHE3" s="62"/>
      <c r="LHF3" s="62"/>
      <c r="LHG3" s="62"/>
      <c r="LHH3" s="62"/>
      <c r="LHI3" s="62"/>
      <c r="LHJ3" s="62"/>
      <c r="LHK3" s="62"/>
      <c r="LHL3" s="62"/>
      <c r="LHM3" s="62"/>
      <c r="LHN3" s="62"/>
      <c r="LHO3" s="62"/>
      <c r="LHP3" s="62"/>
      <c r="LHQ3" s="62"/>
      <c r="LHR3" s="62"/>
      <c r="LHS3" s="62"/>
      <c r="LHT3" s="62"/>
      <c r="LHU3" s="62"/>
      <c r="LHV3" s="62"/>
      <c r="LHW3" s="62"/>
      <c r="LHX3" s="62"/>
      <c r="LHY3" s="62"/>
      <c r="LHZ3" s="62"/>
      <c r="LIA3" s="62"/>
      <c r="LIB3" s="62"/>
      <c r="LIC3" s="62"/>
      <c r="LID3" s="62"/>
      <c r="LIE3" s="62"/>
      <c r="LIF3" s="62"/>
      <c r="LIG3" s="62"/>
      <c r="LIH3" s="62"/>
      <c r="LII3" s="62"/>
      <c r="LIJ3" s="62"/>
      <c r="LIK3" s="62"/>
      <c r="LIL3" s="62"/>
      <c r="LIM3" s="62"/>
      <c r="LIN3" s="62"/>
      <c r="LIO3" s="62"/>
      <c r="LIP3" s="62"/>
      <c r="LIQ3" s="62"/>
      <c r="LIR3" s="62"/>
      <c r="LIS3" s="62"/>
      <c r="LIT3" s="62"/>
      <c r="LIU3" s="62"/>
      <c r="LIV3" s="62"/>
      <c r="LIW3" s="62"/>
      <c r="LIX3" s="62"/>
      <c r="LIY3" s="62"/>
      <c r="LIZ3" s="62"/>
      <c r="LJA3" s="62"/>
      <c r="LJB3" s="62"/>
      <c r="LJC3" s="62"/>
      <c r="LJD3" s="62"/>
      <c r="LJE3" s="62"/>
      <c r="LJF3" s="62"/>
      <c r="LJG3" s="62"/>
      <c r="LJH3" s="62"/>
      <c r="LJI3" s="62"/>
      <c r="LJJ3" s="62"/>
      <c r="LJK3" s="62"/>
      <c r="LJL3" s="62"/>
      <c r="LJM3" s="62"/>
      <c r="LJN3" s="62"/>
      <c r="LJO3" s="62"/>
      <c r="LJP3" s="62"/>
      <c r="LJQ3" s="62"/>
      <c r="LJR3" s="62"/>
      <c r="LJS3" s="62"/>
      <c r="LJT3" s="62"/>
      <c r="LJU3" s="62"/>
      <c r="LJV3" s="62"/>
      <c r="LJW3" s="62"/>
      <c r="LJX3" s="62"/>
      <c r="LJY3" s="62"/>
      <c r="LJZ3" s="62"/>
      <c r="LKA3" s="62"/>
      <c r="LKB3" s="62"/>
      <c r="LKC3" s="62"/>
      <c r="LKD3" s="62"/>
      <c r="LKE3" s="62"/>
      <c r="LKF3" s="62"/>
      <c r="LKG3" s="62"/>
      <c r="LKH3" s="62"/>
      <c r="LKI3" s="62"/>
      <c r="LKJ3" s="62"/>
      <c r="LKK3" s="62"/>
      <c r="LKL3" s="62"/>
      <c r="LKM3" s="62"/>
      <c r="LKN3" s="62"/>
      <c r="LKO3" s="62"/>
      <c r="LKP3" s="62"/>
      <c r="LKQ3" s="62"/>
      <c r="LKR3" s="62"/>
      <c r="LKS3" s="62"/>
      <c r="LKT3" s="62"/>
      <c r="LKU3" s="62"/>
      <c r="LKV3" s="62"/>
      <c r="LKW3" s="62"/>
      <c r="LKX3" s="62"/>
      <c r="LKY3" s="62"/>
      <c r="LKZ3" s="62"/>
      <c r="LLA3" s="62"/>
      <c r="LLB3" s="62"/>
      <c r="LLC3" s="62"/>
      <c r="LLD3" s="62"/>
      <c r="LLE3" s="62"/>
      <c r="LLF3" s="62"/>
      <c r="LLG3" s="62"/>
      <c r="LLH3" s="62"/>
      <c r="LLI3" s="62"/>
      <c r="LLJ3" s="62"/>
      <c r="LLK3" s="62"/>
      <c r="LLL3" s="62"/>
      <c r="LLM3" s="62"/>
      <c r="LLN3" s="62"/>
      <c r="LLO3" s="62"/>
      <c r="LLP3" s="62"/>
      <c r="LLQ3" s="62"/>
      <c r="LLR3" s="62"/>
      <c r="LLS3" s="62"/>
      <c r="LLT3" s="62"/>
      <c r="LLU3" s="62"/>
      <c r="LLV3" s="62"/>
      <c r="LLW3" s="62"/>
      <c r="LLX3" s="62"/>
      <c r="LLY3" s="62"/>
      <c r="LLZ3" s="62"/>
      <c r="LMA3" s="62"/>
      <c r="LMB3" s="62"/>
      <c r="LMC3" s="62"/>
      <c r="LMD3" s="62"/>
      <c r="LME3" s="62"/>
      <c r="LMF3" s="62"/>
      <c r="LMG3" s="62"/>
      <c r="LMH3" s="62"/>
      <c r="LMI3" s="62"/>
      <c r="LMJ3" s="62"/>
      <c r="LMK3" s="62"/>
      <c r="LML3" s="62"/>
      <c r="LMM3" s="62"/>
      <c r="LMN3" s="62"/>
      <c r="LMO3" s="62"/>
      <c r="LMP3" s="62"/>
      <c r="LMQ3" s="62"/>
      <c r="LMR3" s="62"/>
      <c r="LMS3" s="62"/>
      <c r="LMT3" s="62"/>
      <c r="LMU3" s="62"/>
      <c r="LMV3" s="62"/>
      <c r="LMW3" s="62"/>
      <c r="LMX3" s="62"/>
      <c r="LMY3" s="62"/>
      <c r="LMZ3" s="62"/>
      <c r="LNA3" s="62"/>
      <c r="LNB3" s="62"/>
      <c r="LNC3" s="62"/>
      <c r="LND3" s="62"/>
      <c r="LNE3" s="62"/>
      <c r="LNF3" s="62"/>
      <c r="LNG3" s="62"/>
      <c r="LNH3" s="62"/>
      <c r="LNI3" s="62"/>
      <c r="LNJ3" s="62"/>
      <c r="LNK3" s="62"/>
      <c r="LNL3" s="62"/>
      <c r="LNM3" s="62"/>
      <c r="LNN3" s="62"/>
      <c r="LNO3" s="62"/>
      <c r="LNP3" s="62"/>
      <c r="LNQ3" s="62"/>
      <c r="LNR3" s="62"/>
      <c r="LNS3" s="62"/>
      <c r="LNT3" s="62"/>
      <c r="LNU3" s="62"/>
      <c r="LNV3" s="62"/>
      <c r="LNW3" s="62"/>
      <c r="LNX3" s="62"/>
      <c r="LNY3" s="62"/>
      <c r="LNZ3" s="62"/>
      <c r="LOA3" s="62"/>
      <c r="LOB3" s="62"/>
      <c r="LOC3" s="62"/>
      <c r="LOD3" s="62"/>
      <c r="LOE3" s="62"/>
      <c r="LOF3" s="62"/>
      <c r="LOG3" s="62"/>
      <c r="LOH3" s="62"/>
      <c r="LOI3" s="62"/>
      <c r="LOJ3" s="62"/>
      <c r="LOK3" s="62"/>
      <c r="LOL3" s="62"/>
      <c r="LOM3" s="62"/>
      <c r="LON3" s="62"/>
      <c r="LOO3" s="62"/>
      <c r="LOP3" s="62"/>
      <c r="LOQ3" s="62"/>
      <c r="LOR3" s="62"/>
      <c r="LOS3" s="62"/>
      <c r="LOT3" s="62"/>
      <c r="LOU3" s="62"/>
      <c r="LOV3" s="62"/>
      <c r="LOW3" s="62"/>
      <c r="LOX3" s="62"/>
      <c r="LOY3" s="62"/>
      <c r="LOZ3" s="62"/>
      <c r="LPA3" s="62"/>
      <c r="LPB3" s="62"/>
      <c r="LPC3" s="62"/>
      <c r="LPD3" s="62"/>
      <c r="LPE3" s="62"/>
      <c r="LPF3" s="62"/>
      <c r="LPG3" s="62"/>
      <c r="LPH3" s="62"/>
      <c r="LPI3" s="62"/>
      <c r="LPJ3" s="62"/>
      <c r="LPK3" s="62"/>
      <c r="LPL3" s="62"/>
      <c r="LPM3" s="62"/>
      <c r="LPN3" s="62"/>
      <c r="LPO3" s="62"/>
      <c r="LPP3" s="62"/>
      <c r="LPQ3" s="62"/>
      <c r="LPR3" s="62"/>
      <c r="LPS3" s="62"/>
      <c r="LPT3" s="62"/>
      <c r="LPU3" s="62"/>
      <c r="LPV3" s="62"/>
      <c r="LPW3" s="62"/>
      <c r="LPX3" s="62"/>
      <c r="LPY3" s="62"/>
      <c r="LPZ3" s="62"/>
      <c r="LQA3" s="62"/>
      <c r="LQB3" s="62"/>
      <c r="LQC3" s="62"/>
      <c r="LQD3" s="62"/>
      <c r="LQE3" s="62"/>
      <c r="LQF3" s="62"/>
      <c r="LQG3" s="62"/>
      <c r="LQH3" s="62"/>
      <c r="LQI3" s="62"/>
      <c r="LQJ3" s="62"/>
      <c r="LQK3" s="62"/>
      <c r="LQL3" s="62"/>
      <c r="LQM3" s="62"/>
      <c r="LQN3" s="62"/>
      <c r="LQO3" s="62"/>
      <c r="LQP3" s="62"/>
      <c r="LQQ3" s="62"/>
      <c r="LQR3" s="62"/>
      <c r="LQS3" s="62"/>
      <c r="LQT3" s="62"/>
      <c r="LQU3" s="62"/>
      <c r="LQV3" s="62"/>
      <c r="LQW3" s="62"/>
      <c r="LQX3" s="62"/>
      <c r="LQY3" s="62"/>
      <c r="LQZ3" s="62"/>
      <c r="LRA3" s="62"/>
      <c r="LRB3" s="62"/>
      <c r="LRC3" s="62"/>
      <c r="LRD3" s="62"/>
      <c r="LRE3" s="62"/>
      <c r="LRF3" s="62"/>
      <c r="LRG3" s="62"/>
      <c r="LRH3" s="62"/>
      <c r="LRI3" s="62"/>
      <c r="LRJ3" s="62"/>
      <c r="LRK3" s="62"/>
      <c r="LRL3" s="62"/>
      <c r="LRM3" s="62"/>
      <c r="LRN3" s="62"/>
      <c r="LRO3" s="62"/>
      <c r="LRP3" s="62"/>
      <c r="LRQ3" s="62"/>
      <c r="LRR3" s="62"/>
      <c r="LRS3" s="62"/>
      <c r="LRT3" s="62"/>
      <c r="LRU3" s="62"/>
      <c r="LRV3" s="62"/>
      <c r="LRW3" s="62"/>
      <c r="LRX3" s="62"/>
      <c r="LRY3" s="62"/>
      <c r="LRZ3" s="62"/>
      <c r="LSA3" s="62"/>
      <c r="LSB3" s="62"/>
      <c r="LSC3" s="62"/>
      <c r="LSD3" s="62"/>
      <c r="LSE3" s="62"/>
      <c r="LSF3" s="62"/>
      <c r="LSG3" s="62"/>
      <c r="LSH3" s="62"/>
      <c r="LSI3" s="62"/>
      <c r="LSJ3" s="62"/>
      <c r="LSK3" s="62"/>
      <c r="LSL3" s="62"/>
      <c r="LSM3" s="62"/>
      <c r="LSN3" s="62"/>
      <c r="LSO3" s="62"/>
      <c r="LSP3" s="62"/>
      <c r="LSQ3" s="62"/>
      <c r="LSR3" s="62"/>
      <c r="LSS3" s="62"/>
      <c r="LST3" s="62"/>
      <c r="LSU3" s="62"/>
      <c r="LSV3" s="62"/>
      <c r="LSW3" s="62"/>
      <c r="LSX3" s="62"/>
      <c r="LSY3" s="62"/>
      <c r="LSZ3" s="62"/>
      <c r="LTA3" s="62"/>
      <c r="LTB3" s="62"/>
      <c r="LTC3" s="62"/>
      <c r="LTD3" s="62"/>
      <c r="LTE3" s="62"/>
      <c r="LTF3" s="62"/>
      <c r="LTG3" s="62"/>
      <c r="LTH3" s="62"/>
      <c r="LTI3" s="62"/>
      <c r="LTJ3" s="62"/>
      <c r="LTK3" s="62"/>
      <c r="LTL3" s="62"/>
      <c r="LTM3" s="62"/>
      <c r="LTN3" s="62"/>
      <c r="LTO3" s="62"/>
      <c r="LTP3" s="62"/>
      <c r="LTQ3" s="62"/>
      <c r="LTR3" s="62"/>
      <c r="LTS3" s="62"/>
      <c r="LTT3" s="62"/>
      <c r="LTU3" s="62"/>
      <c r="LTV3" s="62"/>
      <c r="LTW3" s="62"/>
      <c r="LTX3" s="62"/>
      <c r="LTY3" s="62"/>
      <c r="LTZ3" s="62"/>
      <c r="LUA3" s="62"/>
      <c r="LUB3" s="62"/>
      <c r="LUC3" s="62"/>
      <c r="LUD3" s="62"/>
      <c r="LUE3" s="62"/>
      <c r="LUF3" s="62"/>
      <c r="LUG3" s="62"/>
      <c r="LUH3" s="62"/>
      <c r="LUI3" s="62"/>
      <c r="LUJ3" s="62"/>
      <c r="LUK3" s="62"/>
      <c r="LUL3" s="62"/>
      <c r="LUM3" s="62"/>
      <c r="LUN3" s="62"/>
      <c r="LUO3" s="62"/>
      <c r="LUP3" s="62"/>
      <c r="LUQ3" s="62"/>
      <c r="LUR3" s="62"/>
      <c r="LUS3" s="62"/>
      <c r="LUT3" s="62"/>
      <c r="LUU3" s="62"/>
      <c r="LUV3" s="62"/>
      <c r="LUW3" s="62"/>
      <c r="LUX3" s="62"/>
      <c r="LUY3" s="62"/>
      <c r="LUZ3" s="62"/>
      <c r="LVA3" s="62"/>
      <c r="LVB3" s="62"/>
      <c r="LVC3" s="62"/>
      <c r="LVD3" s="62"/>
      <c r="LVE3" s="62"/>
      <c r="LVF3" s="62"/>
      <c r="LVG3" s="62"/>
      <c r="LVH3" s="62"/>
      <c r="LVI3" s="62"/>
      <c r="LVJ3" s="62"/>
      <c r="LVK3" s="62"/>
      <c r="LVL3" s="62"/>
      <c r="LVM3" s="62"/>
      <c r="LVN3" s="62"/>
      <c r="LVO3" s="62"/>
      <c r="LVP3" s="62"/>
      <c r="LVQ3" s="62"/>
      <c r="LVR3" s="62"/>
      <c r="LVS3" s="62"/>
      <c r="LVT3" s="62"/>
      <c r="LVU3" s="62"/>
      <c r="LVV3" s="62"/>
      <c r="LVW3" s="62"/>
      <c r="LVX3" s="62"/>
      <c r="LVY3" s="62"/>
      <c r="LVZ3" s="62"/>
      <c r="LWA3" s="62"/>
      <c r="LWB3" s="62"/>
      <c r="LWC3" s="62"/>
      <c r="LWD3" s="62"/>
      <c r="LWE3" s="62"/>
      <c r="LWF3" s="62"/>
      <c r="LWG3" s="62"/>
      <c r="LWH3" s="62"/>
      <c r="LWI3" s="62"/>
      <c r="LWJ3" s="62"/>
      <c r="LWK3" s="62"/>
      <c r="LWL3" s="62"/>
      <c r="LWM3" s="62"/>
      <c r="LWN3" s="62"/>
      <c r="LWO3" s="62"/>
      <c r="LWP3" s="62"/>
      <c r="LWQ3" s="62"/>
      <c r="LWR3" s="62"/>
      <c r="LWS3" s="62"/>
      <c r="LWT3" s="62"/>
      <c r="LWU3" s="62"/>
      <c r="LWV3" s="62"/>
      <c r="LWW3" s="62"/>
      <c r="LWX3" s="62"/>
      <c r="LWY3" s="62"/>
      <c r="LWZ3" s="62"/>
      <c r="LXA3" s="62"/>
      <c r="LXB3" s="62"/>
      <c r="LXC3" s="62"/>
      <c r="LXD3" s="62"/>
      <c r="LXE3" s="62"/>
      <c r="LXF3" s="62"/>
      <c r="LXG3" s="62"/>
      <c r="LXH3" s="62"/>
      <c r="LXI3" s="62"/>
      <c r="LXJ3" s="62"/>
      <c r="LXK3" s="62"/>
      <c r="LXL3" s="62"/>
      <c r="LXM3" s="62"/>
      <c r="LXN3" s="62"/>
      <c r="LXO3" s="62"/>
      <c r="LXP3" s="62"/>
      <c r="LXQ3" s="62"/>
      <c r="LXR3" s="62"/>
      <c r="LXS3" s="62"/>
      <c r="LXT3" s="62"/>
      <c r="LXU3" s="62"/>
      <c r="LXV3" s="62"/>
      <c r="LXW3" s="62"/>
      <c r="LXX3" s="62"/>
      <c r="LXY3" s="62"/>
      <c r="LXZ3" s="62"/>
      <c r="LYA3" s="62"/>
      <c r="LYB3" s="62"/>
      <c r="LYC3" s="62"/>
      <c r="LYD3" s="62"/>
      <c r="LYE3" s="62"/>
      <c r="LYF3" s="62"/>
      <c r="LYG3" s="62"/>
      <c r="LYH3" s="62"/>
      <c r="LYI3" s="62"/>
      <c r="LYJ3" s="62"/>
      <c r="LYK3" s="62"/>
      <c r="LYL3" s="62"/>
      <c r="LYM3" s="62"/>
      <c r="LYN3" s="62"/>
      <c r="LYO3" s="62"/>
      <c r="LYP3" s="62"/>
      <c r="LYQ3" s="62"/>
      <c r="LYR3" s="62"/>
      <c r="LYS3" s="62"/>
      <c r="LYT3" s="62"/>
      <c r="LYU3" s="62"/>
      <c r="LYV3" s="62"/>
      <c r="LYW3" s="62"/>
      <c r="LYX3" s="62"/>
      <c r="LYY3" s="62"/>
      <c r="LYZ3" s="62"/>
      <c r="LZA3" s="62"/>
      <c r="LZB3" s="62"/>
      <c r="LZC3" s="62"/>
      <c r="LZD3" s="62"/>
      <c r="LZE3" s="62"/>
      <c r="LZF3" s="62"/>
      <c r="LZG3" s="62"/>
      <c r="LZH3" s="62"/>
      <c r="LZI3" s="62"/>
      <c r="LZJ3" s="62"/>
      <c r="LZK3" s="62"/>
      <c r="LZL3" s="62"/>
      <c r="LZM3" s="62"/>
      <c r="LZN3" s="62"/>
      <c r="LZO3" s="62"/>
      <c r="LZP3" s="62"/>
      <c r="LZQ3" s="62"/>
      <c r="LZR3" s="62"/>
      <c r="LZS3" s="62"/>
      <c r="LZT3" s="62"/>
      <c r="LZU3" s="62"/>
      <c r="LZV3" s="62"/>
      <c r="LZW3" s="62"/>
      <c r="LZX3" s="62"/>
      <c r="LZY3" s="62"/>
      <c r="LZZ3" s="62"/>
      <c r="MAA3" s="62"/>
      <c r="MAB3" s="62"/>
      <c r="MAC3" s="62"/>
      <c r="MAD3" s="62"/>
      <c r="MAE3" s="62"/>
      <c r="MAF3" s="62"/>
      <c r="MAG3" s="62"/>
      <c r="MAH3" s="62"/>
      <c r="MAI3" s="62"/>
      <c r="MAJ3" s="62"/>
      <c r="MAK3" s="62"/>
      <c r="MAL3" s="62"/>
      <c r="MAM3" s="62"/>
      <c r="MAN3" s="62"/>
      <c r="MAO3" s="62"/>
      <c r="MAP3" s="62"/>
      <c r="MAQ3" s="62"/>
      <c r="MAR3" s="62"/>
      <c r="MAS3" s="62"/>
      <c r="MAT3" s="62"/>
      <c r="MAU3" s="62"/>
      <c r="MAV3" s="62"/>
      <c r="MAW3" s="62"/>
      <c r="MAX3" s="62"/>
      <c r="MAY3" s="62"/>
      <c r="MAZ3" s="62"/>
      <c r="MBA3" s="62"/>
      <c r="MBB3" s="62"/>
      <c r="MBC3" s="62"/>
      <c r="MBD3" s="62"/>
      <c r="MBE3" s="62"/>
      <c r="MBF3" s="62"/>
      <c r="MBG3" s="62"/>
      <c r="MBH3" s="62"/>
      <c r="MBI3" s="62"/>
      <c r="MBJ3" s="62"/>
      <c r="MBK3" s="62"/>
      <c r="MBL3" s="62"/>
      <c r="MBM3" s="62"/>
      <c r="MBN3" s="62"/>
      <c r="MBO3" s="62"/>
      <c r="MBP3" s="62"/>
      <c r="MBQ3" s="62"/>
      <c r="MBR3" s="62"/>
      <c r="MBS3" s="62"/>
      <c r="MBT3" s="62"/>
      <c r="MBU3" s="62"/>
      <c r="MBV3" s="62"/>
      <c r="MBW3" s="62"/>
      <c r="MBX3" s="62"/>
      <c r="MBY3" s="62"/>
      <c r="MBZ3" s="62"/>
      <c r="MCA3" s="62"/>
      <c r="MCB3" s="62"/>
      <c r="MCC3" s="62"/>
      <c r="MCD3" s="62"/>
      <c r="MCE3" s="62"/>
      <c r="MCF3" s="62"/>
      <c r="MCG3" s="62"/>
      <c r="MCH3" s="62"/>
      <c r="MCI3" s="62"/>
      <c r="MCJ3" s="62"/>
      <c r="MCK3" s="62"/>
      <c r="MCL3" s="62"/>
      <c r="MCM3" s="62"/>
      <c r="MCN3" s="62"/>
      <c r="MCO3" s="62"/>
      <c r="MCP3" s="62"/>
      <c r="MCQ3" s="62"/>
      <c r="MCR3" s="62"/>
      <c r="MCS3" s="62"/>
      <c r="MCT3" s="62"/>
      <c r="MCU3" s="62"/>
      <c r="MCV3" s="62"/>
      <c r="MCW3" s="62"/>
      <c r="MCX3" s="62"/>
      <c r="MCY3" s="62"/>
      <c r="MCZ3" s="62"/>
      <c r="MDA3" s="62"/>
      <c r="MDB3" s="62"/>
      <c r="MDC3" s="62"/>
      <c r="MDD3" s="62"/>
      <c r="MDE3" s="62"/>
      <c r="MDF3" s="62"/>
      <c r="MDG3" s="62"/>
      <c r="MDH3" s="62"/>
      <c r="MDI3" s="62"/>
      <c r="MDJ3" s="62"/>
      <c r="MDK3" s="62"/>
      <c r="MDL3" s="62"/>
      <c r="MDM3" s="62"/>
      <c r="MDN3" s="62"/>
      <c r="MDO3" s="62"/>
      <c r="MDP3" s="62"/>
      <c r="MDQ3" s="62"/>
      <c r="MDR3" s="62"/>
      <c r="MDS3" s="62"/>
      <c r="MDT3" s="62"/>
      <c r="MDU3" s="62"/>
      <c r="MDV3" s="62"/>
      <c r="MDW3" s="62"/>
      <c r="MDX3" s="62"/>
      <c r="MDY3" s="62"/>
      <c r="MDZ3" s="62"/>
      <c r="MEA3" s="62"/>
      <c r="MEB3" s="62"/>
      <c r="MEC3" s="62"/>
      <c r="MED3" s="62"/>
      <c r="MEE3" s="62"/>
      <c r="MEF3" s="62"/>
      <c r="MEG3" s="62"/>
      <c r="MEH3" s="62"/>
      <c r="MEI3" s="62"/>
      <c r="MEJ3" s="62"/>
      <c r="MEK3" s="62"/>
      <c r="MEL3" s="62"/>
      <c r="MEM3" s="62"/>
      <c r="MEN3" s="62"/>
      <c r="MEO3" s="62"/>
      <c r="MEP3" s="62"/>
      <c r="MEQ3" s="62"/>
      <c r="MER3" s="62"/>
      <c r="MES3" s="62"/>
      <c r="MET3" s="62"/>
      <c r="MEU3" s="62"/>
      <c r="MEV3" s="62"/>
      <c r="MEW3" s="62"/>
      <c r="MEX3" s="62"/>
      <c r="MEY3" s="62"/>
      <c r="MEZ3" s="62"/>
      <c r="MFA3" s="62"/>
      <c r="MFB3" s="62"/>
      <c r="MFC3" s="62"/>
      <c r="MFD3" s="62"/>
      <c r="MFE3" s="62"/>
      <c r="MFF3" s="62"/>
      <c r="MFG3" s="62"/>
      <c r="MFH3" s="62"/>
      <c r="MFI3" s="62"/>
      <c r="MFJ3" s="62"/>
      <c r="MFK3" s="62"/>
      <c r="MFL3" s="62"/>
      <c r="MFM3" s="62"/>
      <c r="MFN3" s="62"/>
      <c r="MFO3" s="62"/>
      <c r="MFP3" s="62"/>
      <c r="MFQ3" s="62"/>
      <c r="MFR3" s="62"/>
      <c r="MFS3" s="62"/>
      <c r="MFT3" s="62"/>
      <c r="MFU3" s="62"/>
      <c r="MFV3" s="62"/>
      <c r="MFW3" s="62"/>
      <c r="MFX3" s="62"/>
      <c r="MFY3" s="62"/>
      <c r="MFZ3" s="62"/>
      <c r="MGA3" s="62"/>
      <c r="MGB3" s="62"/>
      <c r="MGC3" s="62"/>
      <c r="MGD3" s="62"/>
      <c r="MGE3" s="62"/>
      <c r="MGF3" s="62"/>
      <c r="MGG3" s="62"/>
      <c r="MGH3" s="62"/>
      <c r="MGI3" s="62"/>
      <c r="MGJ3" s="62"/>
      <c r="MGK3" s="62"/>
      <c r="MGL3" s="62"/>
      <c r="MGM3" s="62"/>
      <c r="MGN3" s="62"/>
      <c r="MGO3" s="62"/>
      <c r="MGP3" s="62"/>
      <c r="MGQ3" s="62"/>
      <c r="MGR3" s="62"/>
      <c r="MGS3" s="62"/>
      <c r="MGT3" s="62"/>
      <c r="MGU3" s="62"/>
      <c r="MGV3" s="62"/>
      <c r="MGW3" s="62"/>
      <c r="MGX3" s="62"/>
      <c r="MGY3" s="62"/>
      <c r="MGZ3" s="62"/>
      <c r="MHA3" s="62"/>
      <c r="MHB3" s="62"/>
      <c r="MHC3" s="62"/>
      <c r="MHD3" s="62"/>
      <c r="MHE3" s="62"/>
      <c r="MHF3" s="62"/>
      <c r="MHG3" s="62"/>
      <c r="MHH3" s="62"/>
      <c r="MHI3" s="62"/>
      <c r="MHJ3" s="62"/>
      <c r="MHK3" s="62"/>
      <c r="MHL3" s="62"/>
      <c r="MHM3" s="62"/>
      <c r="MHN3" s="62"/>
      <c r="MHO3" s="62"/>
      <c r="MHP3" s="62"/>
      <c r="MHQ3" s="62"/>
      <c r="MHR3" s="62"/>
      <c r="MHS3" s="62"/>
      <c r="MHT3" s="62"/>
      <c r="MHU3" s="62"/>
      <c r="MHV3" s="62"/>
      <c r="MHW3" s="62"/>
      <c r="MHX3" s="62"/>
      <c r="MHY3" s="62"/>
      <c r="MHZ3" s="62"/>
      <c r="MIA3" s="62"/>
      <c r="MIB3" s="62"/>
      <c r="MIC3" s="62"/>
      <c r="MID3" s="62"/>
      <c r="MIE3" s="62"/>
      <c r="MIF3" s="62"/>
      <c r="MIG3" s="62"/>
      <c r="MIH3" s="62"/>
      <c r="MII3" s="62"/>
      <c r="MIJ3" s="62"/>
      <c r="MIK3" s="62"/>
      <c r="MIL3" s="62"/>
      <c r="MIM3" s="62"/>
      <c r="MIN3" s="62"/>
      <c r="MIO3" s="62"/>
      <c r="MIP3" s="62"/>
      <c r="MIQ3" s="62"/>
      <c r="MIR3" s="62"/>
      <c r="MIS3" s="62"/>
      <c r="MIT3" s="62"/>
      <c r="MIU3" s="62"/>
      <c r="MIV3" s="62"/>
      <c r="MIW3" s="62"/>
      <c r="MIX3" s="62"/>
      <c r="MIY3" s="62"/>
      <c r="MIZ3" s="62"/>
      <c r="MJA3" s="62"/>
      <c r="MJB3" s="62"/>
      <c r="MJC3" s="62"/>
      <c r="MJD3" s="62"/>
      <c r="MJE3" s="62"/>
      <c r="MJF3" s="62"/>
      <c r="MJG3" s="62"/>
      <c r="MJH3" s="62"/>
      <c r="MJI3" s="62"/>
      <c r="MJJ3" s="62"/>
      <c r="MJK3" s="62"/>
      <c r="MJL3" s="62"/>
      <c r="MJM3" s="62"/>
      <c r="MJN3" s="62"/>
      <c r="MJO3" s="62"/>
      <c r="MJP3" s="62"/>
      <c r="MJQ3" s="62"/>
      <c r="MJR3" s="62"/>
      <c r="MJS3" s="62"/>
      <c r="MJT3" s="62"/>
      <c r="MJU3" s="62"/>
      <c r="MJV3" s="62"/>
      <c r="MJW3" s="62"/>
      <c r="MJX3" s="62"/>
      <c r="MJY3" s="62"/>
      <c r="MJZ3" s="62"/>
      <c r="MKA3" s="62"/>
      <c r="MKB3" s="62"/>
      <c r="MKC3" s="62"/>
      <c r="MKD3" s="62"/>
      <c r="MKE3" s="62"/>
      <c r="MKF3" s="62"/>
      <c r="MKG3" s="62"/>
      <c r="MKH3" s="62"/>
      <c r="MKI3" s="62"/>
      <c r="MKJ3" s="62"/>
      <c r="MKK3" s="62"/>
      <c r="MKL3" s="62"/>
      <c r="MKM3" s="62"/>
      <c r="MKN3" s="62"/>
      <c r="MKO3" s="62"/>
      <c r="MKP3" s="62"/>
      <c r="MKQ3" s="62"/>
      <c r="MKR3" s="62"/>
      <c r="MKS3" s="62"/>
      <c r="MKT3" s="62"/>
      <c r="MKU3" s="62"/>
      <c r="MKV3" s="62"/>
      <c r="MKW3" s="62"/>
      <c r="MKX3" s="62"/>
      <c r="MKY3" s="62"/>
      <c r="MKZ3" s="62"/>
      <c r="MLA3" s="62"/>
      <c r="MLB3" s="62"/>
      <c r="MLC3" s="62"/>
      <c r="MLD3" s="62"/>
      <c r="MLE3" s="62"/>
      <c r="MLF3" s="62"/>
      <c r="MLG3" s="62"/>
      <c r="MLH3" s="62"/>
      <c r="MLI3" s="62"/>
      <c r="MLJ3" s="62"/>
      <c r="MLK3" s="62"/>
      <c r="MLL3" s="62"/>
      <c r="MLM3" s="62"/>
      <c r="MLN3" s="62"/>
      <c r="MLO3" s="62"/>
      <c r="MLP3" s="62"/>
      <c r="MLQ3" s="62"/>
      <c r="MLR3" s="62"/>
      <c r="MLS3" s="62"/>
      <c r="MLT3" s="62"/>
      <c r="MLU3" s="62"/>
      <c r="MLV3" s="62"/>
      <c r="MLW3" s="62"/>
      <c r="MLX3" s="62"/>
      <c r="MLY3" s="62"/>
      <c r="MLZ3" s="62"/>
      <c r="MMA3" s="62"/>
      <c r="MMB3" s="62"/>
      <c r="MMC3" s="62"/>
      <c r="MMD3" s="62"/>
      <c r="MME3" s="62"/>
      <c r="MMF3" s="62"/>
      <c r="MMG3" s="62"/>
      <c r="MMH3" s="62"/>
      <c r="MMI3" s="62"/>
      <c r="MMJ3" s="62"/>
      <c r="MMK3" s="62"/>
      <c r="MML3" s="62"/>
      <c r="MMM3" s="62"/>
      <c r="MMN3" s="62"/>
      <c r="MMO3" s="62"/>
      <c r="MMP3" s="62"/>
      <c r="MMQ3" s="62"/>
      <c r="MMR3" s="62"/>
      <c r="MMS3" s="62"/>
      <c r="MMT3" s="62"/>
      <c r="MMU3" s="62"/>
      <c r="MMV3" s="62"/>
      <c r="MMW3" s="62"/>
      <c r="MMX3" s="62"/>
      <c r="MMY3" s="62"/>
      <c r="MMZ3" s="62"/>
      <c r="MNA3" s="62"/>
      <c r="MNB3" s="62"/>
      <c r="MNC3" s="62"/>
      <c r="MND3" s="62"/>
      <c r="MNE3" s="62"/>
      <c r="MNF3" s="62"/>
      <c r="MNG3" s="62"/>
      <c r="MNH3" s="62"/>
      <c r="MNI3" s="62"/>
      <c r="MNJ3" s="62"/>
      <c r="MNK3" s="62"/>
      <c r="MNL3" s="62"/>
      <c r="MNM3" s="62"/>
      <c r="MNN3" s="62"/>
      <c r="MNO3" s="62"/>
      <c r="MNP3" s="62"/>
      <c r="MNQ3" s="62"/>
      <c r="MNR3" s="62"/>
      <c r="MNS3" s="62"/>
      <c r="MNT3" s="62"/>
      <c r="MNU3" s="62"/>
      <c r="MNV3" s="62"/>
      <c r="MNW3" s="62"/>
      <c r="MNX3" s="62"/>
      <c r="MNY3" s="62"/>
      <c r="MNZ3" s="62"/>
      <c r="MOA3" s="62"/>
      <c r="MOB3" s="62"/>
      <c r="MOC3" s="62"/>
      <c r="MOD3" s="62"/>
      <c r="MOE3" s="62"/>
      <c r="MOF3" s="62"/>
      <c r="MOG3" s="62"/>
      <c r="MOH3" s="62"/>
      <c r="MOI3" s="62"/>
      <c r="MOJ3" s="62"/>
      <c r="MOK3" s="62"/>
      <c r="MOL3" s="62"/>
      <c r="MOM3" s="62"/>
      <c r="MON3" s="62"/>
      <c r="MOO3" s="62"/>
      <c r="MOP3" s="62"/>
      <c r="MOQ3" s="62"/>
      <c r="MOR3" s="62"/>
      <c r="MOS3" s="62"/>
      <c r="MOT3" s="62"/>
      <c r="MOU3" s="62"/>
      <c r="MOV3" s="62"/>
      <c r="MOW3" s="62"/>
      <c r="MOX3" s="62"/>
      <c r="MOY3" s="62"/>
      <c r="MOZ3" s="62"/>
      <c r="MPA3" s="62"/>
      <c r="MPB3" s="62"/>
      <c r="MPC3" s="62"/>
      <c r="MPD3" s="62"/>
      <c r="MPE3" s="62"/>
      <c r="MPF3" s="62"/>
      <c r="MPG3" s="62"/>
      <c r="MPH3" s="62"/>
      <c r="MPI3" s="62"/>
      <c r="MPJ3" s="62"/>
      <c r="MPK3" s="62"/>
      <c r="MPL3" s="62"/>
      <c r="MPM3" s="62"/>
      <c r="MPN3" s="62"/>
      <c r="MPO3" s="62"/>
      <c r="MPP3" s="62"/>
      <c r="MPQ3" s="62"/>
      <c r="MPR3" s="62"/>
      <c r="MPS3" s="62"/>
      <c r="MPT3" s="62"/>
      <c r="MPU3" s="62"/>
      <c r="MPV3" s="62"/>
      <c r="MPW3" s="62"/>
      <c r="MPX3" s="62"/>
      <c r="MPY3" s="62"/>
      <c r="MPZ3" s="62"/>
      <c r="MQA3" s="62"/>
      <c r="MQB3" s="62"/>
      <c r="MQC3" s="62"/>
      <c r="MQD3" s="62"/>
      <c r="MQE3" s="62"/>
      <c r="MQF3" s="62"/>
      <c r="MQG3" s="62"/>
      <c r="MQH3" s="62"/>
      <c r="MQI3" s="62"/>
      <c r="MQJ3" s="62"/>
      <c r="MQK3" s="62"/>
      <c r="MQL3" s="62"/>
      <c r="MQM3" s="62"/>
      <c r="MQN3" s="62"/>
      <c r="MQO3" s="62"/>
      <c r="MQP3" s="62"/>
      <c r="MQQ3" s="62"/>
      <c r="MQR3" s="62"/>
      <c r="MQS3" s="62"/>
      <c r="MQT3" s="62"/>
      <c r="MQU3" s="62"/>
      <c r="MQV3" s="62"/>
      <c r="MQW3" s="62"/>
      <c r="MQX3" s="62"/>
      <c r="MQY3" s="62"/>
      <c r="MQZ3" s="62"/>
      <c r="MRA3" s="62"/>
      <c r="MRB3" s="62"/>
      <c r="MRC3" s="62"/>
      <c r="MRD3" s="62"/>
      <c r="MRE3" s="62"/>
      <c r="MRF3" s="62"/>
      <c r="MRG3" s="62"/>
      <c r="MRH3" s="62"/>
      <c r="MRI3" s="62"/>
      <c r="MRJ3" s="62"/>
      <c r="MRK3" s="62"/>
      <c r="MRL3" s="62"/>
      <c r="MRM3" s="62"/>
      <c r="MRN3" s="62"/>
      <c r="MRO3" s="62"/>
      <c r="MRP3" s="62"/>
      <c r="MRQ3" s="62"/>
      <c r="MRR3" s="62"/>
      <c r="MRS3" s="62"/>
      <c r="MRT3" s="62"/>
      <c r="MRU3" s="62"/>
      <c r="MRV3" s="62"/>
      <c r="MRW3" s="62"/>
      <c r="MRX3" s="62"/>
      <c r="MRY3" s="62"/>
      <c r="MRZ3" s="62"/>
      <c r="MSA3" s="62"/>
      <c r="MSB3" s="62"/>
      <c r="MSC3" s="62"/>
      <c r="MSD3" s="62"/>
      <c r="MSE3" s="62"/>
      <c r="MSF3" s="62"/>
      <c r="MSG3" s="62"/>
      <c r="MSH3" s="62"/>
      <c r="MSI3" s="62"/>
      <c r="MSJ3" s="62"/>
      <c r="MSK3" s="62"/>
      <c r="MSL3" s="62"/>
      <c r="MSM3" s="62"/>
      <c r="MSN3" s="62"/>
      <c r="MSO3" s="62"/>
      <c r="MSP3" s="62"/>
      <c r="MSQ3" s="62"/>
      <c r="MSR3" s="62"/>
      <c r="MSS3" s="62"/>
      <c r="MST3" s="62"/>
      <c r="MSU3" s="62"/>
      <c r="MSV3" s="62"/>
      <c r="MSW3" s="62"/>
      <c r="MSX3" s="62"/>
      <c r="MSY3" s="62"/>
      <c r="MSZ3" s="62"/>
      <c r="MTA3" s="62"/>
      <c r="MTB3" s="62"/>
      <c r="MTC3" s="62"/>
      <c r="MTD3" s="62"/>
      <c r="MTE3" s="62"/>
      <c r="MTF3" s="62"/>
      <c r="MTG3" s="62"/>
      <c r="MTH3" s="62"/>
      <c r="MTI3" s="62"/>
      <c r="MTJ3" s="62"/>
      <c r="MTK3" s="62"/>
      <c r="MTL3" s="62"/>
      <c r="MTM3" s="62"/>
      <c r="MTN3" s="62"/>
      <c r="MTO3" s="62"/>
      <c r="MTP3" s="62"/>
      <c r="MTQ3" s="62"/>
      <c r="MTR3" s="62"/>
      <c r="MTS3" s="62"/>
      <c r="MTT3" s="62"/>
      <c r="MTU3" s="62"/>
      <c r="MTV3" s="62"/>
      <c r="MTW3" s="62"/>
      <c r="MTX3" s="62"/>
      <c r="MTY3" s="62"/>
      <c r="MTZ3" s="62"/>
      <c r="MUA3" s="62"/>
      <c r="MUB3" s="62"/>
      <c r="MUC3" s="62"/>
      <c r="MUD3" s="62"/>
      <c r="MUE3" s="62"/>
      <c r="MUF3" s="62"/>
      <c r="MUG3" s="62"/>
      <c r="MUH3" s="62"/>
      <c r="MUI3" s="62"/>
      <c r="MUJ3" s="62"/>
      <c r="MUK3" s="62"/>
      <c r="MUL3" s="62"/>
      <c r="MUM3" s="62"/>
      <c r="MUN3" s="62"/>
      <c r="MUO3" s="62"/>
      <c r="MUP3" s="62"/>
      <c r="MUQ3" s="62"/>
      <c r="MUR3" s="62"/>
      <c r="MUS3" s="62"/>
      <c r="MUT3" s="62"/>
      <c r="MUU3" s="62"/>
      <c r="MUV3" s="62"/>
      <c r="MUW3" s="62"/>
      <c r="MUX3" s="62"/>
      <c r="MUY3" s="62"/>
      <c r="MUZ3" s="62"/>
      <c r="MVA3" s="62"/>
      <c r="MVB3" s="62"/>
      <c r="MVC3" s="62"/>
      <c r="MVD3" s="62"/>
      <c r="MVE3" s="62"/>
      <c r="MVF3" s="62"/>
      <c r="MVG3" s="62"/>
      <c r="MVH3" s="62"/>
      <c r="MVI3" s="62"/>
      <c r="MVJ3" s="62"/>
      <c r="MVK3" s="62"/>
      <c r="MVL3" s="62"/>
      <c r="MVM3" s="62"/>
      <c r="MVN3" s="62"/>
      <c r="MVO3" s="62"/>
      <c r="MVP3" s="62"/>
      <c r="MVQ3" s="62"/>
      <c r="MVR3" s="62"/>
      <c r="MVS3" s="62"/>
      <c r="MVT3" s="62"/>
      <c r="MVU3" s="62"/>
      <c r="MVV3" s="62"/>
      <c r="MVW3" s="62"/>
      <c r="MVX3" s="62"/>
      <c r="MVY3" s="62"/>
      <c r="MVZ3" s="62"/>
      <c r="MWA3" s="62"/>
      <c r="MWB3" s="62"/>
      <c r="MWC3" s="62"/>
      <c r="MWD3" s="62"/>
      <c r="MWE3" s="62"/>
      <c r="MWF3" s="62"/>
      <c r="MWG3" s="62"/>
      <c r="MWH3" s="62"/>
      <c r="MWI3" s="62"/>
      <c r="MWJ3" s="62"/>
      <c r="MWK3" s="62"/>
      <c r="MWL3" s="62"/>
      <c r="MWM3" s="62"/>
      <c r="MWN3" s="62"/>
      <c r="MWO3" s="62"/>
      <c r="MWP3" s="62"/>
      <c r="MWQ3" s="62"/>
      <c r="MWR3" s="62"/>
      <c r="MWS3" s="62"/>
      <c r="MWT3" s="62"/>
      <c r="MWU3" s="62"/>
      <c r="MWV3" s="62"/>
      <c r="MWW3" s="62"/>
      <c r="MWX3" s="62"/>
      <c r="MWY3" s="62"/>
      <c r="MWZ3" s="62"/>
      <c r="MXA3" s="62"/>
      <c r="MXB3" s="62"/>
      <c r="MXC3" s="62"/>
      <c r="MXD3" s="62"/>
      <c r="MXE3" s="62"/>
      <c r="MXF3" s="62"/>
      <c r="MXG3" s="62"/>
      <c r="MXH3" s="62"/>
      <c r="MXI3" s="62"/>
      <c r="MXJ3" s="62"/>
      <c r="MXK3" s="62"/>
      <c r="MXL3" s="62"/>
      <c r="MXM3" s="62"/>
      <c r="MXN3" s="62"/>
      <c r="MXO3" s="62"/>
      <c r="MXP3" s="62"/>
      <c r="MXQ3" s="62"/>
      <c r="MXR3" s="62"/>
      <c r="MXS3" s="62"/>
      <c r="MXT3" s="62"/>
      <c r="MXU3" s="62"/>
      <c r="MXV3" s="62"/>
      <c r="MXW3" s="62"/>
      <c r="MXX3" s="62"/>
      <c r="MXY3" s="62"/>
      <c r="MXZ3" s="62"/>
      <c r="MYA3" s="62"/>
      <c r="MYB3" s="62"/>
      <c r="MYC3" s="62"/>
      <c r="MYD3" s="62"/>
      <c r="MYE3" s="62"/>
      <c r="MYF3" s="62"/>
      <c r="MYG3" s="62"/>
      <c r="MYH3" s="62"/>
      <c r="MYI3" s="62"/>
      <c r="MYJ3" s="62"/>
      <c r="MYK3" s="62"/>
      <c r="MYL3" s="62"/>
      <c r="MYM3" s="62"/>
      <c r="MYN3" s="62"/>
      <c r="MYO3" s="62"/>
      <c r="MYP3" s="62"/>
      <c r="MYQ3" s="62"/>
      <c r="MYR3" s="62"/>
      <c r="MYS3" s="62"/>
      <c r="MYT3" s="62"/>
      <c r="MYU3" s="62"/>
      <c r="MYV3" s="62"/>
      <c r="MYW3" s="62"/>
      <c r="MYX3" s="62"/>
      <c r="MYY3" s="62"/>
      <c r="MYZ3" s="62"/>
      <c r="MZA3" s="62"/>
      <c r="MZB3" s="62"/>
      <c r="MZC3" s="62"/>
      <c r="MZD3" s="62"/>
      <c r="MZE3" s="62"/>
      <c r="MZF3" s="62"/>
      <c r="MZG3" s="62"/>
      <c r="MZH3" s="62"/>
      <c r="MZI3" s="62"/>
      <c r="MZJ3" s="62"/>
      <c r="MZK3" s="62"/>
      <c r="MZL3" s="62"/>
      <c r="MZM3" s="62"/>
      <c r="MZN3" s="62"/>
      <c r="MZO3" s="62"/>
      <c r="MZP3" s="62"/>
      <c r="MZQ3" s="62"/>
      <c r="MZR3" s="62"/>
      <c r="MZS3" s="62"/>
      <c r="MZT3" s="62"/>
      <c r="MZU3" s="62"/>
      <c r="MZV3" s="62"/>
      <c r="MZW3" s="62"/>
      <c r="MZX3" s="62"/>
      <c r="MZY3" s="62"/>
      <c r="MZZ3" s="62"/>
      <c r="NAA3" s="62"/>
      <c r="NAB3" s="62"/>
      <c r="NAC3" s="62"/>
      <c r="NAD3" s="62"/>
      <c r="NAE3" s="62"/>
      <c r="NAF3" s="62"/>
      <c r="NAG3" s="62"/>
      <c r="NAH3" s="62"/>
      <c r="NAI3" s="62"/>
      <c r="NAJ3" s="62"/>
      <c r="NAK3" s="62"/>
      <c r="NAL3" s="62"/>
      <c r="NAM3" s="62"/>
      <c r="NAN3" s="62"/>
      <c r="NAO3" s="62"/>
      <c r="NAP3" s="62"/>
      <c r="NAQ3" s="62"/>
      <c r="NAR3" s="62"/>
      <c r="NAS3" s="62"/>
      <c r="NAT3" s="62"/>
      <c r="NAU3" s="62"/>
      <c r="NAV3" s="62"/>
      <c r="NAW3" s="62"/>
      <c r="NAX3" s="62"/>
      <c r="NAY3" s="62"/>
      <c r="NAZ3" s="62"/>
      <c r="NBA3" s="62"/>
      <c r="NBB3" s="62"/>
      <c r="NBC3" s="62"/>
      <c r="NBD3" s="62"/>
      <c r="NBE3" s="62"/>
      <c r="NBF3" s="62"/>
      <c r="NBG3" s="62"/>
      <c r="NBH3" s="62"/>
      <c r="NBI3" s="62"/>
      <c r="NBJ3" s="62"/>
      <c r="NBK3" s="62"/>
      <c r="NBL3" s="62"/>
      <c r="NBM3" s="62"/>
      <c r="NBN3" s="62"/>
      <c r="NBO3" s="62"/>
      <c r="NBP3" s="62"/>
      <c r="NBQ3" s="62"/>
      <c r="NBR3" s="62"/>
      <c r="NBS3" s="62"/>
      <c r="NBT3" s="62"/>
      <c r="NBU3" s="62"/>
      <c r="NBV3" s="62"/>
      <c r="NBW3" s="62"/>
      <c r="NBX3" s="62"/>
      <c r="NBY3" s="62"/>
      <c r="NBZ3" s="62"/>
      <c r="NCA3" s="62"/>
      <c r="NCB3" s="62"/>
      <c r="NCC3" s="62"/>
      <c r="NCD3" s="62"/>
      <c r="NCE3" s="62"/>
      <c r="NCF3" s="62"/>
      <c r="NCG3" s="62"/>
      <c r="NCH3" s="62"/>
      <c r="NCI3" s="62"/>
      <c r="NCJ3" s="62"/>
      <c r="NCK3" s="62"/>
      <c r="NCL3" s="62"/>
      <c r="NCM3" s="62"/>
      <c r="NCN3" s="62"/>
      <c r="NCO3" s="62"/>
      <c r="NCP3" s="62"/>
      <c r="NCQ3" s="62"/>
      <c r="NCR3" s="62"/>
      <c r="NCS3" s="62"/>
      <c r="NCT3" s="62"/>
      <c r="NCU3" s="62"/>
      <c r="NCV3" s="62"/>
      <c r="NCW3" s="62"/>
      <c r="NCX3" s="62"/>
      <c r="NCY3" s="62"/>
      <c r="NCZ3" s="62"/>
      <c r="NDA3" s="62"/>
      <c r="NDB3" s="62"/>
      <c r="NDC3" s="62"/>
      <c r="NDD3" s="62"/>
      <c r="NDE3" s="62"/>
      <c r="NDF3" s="62"/>
      <c r="NDG3" s="62"/>
      <c r="NDH3" s="62"/>
      <c r="NDI3" s="62"/>
      <c r="NDJ3" s="62"/>
      <c r="NDK3" s="62"/>
      <c r="NDL3" s="62"/>
      <c r="NDM3" s="62"/>
      <c r="NDN3" s="62"/>
      <c r="NDO3" s="62"/>
      <c r="NDP3" s="62"/>
      <c r="NDQ3" s="62"/>
      <c r="NDR3" s="62"/>
      <c r="NDS3" s="62"/>
      <c r="NDT3" s="62"/>
      <c r="NDU3" s="62"/>
      <c r="NDV3" s="62"/>
      <c r="NDW3" s="62"/>
      <c r="NDX3" s="62"/>
      <c r="NDY3" s="62"/>
      <c r="NDZ3" s="62"/>
      <c r="NEA3" s="62"/>
      <c r="NEB3" s="62"/>
      <c r="NEC3" s="62"/>
      <c r="NED3" s="62"/>
      <c r="NEE3" s="62"/>
      <c r="NEF3" s="62"/>
      <c r="NEG3" s="62"/>
      <c r="NEH3" s="62"/>
      <c r="NEI3" s="62"/>
      <c r="NEJ3" s="62"/>
      <c r="NEK3" s="62"/>
      <c r="NEL3" s="62"/>
      <c r="NEM3" s="62"/>
      <c r="NEN3" s="62"/>
      <c r="NEO3" s="62"/>
      <c r="NEP3" s="62"/>
      <c r="NEQ3" s="62"/>
      <c r="NER3" s="62"/>
      <c r="NES3" s="62"/>
      <c r="NET3" s="62"/>
      <c r="NEU3" s="62"/>
      <c r="NEV3" s="62"/>
      <c r="NEW3" s="62"/>
      <c r="NEX3" s="62"/>
      <c r="NEY3" s="62"/>
      <c r="NEZ3" s="62"/>
      <c r="NFA3" s="62"/>
      <c r="NFB3" s="62"/>
      <c r="NFC3" s="62"/>
      <c r="NFD3" s="62"/>
      <c r="NFE3" s="62"/>
      <c r="NFF3" s="62"/>
      <c r="NFG3" s="62"/>
      <c r="NFH3" s="62"/>
      <c r="NFI3" s="62"/>
      <c r="NFJ3" s="62"/>
      <c r="NFK3" s="62"/>
      <c r="NFL3" s="62"/>
      <c r="NFM3" s="62"/>
      <c r="NFN3" s="62"/>
      <c r="NFO3" s="62"/>
      <c r="NFP3" s="62"/>
      <c r="NFQ3" s="62"/>
      <c r="NFR3" s="62"/>
      <c r="NFS3" s="62"/>
      <c r="NFT3" s="62"/>
      <c r="NFU3" s="62"/>
      <c r="NFV3" s="62"/>
      <c r="NFW3" s="62"/>
      <c r="NFX3" s="62"/>
      <c r="NFY3" s="62"/>
      <c r="NFZ3" s="62"/>
      <c r="NGA3" s="62"/>
      <c r="NGB3" s="62"/>
      <c r="NGC3" s="62"/>
      <c r="NGD3" s="62"/>
      <c r="NGE3" s="62"/>
      <c r="NGF3" s="62"/>
      <c r="NGG3" s="62"/>
      <c r="NGH3" s="62"/>
      <c r="NGI3" s="62"/>
      <c r="NGJ3" s="62"/>
      <c r="NGK3" s="62"/>
      <c r="NGL3" s="62"/>
      <c r="NGM3" s="62"/>
      <c r="NGN3" s="62"/>
      <c r="NGO3" s="62"/>
      <c r="NGP3" s="62"/>
      <c r="NGQ3" s="62"/>
      <c r="NGR3" s="62"/>
      <c r="NGS3" s="62"/>
      <c r="NGT3" s="62"/>
      <c r="NGU3" s="62"/>
      <c r="NGV3" s="62"/>
      <c r="NGW3" s="62"/>
      <c r="NGX3" s="62"/>
      <c r="NGY3" s="62"/>
      <c r="NGZ3" s="62"/>
      <c r="NHA3" s="62"/>
      <c r="NHB3" s="62"/>
      <c r="NHC3" s="62"/>
      <c r="NHD3" s="62"/>
      <c r="NHE3" s="62"/>
      <c r="NHF3" s="62"/>
      <c r="NHG3" s="62"/>
      <c r="NHH3" s="62"/>
      <c r="NHI3" s="62"/>
      <c r="NHJ3" s="62"/>
      <c r="NHK3" s="62"/>
      <c r="NHL3" s="62"/>
      <c r="NHM3" s="62"/>
      <c r="NHN3" s="62"/>
      <c r="NHO3" s="62"/>
      <c r="NHP3" s="62"/>
      <c r="NHQ3" s="62"/>
      <c r="NHR3" s="62"/>
      <c r="NHS3" s="62"/>
      <c r="NHT3" s="62"/>
      <c r="NHU3" s="62"/>
      <c r="NHV3" s="62"/>
      <c r="NHW3" s="62"/>
      <c r="NHX3" s="62"/>
      <c r="NHY3" s="62"/>
      <c r="NHZ3" s="62"/>
      <c r="NIA3" s="62"/>
      <c r="NIB3" s="62"/>
      <c r="NIC3" s="62"/>
      <c r="NID3" s="62"/>
      <c r="NIE3" s="62"/>
      <c r="NIF3" s="62"/>
      <c r="NIG3" s="62"/>
      <c r="NIH3" s="62"/>
      <c r="NII3" s="62"/>
      <c r="NIJ3" s="62"/>
      <c r="NIK3" s="62"/>
      <c r="NIL3" s="62"/>
      <c r="NIM3" s="62"/>
      <c r="NIN3" s="62"/>
      <c r="NIO3" s="62"/>
      <c r="NIP3" s="62"/>
      <c r="NIQ3" s="62"/>
      <c r="NIR3" s="62"/>
      <c r="NIS3" s="62"/>
      <c r="NIT3" s="62"/>
      <c r="NIU3" s="62"/>
      <c r="NIV3" s="62"/>
      <c r="NIW3" s="62"/>
      <c r="NIX3" s="62"/>
      <c r="NIY3" s="62"/>
      <c r="NIZ3" s="62"/>
      <c r="NJA3" s="62"/>
      <c r="NJB3" s="62"/>
      <c r="NJC3" s="62"/>
      <c r="NJD3" s="62"/>
      <c r="NJE3" s="62"/>
      <c r="NJF3" s="62"/>
      <c r="NJG3" s="62"/>
      <c r="NJH3" s="62"/>
      <c r="NJI3" s="62"/>
      <c r="NJJ3" s="62"/>
      <c r="NJK3" s="62"/>
      <c r="NJL3" s="62"/>
      <c r="NJM3" s="62"/>
      <c r="NJN3" s="62"/>
      <c r="NJO3" s="62"/>
      <c r="NJP3" s="62"/>
      <c r="NJQ3" s="62"/>
      <c r="NJR3" s="62"/>
      <c r="NJS3" s="62"/>
      <c r="NJT3" s="62"/>
      <c r="NJU3" s="62"/>
      <c r="NJV3" s="62"/>
      <c r="NJW3" s="62"/>
      <c r="NJX3" s="62"/>
      <c r="NJY3" s="62"/>
      <c r="NJZ3" s="62"/>
      <c r="NKA3" s="62"/>
      <c r="NKB3" s="62"/>
      <c r="NKC3" s="62"/>
      <c r="NKD3" s="62"/>
      <c r="NKE3" s="62"/>
      <c r="NKF3" s="62"/>
      <c r="NKG3" s="62"/>
      <c r="NKH3" s="62"/>
      <c r="NKI3" s="62"/>
      <c r="NKJ3" s="62"/>
      <c r="NKK3" s="62"/>
      <c r="NKL3" s="62"/>
      <c r="NKM3" s="62"/>
      <c r="NKN3" s="62"/>
      <c r="NKO3" s="62"/>
      <c r="NKP3" s="62"/>
      <c r="NKQ3" s="62"/>
      <c r="NKR3" s="62"/>
      <c r="NKS3" s="62"/>
      <c r="NKT3" s="62"/>
      <c r="NKU3" s="62"/>
      <c r="NKV3" s="62"/>
      <c r="NKW3" s="62"/>
      <c r="NKX3" s="62"/>
      <c r="NKY3" s="62"/>
      <c r="NKZ3" s="62"/>
      <c r="NLA3" s="62"/>
      <c r="NLB3" s="62"/>
      <c r="NLC3" s="62"/>
      <c r="NLD3" s="62"/>
      <c r="NLE3" s="62"/>
      <c r="NLF3" s="62"/>
      <c r="NLG3" s="62"/>
      <c r="NLH3" s="62"/>
      <c r="NLI3" s="62"/>
      <c r="NLJ3" s="62"/>
      <c r="NLK3" s="62"/>
      <c r="NLL3" s="62"/>
      <c r="NLM3" s="62"/>
      <c r="NLN3" s="62"/>
      <c r="NLO3" s="62"/>
      <c r="NLP3" s="62"/>
      <c r="NLQ3" s="62"/>
      <c r="NLR3" s="62"/>
      <c r="NLS3" s="62"/>
      <c r="NLT3" s="62"/>
      <c r="NLU3" s="62"/>
      <c r="NLV3" s="62"/>
      <c r="NLW3" s="62"/>
      <c r="NLX3" s="62"/>
      <c r="NLY3" s="62"/>
      <c r="NLZ3" s="62"/>
      <c r="NMA3" s="62"/>
      <c r="NMB3" s="62"/>
      <c r="NMC3" s="62"/>
      <c r="NMD3" s="62"/>
      <c r="NME3" s="62"/>
      <c r="NMF3" s="62"/>
      <c r="NMG3" s="62"/>
      <c r="NMH3" s="62"/>
      <c r="NMI3" s="62"/>
      <c r="NMJ3" s="62"/>
      <c r="NMK3" s="62"/>
      <c r="NML3" s="62"/>
      <c r="NMM3" s="62"/>
      <c r="NMN3" s="62"/>
      <c r="NMO3" s="62"/>
      <c r="NMP3" s="62"/>
      <c r="NMQ3" s="62"/>
      <c r="NMR3" s="62"/>
      <c r="NMS3" s="62"/>
      <c r="NMT3" s="62"/>
      <c r="NMU3" s="62"/>
      <c r="NMV3" s="62"/>
      <c r="NMW3" s="62"/>
      <c r="NMX3" s="62"/>
      <c r="NMY3" s="62"/>
      <c r="NMZ3" s="62"/>
      <c r="NNA3" s="62"/>
      <c r="NNB3" s="62"/>
      <c r="NNC3" s="62"/>
      <c r="NND3" s="62"/>
      <c r="NNE3" s="62"/>
      <c r="NNF3" s="62"/>
      <c r="NNG3" s="62"/>
      <c r="NNH3" s="62"/>
      <c r="NNI3" s="62"/>
      <c r="NNJ3" s="62"/>
      <c r="NNK3" s="62"/>
      <c r="NNL3" s="62"/>
      <c r="NNM3" s="62"/>
      <c r="NNN3" s="62"/>
      <c r="NNO3" s="62"/>
      <c r="NNP3" s="62"/>
      <c r="NNQ3" s="62"/>
      <c r="NNR3" s="62"/>
      <c r="NNS3" s="62"/>
      <c r="NNT3" s="62"/>
      <c r="NNU3" s="62"/>
      <c r="NNV3" s="62"/>
      <c r="NNW3" s="62"/>
      <c r="NNX3" s="62"/>
      <c r="NNY3" s="62"/>
      <c r="NNZ3" s="62"/>
      <c r="NOA3" s="62"/>
      <c r="NOB3" s="62"/>
      <c r="NOC3" s="62"/>
      <c r="NOD3" s="62"/>
      <c r="NOE3" s="62"/>
      <c r="NOF3" s="62"/>
      <c r="NOG3" s="62"/>
      <c r="NOH3" s="62"/>
      <c r="NOI3" s="62"/>
      <c r="NOJ3" s="62"/>
      <c r="NOK3" s="62"/>
      <c r="NOL3" s="62"/>
      <c r="NOM3" s="62"/>
      <c r="NON3" s="62"/>
      <c r="NOO3" s="62"/>
      <c r="NOP3" s="62"/>
      <c r="NOQ3" s="62"/>
      <c r="NOR3" s="62"/>
      <c r="NOS3" s="62"/>
      <c r="NOT3" s="62"/>
      <c r="NOU3" s="62"/>
      <c r="NOV3" s="62"/>
      <c r="NOW3" s="62"/>
      <c r="NOX3" s="62"/>
      <c r="NOY3" s="62"/>
      <c r="NOZ3" s="62"/>
      <c r="NPA3" s="62"/>
      <c r="NPB3" s="62"/>
      <c r="NPC3" s="62"/>
      <c r="NPD3" s="62"/>
      <c r="NPE3" s="62"/>
      <c r="NPF3" s="62"/>
      <c r="NPG3" s="62"/>
      <c r="NPH3" s="62"/>
      <c r="NPI3" s="62"/>
      <c r="NPJ3" s="62"/>
      <c r="NPK3" s="62"/>
      <c r="NPL3" s="62"/>
      <c r="NPM3" s="62"/>
      <c r="NPN3" s="62"/>
      <c r="NPO3" s="62"/>
      <c r="NPP3" s="62"/>
      <c r="NPQ3" s="62"/>
      <c r="NPR3" s="62"/>
      <c r="NPS3" s="62"/>
      <c r="NPT3" s="62"/>
      <c r="NPU3" s="62"/>
      <c r="NPV3" s="62"/>
      <c r="NPW3" s="62"/>
      <c r="NPX3" s="62"/>
      <c r="NPY3" s="62"/>
      <c r="NPZ3" s="62"/>
      <c r="NQA3" s="62"/>
      <c r="NQB3" s="62"/>
      <c r="NQC3" s="62"/>
      <c r="NQD3" s="62"/>
      <c r="NQE3" s="62"/>
      <c r="NQF3" s="62"/>
      <c r="NQG3" s="62"/>
      <c r="NQH3" s="62"/>
      <c r="NQI3" s="62"/>
      <c r="NQJ3" s="62"/>
      <c r="NQK3" s="62"/>
      <c r="NQL3" s="62"/>
      <c r="NQM3" s="62"/>
      <c r="NQN3" s="62"/>
      <c r="NQO3" s="62"/>
      <c r="NQP3" s="62"/>
      <c r="NQQ3" s="62"/>
      <c r="NQR3" s="62"/>
      <c r="NQS3" s="62"/>
      <c r="NQT3" s="62"/>
      <c r="NQU3" s="62"/>
      <c r="NQV3" s="62"/>
      <c r="NQW3" s="62"/>
      <c r="NQX3" s="62"/>
      <c r="NQY3" s="62"/>
      <c r="NQZ3" s="62"/>
      <c r="NRA3" s="62"/>
      <c r="NRB3" s="62"/>
      <c r="NRC3" s="62"/>
      <c r="NRD3" s="62"/>
      <c r="NRE3" s="62"/>
      <c r="NRF3" s="62"/>
      <c r="NRG3" s="62"/>
      <c r="NRH3" s="62"/>
      <c r="NRI3" s="62"/>
      <c r="NRJ3" s="62"/>
      <c r="NRK3" s="62"/>
      <c r="NRL3" s="62"/>
      <c r="NRM3" s="62"/>
      <c r="NRN3" s="62"/>
      <c r="NRO3" s="62"/>
      <c r="NRP3" s="62"/>
      <c r="NRQ3" s="62"/>
      <c r="NRR3" s="62"/>
      <c r="NRS3" s="62"/>
      <c r="NRT3" s="62"/>
      <c r="NRU3" s="62"/>
      <c r="NRV3" s="62"/>
      <c r="NRW3" s="62"/>
      <c r="NRX3" s="62"/>
      <c r="NRY3" s="62"/>
      <c r="NRZ3" s="62"/>
      <c r="NSA3" s="62"/>
      <c r="NSB3" s="62"/>
      <c r="NSC3" s="62"/>
      <c r="NSD3" s="62"/>
      <c r="NSE3" s="62"/>
      <c r="NSF3" s="62"/>
      <c r="NSG3" s="62"/>
      <c r="NSH3" s="62"/>
      <c r="NSI3" s="62"/>
      <c r="NSJ3" s="62"/>
      <c r="NSK3" s="62"/>
      <c r="NSL3" s="62"/>
      <c r="NSM3" s="62"/>
      <c r="NSN3" s="62"/>
      <c r="NSO3" s="62"/>
      <c r="NSP3" s="62"/>
      <c r="NSQ3" s="62"/>
      <c r="NSR3" s="62"/>
      <c r="NSS3" s="62"/>
      <c r="NST3" s="62"/>
      <c r="NSU3" s="62"/>
      <c r="NSV3" s="62"/>
      <c r="NSW3" s="62"/>
      <c r="NSX3" s="62"/>
      <c r="NSY3" s="62"/>
      <c r="NSZ3" s="62"/>
      <c r="NTA3" s="62"/>
      <c r="NTB3" s="62"/>
      <c r="NTC3" s="62"/>
      <c r="NTD3" s="62"/>
      <c r="NTE3" s="62"/>
      <c r="NTF3" s="62"/>
      <c r="NTG3" s="62"/>
      <c r="NTH3" s="62"/>
      <c r="NTI3" s="62"/>
      <c r="NTJ3" s="62"/>
      <c r="NTK3" s="62"/>
      <c r="NTL3" s="62"/>
      <c r="NTM3" s="62"/>
      <c r="NTN3" s="62"/>
      <c r="NTO3" s="62"/>
      <c r="NTP3" s="62"/>
      <c r="NTQ3" s="62"/>
      <c r="NTR3" s="62"/>
      <c r="NTS3" s="62"/>
      <c r="NTT3" s="62"/>
      <c r="NTU3" s="62"/>
      <c r="NTV3" s="62"/>
      <c r="NTW3" s="62"/>
      <c r="NTX3" s="62"/>
      <c r="NTY3" s="62"/>
      <c r="NTZ3" s="62"/>
      <c r="NUA3" s="62"/>
      <c r="NUB3" s="62"/>
      <c r="NUC3" s="62"/>
      <c r="NUD3" s="62"/>
      <c r="NUE3" s="62"/>
      <c r="NUF3" s="62"/>
      <c r="NUG3" s="62"/>
      <c r="NUH3" s="62"/>
      <c r="NUI3" s="62"/>
      <c r="NUJ3" s="62"/>
      <c r="NUK3" s="62"/>
      <c r="NUL3" s="62"/>
      <c r="NUM3" s="62"/>
      <c r="NUN3" s="62"/>
      <c r="NUO3" s="62"/>
      <c r="NUP3" s="62"/>
      <c r="NUQ3" s="62"/>
      <c r="NUR3" s="62"/>
      <c r="NUS3" s="62"/>
      <c r="NUT3" s="62"/>
      <c r="NUU3" s="62"/>
      <c r="NUV3" s="62"/>
      <c r="NUW3" s="62"/>
      <c r="NUX3" s="62"/>
      <c r="NUY3" s="62"/>
      <c r="NUZ3" s="62"/>
      <c r="NVA3" s="62"/>
      <c r="NVB3" s="62"/>
      <c r="NVC3" s="62"/>
      <c r="NVD3" s="62"/>
      <c r="NVE3" s="62"/>
      <c r="NVF3" s="62"/>
      <c r="NVG3" s="62"/>
      <c r="NVH3" s="62"/>
      <c r="NVI3" s="62"/>
      <c r="NVJ3" s="62"/>
      <c r="NVK3" s="62"/>
      <c r="NVL3" s="62"/>
      <c r="NVM3" s="62"/>
      <c r="NVN3" s="62"/>
      <c r="NVO3" s="62"/>
      <c r="NVP3" s="62"/>
      <c r="NVQ3" s="62"/>
      <c r="NVR3" s="62"/>
      <c r="NVS3" s="62"/>
      <c r="NVT3" s="62"/>
      <c r="NVU3" s="62"/>
      <c r="NVV3" s="62"/>
      <c r="NVW3" s="62"/>
      <c r="NVX3" s="62"/>
      <c r="NVY3" s="62"/>
      <c r="NVZ3" s="62"/>
      <c r="NWA3" s="62"/>
      <c r="NWB3" s="62"/>
      <c r="NWC3" s="62"/>
      <c r="NWD3" s="62"/>
      <c r="NWE3" s="62"/>
      <c r="NWF3" s="62"/>
      <c r="NWG3" s="62"/>
      <c r="NWH3" s="62"/>
      <c r="NWI3" s="62"/>
      <c r="NWJ3" s="62"/>
      <c r="NWK3" s="62"/>
      <c r="NWL3" s="62"/>
      <c r="NWM3" s="62"/>
      <c r="NWN3" s="62"/>
      <c r="NWO3" s="62"/>
      <c r="NWP3" s="62"/>
      <c r="NWQ3" s="62"/>
      <c r="NWR3" s="62"/>
      <c r="NWS3" s="62"/>
      <c r="NWT3" s="62"/>
      <c r="NWU3" s="62"/>
      <c r="NWV3" s="62"/>
      <c r="NWW3" s="62"/>
      <c r="NWX3" s="62"/>
      <c r="NWY3" s="62"/>
      <c r="NWZ3" s="62"/>
      <c r="NXA3" s="62"/>
      <c r="NXB3" s="62"/>
      <c r="NXC3" s="62"/>
      <c r="NXD3" s="62"/>
      <c r="NXE3" s="62"/>
      <c r="NXF3" s="62"/>
      <c r="NXG3" s="62"/>
      <c r="NXH3" s="62"/>
      <c r="NXI3" s="62"/>
      <c r="NXJ3" s="62"/>
      <c r="NXK3" s="62"/>
      <c r="NXL3" s="62"/>
      <c r="NXM3" s="62"/>
      <c r="NXN3" s="62"/>
      <c r="NXO3" s="62"/>
      <c r="NXP3" s="62"/>
      <c r="NXQ3" s="62"/>
      <c r="NXR3" s="62"/>
      <c r="NXS3" s="62"/>
      <c r="NXT3" s="62"/>
      <c r="NXU3" s="62"/>
      <c r="NXV3" s="62"/>
      <c r="NXW3" s="62"/>
      <c r="NXX3" s="62"/>
      <c r="NXY3" s="62"/>
      <c r="NXZ3" s="62"/>
      <c r="NYA3" s="62"/>
      <c r="NYB3" s="62"/>
      <c r="NYC3" s="62"/>
      <c r="NYD3" s="62"/>
      <c r="NYE3" s="62"/>
      <c r="NYF3" s="62"/>
      <c r="NYG3" s="62"/>
      <c r="NYH3" s="62"/>
      <c r="NYI3" s="62"/>
      <c r="NYJ3" s="62"/>
      <c r="NYK3" s="62"/>
      <c r="NYL3" s="62"/>
      <c r="NYM3" s="62"/>
      <c r="NYN3" s="62"/>
      <c r="NYO3" s="62"/>
      <c r="NYP3" s="62"/>
      <c r="NYQ3" s="62"/>
      <c r="NYR3" s="62"/>
      <c r="NYS3" s="62"/>
      <c r="NYT3" s="62"/>
      <c r="NYU3" s="62"/>
      <c r="NYV3" s="62"/>
      <c r="NYW3" s="62"/>
      <c r="NYX3" s="62"/>
      <c r="NYY3" s="62"/>
      <c r="NYZ3" s="62"/>
      <c r="NZA3" s="62"/>
      <c r="NZB3" s="62"/>
      <c r="NZC3" s="62"/>
      <c r="NZD3" s="62"/>
      <c r="NZE3" s="62"/>
      <c r="NZF3" s="62"/>
      <c r="NZG3" s="62"/>
      <c r="NZH3" s="62"/>
      <c r="NZI3" s="62"/>
      <c r="NZJ3" s="62"/>
      <c r="NZK3" s="62"/>
      <c r="NZL3" s="62"/>
      <c r="NZM3" s="62"/>
      <c r="NZN3" s="62"/>
      <c r="NZO3" s="62"/>
      <c r="NZP3" s="62"/>
      <c r="NZQ3" s="62"/>
      <c r="NZR3" s="62"/>
      <c r="NZS3" s="62"/>
      <c r="NZT3" s="62"/>
      <c r="NZU3" s="62"/>
      <c r="NZV3" s="62"/>
      <c r="NZW3" s="62"/>
      <c r="NZX3" s="62"/>
      <c r="NZY3" s="62"/>
      <c r="NZZ3" s="62"/>
      <c r="OAA3" s="62"/>
      <c r="OAB3" s="62"/>
      <c r="OAC3" s="62"/>
      <c r="OAD3" s="62"/>
      <c r="OAE3" s="62"/>
      <c r="OAF3" s="62"/>
      <c r="OAG3" s="62"/>
      <c r="OAH3" s="62"/>
      <c r="OAI3" s="62"/>
      <c r="OAJ3" s="62"/>
      <c r="OAK3" s="62"/>
      <c r="OAL3" s="62"/>
      <c r="OAM3" s="62"/>
      <c r="OAN3" s="62"/>
      <c r="OAO3" s="62"/>
      <c r="OAP3" s="62"/>
      <c r="OAQ3" s="62"/>
      <c r="OAR3" s="62"/>
      <c r="OAS3" s="62"/>
      <c r="OAT3" s="62"/>
      <c r="OAU3" s="62"/>
      <c r="OAV3" s="62"/>
      <c r="OAW3" s="62"/>
      <c r="OAX3" s="62"/>
      <c r="OAY3" s="62"/>
      <c r="OAZ3" s="62"/>
      <c r="OBA3" s="62"/>
      <c r="OBB3" s="62"/>
      <c r="OBC3" s="62"/>
      <c r="OBD3" s="62"/>
      <c r="OBE3" s="62"/>
      <c r="OBF3" s="62"/>
      <c r="OBG3" s="62"/>
      <c r="OBH3" s="62"/>
      <c r="OBI3" s="62"/>
      <c r="OBJ3" s="62"/>
      <c r="OBK3" s="62"/>
      <c r="OBL3" s="62"/>
      <c r="OBM3" s="62"/>
      <c r="OBN3" s="62"/>
      <c r="OBO3" s="62"/>
      <c r="OBP3" s="62"/>
      <c r="OBQ3" s="62"/>
      <c r="OBR3" s="62"/>
      <c r="OBS3" s="62"/>
      <c r="OBT3" s="62"/>
      <c r="OBU3" s="62"/>
      <c r="OBV3" s="62"/>
      <c r="OBW3" s="62"/>
      <c r="OBX3" s="62"/>
      <c r="OBY3" s="62"/>
      <c r="OBZ3" s="62"/>
      <c r="OCA3" s="62"/>
      <c r="OCB3" s="62"/>
      <c r="OCC3" s="62"/>
      <c r="OCD3" s="62"/>
      <c r="OCE3" s="62"/>
      <c r="OCF3" s="62"/>
      <c r="OCG3" s="62"/>
      <c r="OCH3" s="62"/>
      <c r="OCI3" s="62"/>
      <c r="OCJ3" s="62"/>
      <c r="OCK3" s="62"/>
      <c r="OCL3" s="62"/>
      <c r="OCM3" s="62"/>
      <c r="OCN3" s="62"/>
      <c r="OCO3" s="62"/>
      <c r="OCP3" s="62"/>
      <c r="OCQ3" s="62"/>
      <c r="OCR3" s="62"/>
      <c r="OCS3" s="62"/>
      <c r="OCT3" s="62"/>
      <c r="OCU3" s="62"/>
      <c r="OCV3" s="62"/>
      <c r="OCW3" s="62"/>
      <c r="OCX3" s="62"/>
      <c r="OCY3" s="62"/>
      <c r="OCZ3" s="62"/>
      <c r="ODA3" s="62"/>
      <c r="ODB3" s="62"/>
      <c r="ODC3" s="62"/>
      <c r="ODD3" s="62"/>
      <c r="ODE3" s="62"/>
      <c r="ODF3" s="62"/>
      <c r="ODG3" s="62"/>
      <c r="ODH3" s="62"/>
      <c r="ODI3" s="62"/>
      <c r="ODJ3" s="62"/>
      <c r="ODK3" s="62"/>
      <c r="ODL3" s="62"/>
      <c r="ODM3" s="62"/>
      <c r="ODN3" s="62"/>
      <c r="ODO3" s="62"/>
      <c r="ODP3" s="62"/>
      <c r="ODQ3" s="62"/>
      <c r="ODR3" s="62"/>
      <c r="ODS3" s="62"/>
      <c r="ODT3" s="62"/>
      <c r="ODU3" s="62"/>
      <c r="ODV3" s="62"/>
      <c r="ODW3" s="62"/>
      <c r="ODX3" s="62"/>
      <c r="ODY3" s="62"/>
      <c r="ODZ3" s="62"/>
      <c r="OEA3" s="62"/>
      <c r="OEB3" s="62"/>
      <c r="OEC3" s="62"/>
      <c r="OED3" s="62"/>
      <c r="OEE3" s="62"/>
      <c r="OEF3" s="62"/>
      <c r="OEG3" s="62"/>
      <c r="OEH3" s="62"/>
      <c r="OEI3" s="62"/>
      <c r="OEJ3" s="62"/>
      <c r="OEK3" s="62"/>
      <c r="OEL3" s="62"/>
      <c r="OEM3" s="62"/>
      <c r="OEN3" s="62"/>
      <c r="OEO3" s="62"/>
      <c r="OEP3" s="62"/>
      <c r="OEQ3" s="62"/>
      <c r="OER3" s="62"/>
      <c r="OES3" s="62"/>
      <c r="OET3" s="62"/>
      <c r="OEU3" s="62"/>
      <c r="OEV3" s="62"/>
      <c r="OEW3" s="62"/>
      <c r="OEX3" s="62"/>
      <c r="OEY3" s="62"/>
      <c r="OEZ3" s="62"/>
      <c r="OFA3" s="62"/>
      <c r="OFB3" s="62"/>
      <c r="OFC3" s="62"/>
      <c r="OFD3" s="62"/>
      <c r="OFE3" s="62"/>
      <c r="OFF3" s="62"/>
      <c r="OFG3" s="62"/>
      <c r="OFH3" s="62"/>
      <c r="OFI3" s="62"/>
      <c r="OFJ3" s="62"/>
      <c r="OFK3" s="62"/>
      <c r="OFL3" s="62"/>
      <c r="OFM3" s="62"/>
      <c r="OFN3" s="62"/>
      <c r="OFO3" s="62"/>
      <c r="OFP3" s="62"/>
      <c r="OFQ3" s="62"/>
      <c r="OFR3" s="62"/>
      <c r="OFS3" s="62"/>
      <c r="OFT3" s="62"/>
      <c r="OFU3" s="62"/>
      <c r="OFV3" s="62"/>
      <c r="OFW3" s="62"/>
      <c r="OFX3" s="62"/>
      <c r="OFY3" s="62"/>
      <c r="OFZ3" s="62"/>
      <c r="OGA3" s="62"/>
      <c r="OGB3" s="62"/>
      <c r="OGC3" s="62"/>
      <c r="OGD3" s="62"/>
      <c r="OGE3" s="62"/>
      <c r="OGF3" s="62"/>
      <c r="OGG3" s="62"/>
      <c r="OGH3" s="62"/>
      <c r="OGI3" s="62"/>
      <c r="OGJ3" s="62"/>
      <c r="OGK3" s="62"/>
      <c r="OGL3" s="62"/>
      <c r="OGM3" s="62"/>
      <c r="OGN3" s="62"/>
      <c r="OGO3" s="62"/>
      <c r="OGP3" s="62"/>
      <c r="OGQ3" s="62"/>
      <c r="OGR3" s="62"/>
      <c r="OGS3" s="62"/>
      <c r="OGT3" s="62"/>
      <c r="OGU3" s="62"/>
      <c r="OGV3" s="62"/>
      <c r="OGW3" s="62"/>
      <c r="OGX3" s="62"/>
      <c r="OGY3" s="62"/>
      <c r="OGZ3" s="62"/>
      <c r="OHA3" s="62"/>
      <c r="OHB3" s="62"/>
      <c r="OHC3" s="62"/>
      <c r="OHD3" s="62"/>
      <c r="OHE3" s="62"/>
      <c r="OHF3" s="62"/>
      <c r="OHG3" s="62"/>
      <c r="OHH3" s="62"/>
      <c r="OHI3" s="62"/>
      <c r="OHJ3" s="62"/>
      <c r="OHK3" s="62"/>
      <c r="OHL3" s="62"/>
      <c r="OHM3" s="62"/>
      <c r="OHN3" s="62"/>
      <c r="OHO3" s="62"/>
      <c r="OHP3" s="62"/>
      <c r="OHQ3" s="62"/>
      <c r="OHR3" s="62"/>
      <c r="OHS3" s="62"/>
      <c r="OHT3" s="62"/>
      <c r="OHU3" s="62"/>
      <c r="OHV3" s="62"/>
      <c r="OHW3" s="62"/>
      <c r="OHX3" s="62"/>
      <c r="OHY3" s="62"/>
      <c r="OHZ3" s="62"/>
      <c r="OIA3" s="62"/>
      <c r="OIB3" s="62"/>
      <c r="OIC3" s="62"/>
      <c r="OID3" s="62"/>
      <c r="OIE3" s="62"/>
      <c r="OIF3" s="62"/>
      <c r="OIG3" s="62"/>
      <c r="OIH3" s="62"/>
      <c r="OII3" s="62"/>
      <c r="OIJ3" s="62"/>
      <c r="OIK3" s="62"/>
      <c r="OIL3" s="62"/>
      <c r="OIM3" s="62"/>
      <c r="OIN3" s="62"/>
      <c r="OIO3" s="62"/>
      <c r="OIP3" s="62"/>
      <c r="OIQ3" s="62"/>
      <c r="OIR3" s="62"/>
      <c r="OIS3" s="62"/>
      <c r="OIT3" s="62"/>
      <c r="OIU3" s="62"/>
      <c r="OIV3" s="62"/>
      <c r="OIW3" s="62"/>
      <c r="OIX3" s="62"/>
      <c r="OIY3" s="62"/>
      <c r="OIZ3" s="62"/>
      <c r="OJA3" s="62"/>
      <c r="OJB3" s="62"/>
      <c r="OJC3" s="62"/>
      <c r="OJD3" s="62"/>
      <c r="OJE3" s="62"/>
      <c r="OJF3" s="62"/>
      <c r="OJG3" s="62"/>
      <c r="OJH3" s="62"/>
      <c r="OJI3" s="62"/>
      <c r="OJJ3" s="62"/>
      <c r="OJK3" s="62"/>
      <c r="OJL3" s="62"/>
      <c r="OJM3" s="62"/>
      <c r="OJN3" s="62"/>
      <c r="OJO3" s="62"/>
      <c r="OJP3" s="62"/>
      <c r="OJQ3" s="62"/>
      <c r="OJR3" s="62"/>
      <c r="OJS3" s="62"/>
      <c r="OJT3" s="62"/>
      <c r="OJU3" s="62"/>
      <c r="OJV3" s="62"/>
      <c r="OJW3" s="62"/>
      <c r="OJX3" s="62"/>
      <c r="OJY3" s="62"/>
      <c r="OJZ3" s="62"/>
      <c r="OKA3" s="62"/>
      <c r="OKB3" s="62"/>
      <c r="OKC3" s="62"/>
      <c r="OKD3" s="62"/>
      <c r="OKE3" s="62"/>
      <c r="OKF3" s="62"/>
      <c r="OKG3" s="62"/>
      <c r="OKH3" s="62"/>
      <c r="OKI3" s="62"/>
      <c r="OKJ3" s="62"/>
      <c r="OKK3" s="62"/>
      <c r="OKL3" s="62"/>
      <c r="OKM3" s="62"/>
      <c r="OKN3" s="62"/>
      <c r="OKO3" s="62"/>
      <c r="OKP3" s="62"/>
      <c r="OKQ3" s="62"/>
      <c r="OKR3" s="62"/>
      <c r="OKS3" s="62"/>
      <c r="OKT3" s="62"/>
      <c r="OKU3" s="62"/>
      <c r="OKV3" s="62"/>
      <c r="OKW3" s="62"/>
      <c r="OKX3" s="62"/>
      <c r="OKY3" s="62"/>
      <c r="OKZ3" s="62"/>
      <c r="OLA3" s="62"/>
      <c r="OLB3" s="62"/>
      <c r="OLC3" s="62"/>
      <c r="OLD3" s="62"/>
      <c r="OLE3" s="62"/>
      <c r="OLF3" s="62"/>
      <c r="OLG3" s="62"/>
      <c r="OLH3" s="62"/>
      <c r="OLI3" s="62"/>
      <c r="OLJ3" s="62"/>
      <c r="OLK3" s="62"/>
      <c r="OLL3" s="62"/>
      <c r="OLM3" s="62"/>
      <c r="OLN3" s="62"/>
      <c r="OLO3" s="62"/>
      <c r="OLP3" s="62"/>
      <c r="OLQ3" s="62"/>
      <c r="OLR3" s="62"/>
      <c r="OLS3" s="62"/>
      <c r="OLT3" s="62"/>
      <c r="OLU3" s="62"/>
      <c r="OLV3" s="62"/>
      <c r="OLW3" s="62"/>
      <c r="OLX3" s="62"/>
      <c r="OLY3" s="62"/>
      <c r="OLZ3" s="62"/>
      <c r="OMA3" s="62"/>
      <c r="OMB3" s="62"/>
      <c r="OMC3" s="62"/>
      <c r="OMD3" s="62"/>
      <c r="OME3" s="62"/>
      <c r="OMF3" s="62"/>
      <c r="OMG3" s="62"/>
      <c r="OMH3" s="62"/>
      <c r="OMI3" s="62"/>
      <c r="OMJ3" s="62"/>
      <c r="OMK3" s="62"/>
      <c r="OML3" s="62"/>
      <c r="OMM3" s="62"/>
      <c r="OMN3" s="62"/>
      <c r="OMO3" s="62"/>
      <c r="OMP3" s="62"/>
      <c r="OMQ3" s="62"/>
      <c r="OMR3" s="62"/>
      <c r="OMS3" s="62"/>
      <c r="OMT3" s="62"/>
      <c r="OMU3" s="62"/>
      <c r="OMV3" s="62"/>
      <c r="OMW3" s="62"/>
      <c r="OMX3" s="62"/>
      <c r="OMY3" s="62"/>
      <c r="OMZ3" s="62"/>
      <c r="ONA3" s="62"/>
      <c r="ONB3" s="62"/>
      <c r="ONC3" s="62"/>
      <c r="OND3" s="62"/>
      <c r="ONE3" s="62"/>
      <c r="ONF3" s="62"/>
      <c r="ONG3" s="62"/>
      <c r="ONH3" s="62"/>
      <c r="ONI3" s="62"/>
      <c r="ONJ3" s="62"/>
      <c r="ONK3" s="62"/>
      <c r="ONL3" s="62"/>
      <c r="ONM3" s="62"/>
      <c r="ONN3" s="62"/>
      <c r="ONO3" s="62"/>
      <c r="ONP3" s="62"/>
      <c r="ONQ3" s="62"/>
      <c r="ONR3" s="62"/>
      <c r="ONS3" s="62"/>
      <c r="ONT3" s="62"/>
      <c r="ONU3" s="62"/>
      <c r="ONV3" s="62"/>
      <c r="ONW3" s="62"/>
      <c r="ONX3" s="62"/>
      <c r="ONY3" s="62"/>
      <c r="ONZ3" s="62"/>
      <c r="OOA3" s="62"/>
      <c r="OOB3" s="62"/>
      <c r="OOC3" s="62"/>
      <c r="OOD3" s="62"/>
      <c r="OOE3" s="62"/>
      <c r="OOF3" s="62"/>
      <c r="OOG3" s="62"/>
      <c r="OOH3" s="62"/>
      <c r="OOI3" s="62"/>
      <c r="OOJ3" s="62"/>
      <c r="OOK3" s="62"/>
      <c r="OOL3" s="62"/>
      <c r="OOM3" s="62"/>
      <c r="OON3" s="62"/>
      <c r="OOO3" s="62"/>
      <c r="OOP3" s="62"/>
      <c r="OOQ3" s="62"/>
      <c r="OOR3" s="62"/>
      <c r="OOS3" s="62"/>
      <c r="OOT3" s="62"/>
      <c r="OOU3" s="62"/>
      <c r="OOV3" s="62"/>
      <c r="OOW3" s="62"/>
      <c r="OOX3" s="62"/>
      <c r="OOY3" s="62"/>
      <c r="OOZ3" s="62"/>
      <c r="OPA3" s="62"/>
      <c r="OPB3" s="62"/>
      <c r="OPC3" s="62"/>
      <c r="OPD3" s="62"/>
      <c r="OPE3" s="62"/>
      <c r="OPF3" s="62"/>
      <c r="OPG3" s="62"/>
      <c r="OPH3" s="62"/>
      <c r="OPI3" s="62"/>
      <c r="OPJ3" s="62"/>
      <c r="OPK3" s="62"/>
      <c r="OPL3" s="62"/>
      <c r="OPM3" s="62"/>
      <c r="OPN3" s="62"/>
      <c r="OPO3" s="62"/>
      <c r="OPP3" s="62"/>
      <c r="OPQ3" s="62"/>
      <c r="OPR3" s="62"/>
      <c r="OPS3" s="62"/>
      <c r="OPT3" s="62"/>
      <c r="OPU3" s="62"/>
      <c r="OPV3" s="62"/>
      <c r="OPW3" s="62"/>
      <c r="OPX3" s="62"/>
      <c r="OPY3" s="62"/>
      <c r="OPZ3" s="62"/>
      <c r="OQA3" s="62"/>
      <c r="OQB3" s="62"/>
      <c r="OQC3" s="62"/>
      <c r="OQD3" s="62"/>
      <c r="OQE3" s="62"/>
      <c r="OQF3" s="62"/>
      <c r="OQG3" s="62"/>
      <c r="OQH3" s="62"/>
      <c r="OQI3" s="62"/>
      <c r="OQJ3" s="62"/>
      <c r="OQK3" s="62"/>
      <c r="OQL3" s="62"/>
      <c r="OQM3" s="62"/>
      <c r="OQN3" s="62"/>
      <c r="OQO3" s="62"/>
      <c r="OQP3" s="62"/>
      <c r="OQQ3" s="62"/>
      <c r="OQR3" s="62"/>
      <c r="OQS3" s="62"/>
      <c r="OQT3" s="62"/>
      <c r="OQU3" s="62"/>
      <c r="OQV3" s="62"/>
      <c r="OQW3" s="62"/>
      <c r="OQX3" s="62"/>
      <c r="OQY3" s="62"/>
      <c r="OQZ3" s="62"/>
      <c r="ORA3" s="62"/>
      <c r="ORB3" s="62"/>
      <c r="ORC3" s="62"/>
      <c r="ORD3" s="62"/>
      <c r="ORE3" s="62"/>
      <c r="ORF3" s="62"/>
      <c r="ORG3" s="62"/>
      <c r="ORH3" s="62"/>
      <c r="ORI3" s="62"/>
      <c r="ORJ3" s="62"/>
      <c r="ORK3" s="62"/>
      <c r="ORL3" s="62"/>
      <c r="ORM3" s="62"/>
      <c r="ORN3" s="62"/>
      <c r="ORO3" s="62"/>
      <c r="ORP3" s="62"/>
      <c r="ORQ3" s="62"/>
      <c r="ORR3" s="62"/>
      <c r="ORS3" s="62"/>
      <c r="ORT3" s="62"/>
      <c r="ORU3" s="62"/>
      <c r="ORV3" s="62"/>
      <c r="ORW3" s="62"/>
      <c r="ORX3" s="62"/>
      <c r="ORY3" s="62"/>
      <c r="ORZ3" s="62"/>
      <c r="OSA3" s="62"/>
      <c r="OSB3" s="62"/>
      <c r="OSC3" s="62"/>
      <c r="OSD3" s="62"/>
      <c r="OSE3" s="62"/>
      <c r="OSF3" s="62"/>
      <c r="OSG3" s="62"/>
      <c r="OSH3" s="62"/>
      <c r="OSI3" s="62"/>
      <c r="OSJ3" s="62"/>
      <c r="OSK3" s="62"/>
      <c r="OSL3" s="62"/>
      <c r="OSM3" s="62"/>
      <c r="OSN3" s="62"/>
      <c r="OSO3" s="62"/>
      <c r="OSP3" s="62"/>
      <c r="OSQ3" s="62"/>
      <c r="OSR3" s="62"/>
      <c r="OSS3" s="62"/>
      <c r="OST3" s="62"/>
      <c r="OSU3" s="62"/>
      <c r="OSV3" s="62"/>
      <c r="OSW3" s="62"/>
      <c r="OSX3" s="62"/>
      <c r="OSY3" s="62"/>
      <c r="OSZ3" s="62"/>
      <c r="OTA3" s="62"/>
      <c r="OTB3" s="62"/>
      <c r="OTC3" s="62"/>
      <c r="OTD3" s="62"/>
      <c r="OTE3" s="62"/>
      <c r="OTF3" s="62"/>
      <c r="OTG3" s="62"/>
      <c r="OTH3" s="62"/>
      <c r="OTI3" s="62"/>
      <c r="OTJ3" s="62"/>
      <c r="OTK3" s="62"/>
      <c r="OTL3" s="62"/>
      <c r="OTM3" s="62"/>
      <c r="OTN3" s="62"/>
      <c r="OTO3" s="62"/>
      <c r="OTP3" s="62"/>
      <c r="OTQ3" s="62"/>
      <c r="OTR3" s="62"/>
      <c r="OTS3" s="62"/>
      <c r="OTT3" s="62"/>
      <c r="OTU3" s="62"/>
      <c r="OTV3" s="62"/>
      <c r="OTW3" s="62"/>
      <c r="OTX3" s="62"/>
      <c r="OTY3" s="62"/>
      <c r="OTZ3" s="62"/>
      <c r="OUA3" s="62"/>
      <c r="OUB3" s="62"/>
      <c r="OUC3" s="62"/>
      <c r="OUD3" s="62"/>
      <c r="OUE3" s="62"/>
      <c r="OUF3" s="62"/>
      <c r="OUG3" s="62"/>
      <c r="OUH3" s="62"/>
      <c r="OUI3" s="62"/>
      <c r="OUJ3" s="62"/>
      <c r="OUK3" s="62"/>
      <c r="OUL3" s="62"/>
      <c r="OUM3" s="62"/>
      <c r="OUN3" s="62"/>
      <c r="OUO3" s="62"/>
      <c r="OUP3" s="62"/>
      <c r="OUQ3" s="62"/>
      <c r="OUR3" s="62"/>
      <c r="OUS3" s="62"/>
      <c r="OUT3" s="62"/>
      <c r="OUU3" s="62"/>
      <c r="OUV3" s="62"/>
      <c r="OUW3" s="62"/>
      <c r="OUX3" s="62"/>
      <c r="OUY3" s="62"/>
      <c r="OUZ3" s="62"/>
      <c r="OVA3" s="62"/>
      <c r="OVB3" s="62"/>
      <c r="OVC3" s="62"/>
      <c r="OVD3" s="62"/>
      <c r="OVE3" s="62"/>
      <c r="OVF3" s="62"/>
      <c r="OVG3" s="62"/>
      <c r="OVH3" s="62"/>
      <c r="OVI3" s="62"/>
      <c r="OVJ3" s="62"/>
      <c r="OVK3" s="62"/>
      <c r="OVL3" s="62"/>
      <c r="OVM3" s="62"/>
      <c r="OVN3" s="62"/>
      <c r="OVO3" s="62"/>
      <c r="OVP3" s="62"/>
      <c r="OVQ3" s="62"/>
      <c r="OVR3" s="62"/>
      <c r="OVS3" s="62"/>
      <c r="OVT3" s="62"/>
      <c r="OVU3" s="62"/>
      <c r="OVV3" s="62"/>
      <c r="OVW3" s="62"/>
      <c r="OVX3" s="62"/>
      <c r="OVY3" s="62"/>
      <c r="OVZ3" s="62"/>
      <c r="OWA3" s="62"/>
      <c r="OWB3" s="62"/>
      <c r="OWC3" s="62"/>
      <c r="OWD3" s="62"/>
      <c r="OWE3" s="62"/>
      <c r="OWF3" s="62"/>
      <c r="OWG3" s="62"/>
      <c r="OWH3" s="62"/>
      <c r="OWI3" s="62"/>
      <c r="OWJ3" s="62"/>
      <c r="OWK3" s="62"/>
      <c r="OWL3" s="62"/>
      <c r="OWM3" s="62"/>
      <c r="OWN3" s="62"/>
      <c r="OWO3" s="62"/>
      <c r="OWP3" s="62"/>
      <c r="OWQ3" s="62"/>
      <c r="OWR3" s="62"/>
      <c r="OWS3" s="62"/>
      <c r="OWT3" s="62"/>
      <c r="OWU3" s="62"/>
      <c r="OWV3" s="62"/>
      <c r="OWW3" s="62"/>
      <c r="OWX3" s="62"/>
      <c r="OWY3" s="62"/>
      <c r="OWZ3" s="62"/>
      <c r="OXA3" s="62"/>
      <c r="OXB3" s="62"/>
      <c r="OXC3" s="62"/>
      <c r="OXD3" s="62"/>
      <c r="OXE3" s="62"/>
      <c r="OXF3" s="62"/>
      <c r="OXG3" s="62"/>
      <c r="OXH3" s="62"/>
      <c r="OXI3" s="62"/>
      <c r="OXJ3" s="62"/>
      <c r="OXK3" s="62"/>
      <c r="OXL3" s="62"/>
      <c r="OXM3" s="62"/>
      <c r="OXN3" s="62"/>
      <c r="OXO3" s="62"/>
      <c r="OXP3" s="62"/>
      <c r="OXQ3" s="62"/>
      <c r="OXR3" s="62"/>
      <c r="OXS3" s="62"/>
      <c r="OXT3" s="62"/>
      <c r="OXU3" s="62"/>
      <c r="OXV3" s="62"/>
      <c r="OXW3" s="62"/>
      <c r="OXX3" s="62"/>
      <c r="OXY3" s="62"/>
      <c r="OXZ3" s="62"/>
      <c r="OYA3" s="62"/>
      <c r="OYB3" s="62"/>
      <c r="OYC3" s="62"/>
      <c r="OYD3" s="62"/>
      <c r="OYE3" s="62"/>
      <c r="OYF3" s="62"/>
      <c r="OYG3" s="62"/>
      <c r="OYH3" s="62"/>
      <c r="OYI3" s="62"/>
      <c r="OYJ3" s="62"/>
      <c r="OYK3" s="62"/>
      <c r="OYL3" s="62"/>
      <c r="OYM3" s="62"/>
      <c r="OYN3" s="62"/>
      <c r="OYO3" s="62"/>
      <c r="OYP3" s="62"/>
      <c r="OYQ3" s="62"/>
      <c r="OYR3" s="62"/>
      <c r="OYS3" s="62"/>
      <c r="OYT3" s="62"/>
      <c r="OYU3" s="62"/>
      <c r="OYV3" s="62"/>
      <c r="OYW3" s="62"/>
      <c r="OYX3" s="62"/>
      <c r="OYY3" s="62"/>
      <c r="OYZ3" s="62"/>
      <c r="OZA3" s="62"/>
      <c r="OZB3" s="62"/>
      <c r="OZC3" s="62"/>
      <c r="OZD3" s="62"/>
      <c r="OZE3" s="62"/>
      <c r="OZF3" s="62"/>
      <c r="OZG3" s="62"/>
      <c r="OZH3" s="62"/>
      <c r="OZI3" s="62"/>
      <c r="OZJ3" s="62"/>
      <c r="OZK3" s="62"/>
      <c r="OZL3" s="62"/>
      <c r="OZM3" s="62"/>
      <c r="OZN3" s="62"/>
      <c r="OZO3" s="62"/>
      <c r="OZP3" s="62"/>
      <c r="OZQ3" s="62"/>
      <c r="OZR3" s="62"/>
      <c r="OZS3" s="62"/>
      <c r="OZT3" s="62"/>
      <c r="OZU3" s="62"/>
      <c r="OZV3" s="62"/>
      <c r="OZW3" s="62"/>
      <c r="OZX3" s="62"/>
      <c r="OZY3" s="62"/>
      <c r="OZZ3" s="62"/>
      <c r="PAA3" s="62"/>
      <c r="PAB3" s="62"/>
      <c r="PAC3" s="62"/>
      <c r="PAD3" s="62"/>
      <c r="PAE3" s="62"/>
      <c r="PAF3" s="62"/>
      <c r="PAG3" s="62"/>
      <c r="PAH3" s="62"/>
      <c r="PAI3" s="62"/>
      <c r="PAJ3" s="62"/>
      <c r="PAK3" s="62"/>
      <c r="PAL3" s="62"/>
      <c r="PAM3" s="62"/>
      <c r="PAN3" s="62"/>
      <c r="PAO3" s="62"/>
      <c r="PAP3" s="62"/>
      <c r="PAQ3" s="62"/>
      <c r="PAR3" s="62"/>
      <c r="PAS3" s="62"/>
      <c r="PAT3" s="62"/>
      <c r="PAU3" s="62"/>
      <c r="PAV3" s="62"/>
      <c r="PAW3" s="62"/>
      <c r="PAX3" s="62"/>
      <c r="PAY3" s="62"/>
      <c r="PAZ3" s="62"/>
      <c r="PBA3" s="62"/>
      <c r="PBB3" s="62"/>
      <c r="PBC3" s="62"/>
      <c r="PBD3" s="62"/>
      <c r="PBE3" s="62"/>
      <c r="PBF3" s="62"/>
      <c r="PBG3" s="62"/>
      <c r="PBH3" s="62"/>
      <c r="PBI3" s="62"/>
      <c r="PBJ3" s="62"/>
      <c r="PBK3" s="62"/>
      <c r="PBL3" s="62"/>
      <c r="PBM3" s="62"/>
      <c r="PBN3" s="62"/>
      <c r="PBO3" s="62"/>
      <c r="PBP3" s="62"/>
      <c r="PBQ3" s="62"/>
      <c r="PBR3" s="62"/>
      <c r="PBS3" s="62"/>
      <c r="PBT3" s="62"/>
      <c r="PBU3" s="62"/>
      <c r="PBV3" s="62"/>
      <c r="PBW3" s="62"/>
      <c r="PBX3" s="62"/>
      <c r="PBY3" s="62"/>
      <c r="PBZ3" s="62"/>
      <c r="PCA3" s="62"/>
      <c r="PCB3" s="62"/>
      <c r="PCC3" s="62"/>
      <c r="PCD3" s="62"/>
      <c r="PCE3" s="62"/>
      <c r="PCF3" s="62"/>
      <c r="PCG3" s="62"/>
      <c r="PCH3" s="62"/>
      <c r="PCI3" s="62"/>
      <c r="PCJ3" s="62"/>
      <c r="PCK3" s="62"/>
      <c r="PCL3" s="62"/>
      <c r="PCM3" s="62"/>
      <c r="PCN3" s="62"/>
      <c r="PCO3" s="62"/>
      <c r="PCP3" s="62"/>
      <c r="PCQ3" s="62"/>
      <c r="PCR3" s="62"/>
      <c r="PCS3" s="62"/>
      <c r="PCT3" s="62"/>
      <c r="PCU3" s="62"/>
      <c r="PCV3" s="62"/>
      <c r="PCW3" s="62"/>
      <c r="PCX3" s="62"/>
      <c r="PCY3" s="62"/>
      <c r="PCZ3" s="62"/>
      <c r="PDA3" s="62"/>
      <c r="PDB3" s="62"/>
      <c r="PDC3" s="62"/>
      <c r="PDD3" s="62"/>
      <c r="PDE3" s="62"/>
      <c r="PDF3" s="62"/>
      <c r="PDG3" s="62"/>
      <c r="PDH3" s="62"/>
      <c r="PDI3" s="62"/>
      <c r="PDJ3" s="62"/>
      <c r="PDK3" s="62"/>
      <c r="PDL3" s="62"/>
      <c r="PDM3" s="62"/>
      <c r="PDN3" s="62"/>
      <c r="PDO3" s="62"/>
      <c r="PDP3" s="62"/>
      <c r="PDQ3" s="62"/>
      <c r="PDR3" s="62"/>
      <c r="PDS3" s="62"/>
      <c r="PDT3" s="62"/>
      <c r="PDU3" s="62"/>
      <c r="PDV3" s="62"/>
      <c r="PDW3" s="62"/>
      <c r="PDX3" s="62"/>
      <c r="PDY3" s="62"/>
      <c r="PDZ3" s="62"/>
      <c r="PEA3" s="62"/>
      <c r="PEB3" s="62"/>
      <c r="PEC3" s="62"/>
      <c r="PED3" s="62"/>
      <c r="PEE3" s="62"/>
      <c r="PEF3" s="62"/>
      <c r="PEG3" s="62"/>
      <c r="PEH3" s="62"/>
      <c r="PEI3" s="62"/>
      <c r="PEJ3" s="62"/>
      <c r="PEK3" s="62"/>
      <c r="PEL3" s="62"/>
      <c r="PEM3" s="62"/>
      <c r="PEN3" s="62"/>
      <c r="PEO3" s="62"/>
      <c r="PEP3" s="62"/>
      <c r="PEQ3" s="62"/>
      <c r="PER3" s="62"/>
      <c r="PES3" s="62"/>
      <c r="PET3" s="62"/>
      <c r="PEU3" s="62"/>
      <c r="PEV3" s="62"/>
      <c r="PEW3" s="62"/>
      <c r="PEX3" s="62"/>
      <c r="PEY3" s="62"/>
      <c r="PEZ3" s="62"/>
      <c r="PFA3" s="62"/>
      <c r="PFB3" s="62"/>
      <c r="PFC3" s="62"/>
      <c r="PFD3" s="62"/>
      <c r="PFE3" s="62"/>
      <c r="PFF3" s="62"/>
      <c r="PFG3" s="62"/>
      <c r="PFH3" s="62"/>
      <c r="PFI3" s="62"/>
      <c r="PFJ3" s="62"/>
      <c r="PFK3" s="62"/>
      <c r="PFL3" s="62"/>
      <c r="PFM3" s="62"/>
      <c r="PFN3" s="62"/>
      <c r="PFO3" s="62"/>
      <c r="PFP3" s="62"/>
      <c r="PFQ3" s="62"/>
      <c r="PFR3" s="62"/>
      <c r="PFS3" s="62"/>
      <c r="PFT3" s="62"/>
      <c r="PFU3" s="62"/>
      <c r="PFV3" s="62"/>
      <c r="PFW3" s="62"/>
      <c r="PFX3" s="62"/>
      <c r="PFY3" s="62"/>
      <c r="PFZ3" s="62"/>
      <c r="PGA3" s="62"/>
      <c r="PGB3" s="62"/>
      <c r="PGC3" s="62"/>
      <c r="PGD3" s="62"/>
      <c r="PGE3" s="62"/>
      <c r="PGF3" s="62"/>
      <c r="PGG3" s="62"/>
      <c r="PGH3" s="62"/>
      <c r="PGI3" s="62"/>
      <c r="PGJ3" s="62"/>
      <c r="PGK3" s="62"/>
      <c r="PGL3" s="62"/>
      <c r="PGM3" s="62"/>
      <c r="PGN3" s="62"/>
      <c r="PGO3" s="62"/>
      <c r="PGP3" s="62"/>
      <c r="PGQ3" s="62"/>
      <c r="PGR3" s="62"/>
      <c r="PGS3" s="62"/>
      <c r="PGT3" s="62"/>
      <c r="PGU3" s="62"/>
      <c r="PGV3" s="62"/>
      <c r="PGW3" s="62"/>
      <c r="PGX3" s="62"/>
      <c r="PGY3" s="62"/>
      <c r="PGZ3" s="62"/>
      <c r="PHA3" s="62"/>
      <c r="PHB3" s="62"/>
      <c r="PHC3" s="62"/>
      <c r="PHD3" s="62"/>
      <c r="PHE3" s="62"/>
      <c r="PHF3" s="62"/>
      <c r="PHG3" s="62"/>
      <c r="PHH3" s="62"/>
      <c r="PHI3" s="62"/>
      <c r="PHJ3" s="62"/>
      <c r="PHK3" s="62"/>
      <c r="PHL3" s="62"/>
      <c r="PHM3" s="62"/>
      <c r="PHN3" s="62"/>
      <c r="PHO3" s="62"/>
      <c r="PHP3" s="62"/>
      <c r="PHQ3" s="62"/>
      <c r="PHR3" s="62"/>
      <c r="PHS3" s="62"/>
      <c r="PHT3" s="62"/>
      <c r="PHU3" s="62"/>
      <c r="PHV3" s="62"/>
      <c r="PHW3" s="62"/>
      <c r="PHX3" s="62"/>
      <c r="PHY3" s="62"/>
      <c r="PHZ3" s="62"/>
      <c r="PIA3" s="62"/>
      <c r="PIB3" s="62"/>
      <c r="PIC3" s="62"/>
      <c r="PID3" s="62"/>
      <c r="PIE3" s="62"/>
      <c r="PIF3" s="62"/>
      <c r="PIG3" s="62"/>
      <c r="PIH3" s="62"/>
      <c r="PII3" s="62"/>
      <c r="PIJ3" s="62"/>
      <c r="PIK3" s="62"/>
      <c r="PIL3" s="62"/>
      <c r="PIM3" s="62"/>
      <c r="PIN3" s="62"/>
      <c r="PIO3" s="62"/>
      <c r="PIP3" s="62"/>
      <c r="PIQ3" s="62"/>
      <c r="PIR3" s="62"/>
      <c r="PIS3" s="62"/>
      <c r="PIT3" s="62"/>
      <c r="PIU3" s="62"/>
      <c r="PIV3" s="62"/>
      <c r="PIW3" s="62"/>
      <c r="PIX3" s="62"/>
      <c r="PIY3" s="62"/>
      <c r="PIZ3" s="62"/>
      <c r="PJA3" s="62"/>
      <c r="PJB3" s="62"/>
      <c r="PJC3" s="62"/>
      <c r="PJD3" s="62"/>
      <c r="PJE3" s="62"/>
      <c r="PJF3" s="62"/>
      <c r="PJG3" s="62"/>
      <c r="PJH3" s="62"/>
      <c r="PJI3" s="62"/>
      <c r="PJJ3" s="62"/>
      <c r="PJK3" s="62"/>
      <c r="PJL3" s="62"/>
      <c r="PJM3" s="62"/>
      <c r="PJN3" s="62"/>
      <c r="PJO3" s="62"/>
      <c r="PJP3" s="62"/>
      <c r="PJQ3" s="62"/>
      <c r="PJR3" s="62"/>
      <c r="PJS3" s="62"/>
      <c r="PJT3" s="62"/>
      <c r="PJU3" s="62"/>
      <c r="PJV3" s="62"/>
      <c r="PJW3" s="62"/>
      <c r="PJX3" s="62"/>
      <c r="PJY3" s="62"/>
      <c r="PJZ3" s="62"/>
      <c r="PKA3" s="62"/>
      <c r="PKB3" s="62"/>
      <c r="PKC3" s="62"/>
      <c r="PKD3" s="62"/>
      <c r="PKE3" s="62"/>
      <c r="PKF3" s="62"/>
      <c r="PKG3" s="62"/>
      <c r="PKH3" s="62"/>
      <c r="PKI3" s="62"/>
      <c r="PKJ3" s="62"/>
      <c r="PKK3" s="62"/>
      <c r="PKL3" s="62"/>
      <c r="PKM3" s="62"/>
      <c r="PKN3" s="62"/>
      <c r="PKO3" s="62"/>
      <c r="PKP3" s="62"/>
      <c r="PKQ3" s="62"/>
      <c r="PKR3" s="62"/>
      <c r="PKS3" s="62"/>
      <c r="PKT3" s="62"/>
      <c r="PKU3" s="62"/>
      <c r="PKV3" s="62"/>
      <c r="PKW3" s="62"/>
      <c r="PKX3" s="62"/>
      <c r="PKY3" s="62"/>
      <c r="PKZ3" s="62"/>
      <c r="PLA3" s="62"/>
      <c r="PLB3" s="62"/>
      <c r="PLC3" s="62"/>
      <c r="PLD3" s="62"/>
      <c r="PLE3" s="62"/>
      <c r="PLF3" s="62"/>
      <c r="PLG3" s="62"/>
      <c r="PLH3" s="62"/>
      <c r="PLI3" s="62"/>
      <c r="PLJ3" s="62"/>
      <c r="PLK3" s="62"/>
      <c r="PLL3" s="62"/>
      <c r="PLM3" s="62"/>
      <c r="PLN3" s="62"/>
      <c r="PLO3" s="62"/>
      <c r="PLP3" s="62"/>
      <c r="PLQ3" s="62"/>
      <c r="PLR3" s="62"/>
      <c r="PLS3" s="62"/>
      <c r="PLT3" s="62"/>
      <c r="PLU3" s="62"/>
      <c r="PLV3" s="62"/>
      <c r="PLW3" s="62"/>
      <c r="PLX3" s="62"/>
      <c r="PLY3" s="62"/>
      <c r="PLZ3" s="62"/>
      <c r="PMA3" s="62"/>
      <c r="PMB3" s="62"/>
      <c r="PMC3" s="62"/>
      <c r="PMD3" s="62"/>
      <c r="PME3" s="62"/>
      <c r="PMF3" s="62"/>
      <c r="PMG3" s="62"/>
      <c r="PMH3" s="62"/>
      <c r="PMI3" s="62"/>
      <c r="PMJ3" s="62"/>
      <c r="PMK3" s="62"/>
      <c r="PML3" s="62"/>
      <c r="PMM3" s="62"/>
      <c r="PMN3" s="62"/>
      <c r="PMO3" s="62"/>
      <c r="PMP3" s="62"/>
      <c r="PMQ3" s="62"/>
      <c r="PMR3" s="62"/>
      <c r="PMS3" s="62"/>
      <c r="PMT3" s="62"/>
      <c r="PMU3" s="62"/>
      <c r="PMV3" s="62"/>
      <c r="PMW3" s="62"/>
      <c r="PMX3" s="62"/>
      <c r="PMY3" s="62"/>
      <c r="PMZ3" s="62"/>
      <c r="PNA3" s="62"/>
      <c r="PNB3" s="62"/>
      <c r="PNC3" s="62"/>
      <c r="PND3" s="62"/>
      <c r="PNE3" s="62"/>
      <c r="PNF3" s="62"/>
      <c r="PNG3" s="62"/>
      <c r="PNH3" s="62"/>
      <c r="PNI3" s="62"/>
      <c r="PNJ3" s="62"/>
      <c r="PNK3" s="62"/>
      <c r="PNL3" s="62"/>
      <c r="PNM3" s="62"/>
      <c r="PNN3" s="62"/>
      <c r="PNO3" s="62"/>
      <c r="PNP3" s="62"/>
      <c r="PNQ3" s="62"/>
      <c r="PNR3" s="62"/>
      <c r="PNS3" s="62"/>
      <c r="PNT3" s="62"/>
      <c r="PNU3" s="62"/>
      <c r="PNV3" s="62"/>
      <c r="PNW3" s="62"/>
      <c r="PNX3" s="62"/>
      <c r="PNY3" s="62"/>
      <c r="PNZ3" s="62"/>
      <c r="POA3" s="62"/>
      <c r="POB3" s="62"/>
      <c r="POC3" s="62"/>
      <c r="POD3" s="62"/>
      <c r="POE3" s="62"/>
      <c r="POF3" s="62"/>
      <c r="POG3" s="62"/>
      <c r="POH3" s="62"/>
      <c r="POI3" s="62"/>
      <c r="POJ3" s="62"/>
      <c r="POK3" s="62"/>
      <c r="POL3" s="62"/>
      <c r="POM3" s="62"/>
      <c r="PON3" s="62"/>
      <c r="POO3" s="62"/>
      <c r="POP3" s="62"/>
      <c r="POQ3" s="62"/>
      <c r="POR3" s="62"/>
      <c r="POS3" s="62"/>
      <c r="POT3" s="62"/>
      <c r="POU3" s="62"/>
      <c r="POV3" s="62"/>
      <c r="POW3" s="62"/>
      <c r="POX3" s="62"/>
      <c r="POY3" s="62"/>
      <c r="POZ3" s="62"/>
      <c r="PPA3" s="62"/>
      <c r="PPB3" s="62"/>
      <c r="PPC3" s="62"/>
      <c r="PPD3" s="62"/>
      <c r="PPE3" s="62"/>
      <c r="PPF3" s="62"/>
      <c r="PPG3" s="62"/>
      <c r="PPH3" s="62"/>
      <c r="PPI3" s="62"/>
      <c r="PPJ3" s="62"/>
      <c r="PPK3" s="62"/>
      <c r="PPL3" s="62"/>
      <c r="PPM3" s="62"/>
      <c r="PPN3" s="62"/>
      <c r="PPO3" s="62"/>
      <c r="PPP3" s="62"/>
      <c r="PPQ3" s="62"/>
      <c r="PPR3" s="62"/>
      <c r="PPS3" s="62"/>
      <c r="PPT3" s="62"/>
      <c r="PPU3" s="62"/>
      <c r="PPV3" s="62"/>
      <c r="PPW3" s="62"/>
      <c r="PPX3" s="62"/>
      <c r="PPY3" s="62"/>
      <c r="PPZ3" s="62"/>
      <c r="PQA3" s="62"/>
      <c r="PQB3" s="62"/>
      <c r="PQC3" s="62"/>
      <c r="PQD3" s="62"/>
      <c r="PQE3" s="62"/>
      <c r="PQF3" s="62"/>
      <c r="PQG3" s="62"/>
      <c r="PQH3" s="62"/>
      <c r="PQI3" s="62"/>
      <c r="PQJ3" s="62"/>
      <c r="PQK3" s="62"/>
      <c r="PQL3" s="62"/>
      <c r="PQM3" s="62"/>
      <c r="PQN3" s="62"/>
      <c r="PQO3" s="62"/>
      <c r="PQP3" s="62"/>
      <c r="PQQ3" s="62"/>
      <c r="PQR3" s="62"/>
      <c r="PQS3" s="62"/>
      <c r="PQT3" s="62"/>
      <c r="PQU3" s="62"/>
      <c r="PQV3" s="62"/>
      <c r="PQW3" s="62"/>
      <c r="PQX3" s="62"/>
      <c r="PQY3" s="62"/>
      <c r="PQZ3" s="62"/>
      <c r="PRA3" s="62"/>
      <c r="PRB3" s="62"/>
      <c r="PRC3" s="62"/>
      <c r="PRD3" s="62"/>
      <c r="PRE3" s="62"/>
      <c r="PRF3" s="62"/>
      <c r="PRG3" s="62"/>
      <c r="PRH3" s="62"/>
      <c r="PRI3" s="62"/>
      <c r="PRJ3" s="62"/>
      <c r="PRK3" s="62"/>
      <c r="PRL3" s="62"/>
      <c r="PRM3" s="62"/>
      <c r="PRN3" s="62"/>
      <c r="PRO3" s="62"/>
      <c r="PRP3" s="62"/>
      <c r="PRQ3" s="62"/>
      <c r="PRR3" s="62"/>
      <c r="PRS3" s="62"/>
      <c r="PRT3" s="62"/>
      <c r="PRU3" s="62"/>
      <c r="PRV3" s="62"/>
      <c r="PRW3" s="62"/>
      <c r="PRX3" s="62"/>
      <c r="PRY3" s="62"/>
      <c r="PRZ3" s="62"/>
      <c r="PSA3" s="62"/>
      <c r="PSB3" s="62"/>
      <c r="PSC3" s="62"/>
      <c r="PSD3" s="62"/>
      <c r="PSE3" s="62"/>
      <c r="PSF3" s="62"/>
      <c r="PSG3" s="62"/>
      <c r="PSH3" s="62"/>
      <c r="PSI3" s="62"/>
      <c r="PSJ3" s="62"/>
      <c r="PSK3" s="62"/>
      <c r="PSL3" s="62"/>
      <c r="PSM3" s="62"/>
      <c r="PSN3" s="62"/>
      <c r="PSO3" s="62"/>
      <c r="PSP3" s="62"/>
      <c r="PSQ3" s="62"/>
      <c r="PSR3" s="62"/>
      <c r="PSS3" s="62"/>
      <c r="PST3" s="62"/>
      <c r="PSU3" s="62"/>
      <c r="PSV3" s="62"/>
      <c r="PSW3" s="62"/>
      <c r="PSX3" s="62"/>
      <c r="PSY3" s="62"/>
      <c r="PSZ3" s="62"/>
      <c r="PTA3" s="62"/>
      <c r="PTB3" s="62"/>
      <c r="PTC3" s="62"/>
      <c r="PTD3" s="62"/>
      <c r="PTE3" s="62"/>
      <c r="PTF3" s="62"/>
      <c r="PTG3" s="62"/>
      <c r="PTH3" s="62"/>
      <c r="PTI3" s="62"/>
      <c r="PTJ3" s="62"/>
      <c r="PTK3" s="62"/>
      <c r="PTL3" s="62"/>
      <c r="PTM3" s="62"/>
      <c r="PTN3" s="62"/>
      <c r="PTO3" s="62"/>
      <c r="PTP3" s="62"/>
      <c r="PTQ3" s="62"/>
      <c r="PTR3" s="62"/>
      <c r="PTS3" s="62"/>
      <c r="PTT3" s="62"/>
      <c r="PTU3" s="62"/>
      <c r="PTV3" s="62"/>
      <c r="PTW3" s="62"/>
      <c r="PTX3" s="62"/>
      <c r="PTY3" s="62"/>
      <c r="PTZ3" s="62"/>
      <c r="PUA3" s="62"/>
      <c r="PUB3" s="62"/>
      <c r="PUC3" s="62"/>
      <c r="PUD3" s="62"/>
      <c r="PUE3" s="62"/>
      <c r="PUF3" s="62"/>
      <c r="PUG3" s="62"/>
      <c r="PUH3" s="62"/>
      <c r="PUI3" s="62"/>
      <c r="PUJ3" s="62"/>
      <c r="PUK3" s="62"/>
      <c r="PUL3" s="62"/>
      <c r="PUM3" s="62"/>
      <c r="PUN3" s="62"/>
      <c r="PUO3" s="62"/>
      <c r="PUP3" s="62"/>
      <c r="PUQ3" s="62"/>
      <c r="PUR3" s="62"/>
      <c r="PUS3" s="62"/>
      <c r="PUT3" s="62"/>
      <c r="PUU3" s="62"/>
      <c r="PUV3" s="62"/>
      <c r="PUW3" s="62"/>
      <c r="PUX3" s="62"/>
      <c r="PUY3" s="62"/>
      <c r="PUZ3" s="62"/>
      <c r="PVA3" s="62"/>
      <c r="PVB3" s="62"/>
      <c r="PVC3" s="62"/>
      <c r="PVD3" s="62"/>
      <c r="PVE3" s="62"/>
      <c r="PVF3" s="62"/>
      <c r="PVG3" s="62"/>
      <c r="PVH3" s="62"/>
      <c r="PVI3" s="62"/>
      <c r="PVJ3" s="62"/>
      <c r="PVK3" s="62"/>
      <c r="PVL3" s="62"/>
      <c r="PVM3" s="62"/>
      <c r="PVN3" s="62"/>
      <c r="PVO3" s="62"/>
      <c r="PVP3" s="62"/>
      <c r="PVQ3" s="62"/>
      <c r="PVR3" s="62"/>
      <c r="PVS3" s="62"/>
      <c r="PVT3" s="62"/>
      <c r="PVU3" s="62"/>
      <c r="PVV3" s="62"/>
      <c r="PVW3" s="62"/>
      <c r="PVX3" s="62"/>
      <c r="PVY3" s="62"/>
      <c r="PVZ3" s="62"/>
      <c r="PWA3" s="62"/>
      <c r="PWB3" s="62"/>
      <c r="PWC3" s="62"/>
      <c r="PWD3" s="62"/>
      <c r="PWE3" s="62"/>
      <c r="PWF3" s="62"/>
      <c r="PWG3" s="62"/>
      <c r="PWH3" s="62"/>
      <c r="PWI3" s="62"/>
      <c r="PWJ3" s="62"/>
      <c r="PWK3" s="62"/>
      <c r="PWL3" s="62"/>
      <c r="PWM3" s="62"/>
      <c r="PWN3" s="62"/>
      <c r="PWO3" s="62"/>
      <c r="PWP3" s="62"/>
      <c r="PWQ3" s="62"/>
      <c r="PWR3" s="62"/>
      <c r="PWS3" s="62"/>
      <c r="PWT3" s="62"/>
      <c r="PWU3" s="62"/>
      <c r="PWV3" s="62"/>
      <c r="PWW3" s="62"/>
      <c r="PWX3" s="62"/>
      <c r="PWY3" s="62"/>
      <c r="PWZ3" s="62"/>
      <c r="PXA3" s="62"/>
      <c r="PXB3" s="62"/>
      <c r="PXC3" s="62"/>
      <c r="PXD3" s="62"/>
      <c r="PXE3" s="62"/>
      <c r="PXF3" s="62"/>
      <c r="PXG3" s="62"/>
      <c r="PXH3" s="62"/>
      <c r="PXI3" s="62"/>
      <c r="PXJ3" s="62"/>
      <c r="PXK3" s="62"/>
      <c r="PXL3" s="62"/>
      <c r="PXM3" s="62"/>
      <c r="PXN3" s="62"/>
      <c r="PXO3" s="62"/>
      <c r="PXP3" s="62"/>
      <c r="PXQ3" s="62"/>
      <c r="PXR3" s="62"/>
      <c r="PXS3" s="62"/>
      <c r="PXT3" s="62"/>
      <c r="PXU3" s="62"/>
      <c r="PXV3" s="62"/>
      <c r="PXW3" s="62"/>
      <c r="PXX3" s="62"/>
      <c r="PXY3" s="62"/>
      <c r="PXZ3" s="62"/>
      <c r="PYA3" s="62"/>
      <c r="PYB3" s="62"/>
      <c r="PYC3" s="62"/>
      <c r="PYD3" s="62"/>
      <c r="PYE3" s="62"/>
      <c r="PYF3" s="62"/>
      <c r="PYG3" s="62"/>
      <c r="PYH3" s="62"/>
      <c r="PYI3" s="62"/>
      <c r="PYJ3" s="62"/>
      <c r="PYK3" s="62"/>
      <c r="PYL3" s="62"/>
      <c r="PYM3" s="62"/>
      <c r="PYN3" s="62"/>
      <c r="PYO3" s="62"/>
      <c r="PYP3" s="62"/>
      <c r="PYQ3" s="62"/>
      <c r="PYR3" s="62"/>
      <c r="PYS3" s="62"/>
      <c r="PYT3" s="62"/>
      <c r="PYU3" s="62"/>
      <c r="PYV3" s="62"/>
      <c r="PYW3" s="62"/>
      <c r="PYX3" s="62"/>
      <c r="PYY3" s="62"/>
      <c r="PYZ3" s="62"/>
      <c r="PZA3" s="62"/>
      <c r="PZB3" s="62"/>
      <c r="PZC3" s="62"/>
      <c r="PZD3" s="62"/>
      <c r="PZE3" s="62"/>
      <c r="PZF3" s="62"/>
      <c r="PZG3" s="62"/>
      <c r="PZH3" s="62"/>
      <c r="PZI3" s="62"/>
      <c r="PZJ3" s="62"/>
      <c r="PZK3" s="62"/>
      <c r="PZL3" s="62"/>
      <c r="PZM3" s="62"/>
      <c r="PZN3" s="62"/>
      <c r="PZO3" s="62"/>
      <c r="PZP3" s="62"/>
      <c r="PZQ3" s="62"/>
      <c r="PZR3" s="62"/>
      <c r="PZS3" s="62"/>
      <c r="PZT3" s="62"/>
      <c r="PZU3" s="62"/>
      <c r="PZV3" s="62"/>
      <c r="PZW3" s="62"/>
      <c r="PZX3" s="62"/>
      <c r="PZY3" s="62"/>
      <c r="PZZ3" s="62"/>
      <c r="QAA3" s="62"/>
      <c r="QAB3" s="62"/>
      <c r="QAC3" s="62"/>
      <c r="QAD3" s="62"/>
      <c r="QAE3" s="62"/>
      <c r="QAF3" s="62"/>
      <c r="QAG3" s="62"/>
      <c r="QAH3" s="62"/>
      <c r="QAI3" s="62"/>
      <c r="QAJ3" s="62"/>
      <c r="QAK3" s="62"/>
      <c r="QAL3" s="62"/>
      <c r="QAM3" s="62"/>
      <c r="QAN3" s="62"/>
      <c r="QAO3" s="62"/>
      <c r="QAP3" s="62"/>
      <c r="QAQ3" s="62"/>
      <c r="QAR3" s="62"/>
      <c r="QAS3" s="62"/>
      <c r="QAT3" s="62"/>
      <c r="QAU3" s="62"/>
      <c r="QAV3" s="62"/>
      <c r="QAW3" s="62"/>
      <c r="QAX3" s="62"/>
      <c r="QAY3" s="62"/>
      <c r="QAZ3" s="62"/>
      <c r="QBA3" s="62"/>
      <c r="QBB3" s="62"/>
      <c r="QBC3" s="62"/>
      <c r="QBD3" s="62"/>
      <c r="QBE3" s="62"/>
      <c r="QBF3" s="62"/>
      <c r="QBG3" s="62"/>
      <c r="QBH3" s="62"/>
      <c r="QBI3" s="62"/>
      <c r="QBJ3" s="62"/>
      <c r="QBK3" s="62"/>
      <c r="QBL3" s="62"/>
      <c r="QBM3" s="62"/>
      <c r="QBN3" s="62"/>
      <c r="QBO3" s="62"/>
      <c r="QBP3" s="62"/>
      <c r="QBQ3" s="62"/>
      <c r="QBR3" s="62"/>
      <c r="QBS3" s="62"/>
      <c r="QBT3" s="62"/>
      <c r="QBU3" s="62"/>
      <c r="QBV3" s="62"/>
      <c r="QBW3" s="62"/>
      <c r="QBX3" s="62"/>
      <c r="QBY3" s="62"/>
      <c r="QBZ3" s="62"/>
      <c r="QCA3" s="62"/>
      <c r="QCB3" s="62"/>
      <c r="QCC3" s="62"/>
      <c r="QCD3" s="62"/>
      <c r="QCE3" s="62"/>
      <c r="QCF3" s="62"/>
      <c r="QCG3" s="62"/>
      <c r="QCH3" s="62"/>
      <c r="QCI3" s="62"/>
      <c r="QCJ3" s="62"/>
      <c r="QCK3" s="62"/>
      <c r="QCL3" s="62"/>
      <c r="QCM3" s="62"/>
      <c r="QCN3" s="62"/>
      <c r="QCO3" s="62"/>
      <c r="QCP3" s="62"/>
      <c r="QCQ3" s="62"/>
      <c r="QCR3" s="62"/>
      <c r="QCS3" s="62"/>
      <c r="QCT3" s="62"/>
      <c r="QCU3" s="62"/>
      <c r="QCV3" s="62"/>
      <c r="QCW3" s="62"/>
      <c r="QCX3" s="62"/>
      <c r="QCY3" s="62"/>
      <c r="QCZ3" s="62"/>
      <c r="QDA3" s="62"/>
      <c r="QDB3" s="62"/>
      <c r="QDC3" s="62"/>
      <c r="QDD3" s="62"/>
      <c r="QDE3" s="62"/>
      <c r="QDF3" s="62"/>
      <c r="QDG3" s="62"/>
      <c r="QDH3" s="62"/>
      <c r="QDI3" s="62"/>
      <c r="QDJ3" s="62"/>
      <c r="QDK3" s="62"/>
      <c r="QDL3" s="62"/>
      <c r="QDM3" s="62"/>
      <c r="QDN3" s="62"/>
      <c r="QDO3" s="62"/>
      <c r="QDP3" s="62"/>
      <c r="QDQ3" s="62"/>
      <c r="QDR3" s="62"/>
      <c r="QDS3" s="62"/>
      <c r="QDT3" s="62"/>
      <c r="QDU3" s="62"/>
      <c r="QDV3" s="62"/>
      <c r="QDW3" s="62"/>
      <c r="QDX3" s="62"/>
      <c r="QDY3" s="62"/>
      <c r="QDZ3" s="62"/>
      <c r="QEA3" s="62"/>
      <c r="QEB3" s="62"/>
      <c r="QEC3" s="62"/>
      <c r="QED3" s="62"/>
      <c r="QEE3" s="62"/>
      <c r="QEF3" s="62"/>
      <c r="QEG3" s="62"/>
      <c r="QEH3" s="62"/>
      <c r="QEI3" s="62"/>
      <c r="QEJ3" s="62"/>
      <c r="QEK3" s="62"/>
      <c r="QEL3" s="62"/>
      <c r="QEM3" s="62"/>
      <c r="QEN3" s="62"/>
      <c r="QEO3" s="62"/>
      <c r="QEP3" s="62"/>
      <c r="QEQ3" s="62"/>
      <c r="QER3" s="62"/>
      <c r="QES3" s="62"/>
      <c r="QET3" s="62"/>
      <c r="QEU3" s="62"/>
      <c r="QEV3" s="62"/>
      <c r="QEW3" s="62"/>
      <c r="QEX3" s="62"/>
      <c r="QEY3" s="62"/>
      <c r="QEZ3" s="62"/>
      <c r="QFA3" s="62"/>
      <c r="QFB3" s="62"/>
      <c r="QFC3" s="62"/>
      <c r="QFD3" s="62"/>
      <c r="QFE3" s="62"/>
      <c r="QFF3" s="62"/>
      <c r="QFG3" s="62"/>
      <c r="QFH3" s="62"/>
      <c r="QFI3" s="62"/>
      <c r="QFJ3" s="62"/>
      <c r="QFK3" s="62"/>
      <c r="QFL3" s="62"/>
      <c r="QFM3" s="62"/>
      <c r="QFN3" s="62"/>
      <c r="QFO3" s="62"/>
      <c r="QFP3" s="62"/>
      <c r="QFQ3" s="62"/>
      <c r="QFR3" s="62"/>
      <c r="QFS3" s="62"/>
      <c r="QFT3" s="62"/>
      <c r="QFU3" s="62"/>
      <c r="QFV3" s="62"/>
      <c r="QFW3" s="62"/>
      <c r="QFX3" s="62"/>
      <c r="QFY3" s="62"/>
      <c r="QFZ3" s="62"/>
      <c r="QGA3" s="62"/>
      <c r="QGB3" s="62"/>
      <c r="QGC3" s="62"/>
      <c r="QGD3" s="62"/>
      <c r="QGE3" s="62"/>
      <c r="QGF3" s="62"/>
      <c r="QGG3" s="62"/>
      <c r="QGH3" s="62"/>
      <c r="QGI3" s="62"/>
      <c r="QGJ3" s="62"/>
      <c r="QGK3" s="62"/>
      <c r="QGL3" s="62"/>
      <c r="QGM3" s="62"/>
      <c r="QGN3" s="62"/>
      <c r="QGO3" s="62"/>
      <c r="QGP3" s="62"/>
      <c r="QGQ3" s="62"/>
      <c r="QGR3" s="62"/>
      <c r="QGS3" s="62"/>
      <c r="QGT3" s="62"/>
      <c r="QGU3" s="62"/>
      <c r="QGV3" s="62"/>
      <c r="QGW3" s="62"/>
      <c r="QGX3" s="62"/>
      <c r="QGY3" s="62"/>
      <c r="QGZ3" s="62"/>
      <c r="QHA3" s="62"/>
      <c r="QHB3" s="62"/>
      <c r="QHC3" s="62"/>
      <c r="QHD3" s="62"/>
      <c r="QHE3" s="62"/>
      <c r="QHF3" s="62"/>
      <c r="QHG3" s="62"/>
      <c r="QHH3" s="62"/>
      <c r="QHI3" s="62"/>
      <c r="QHJ3" s="62"/>
      <c r="QHK3" s="62"/>
      <c r="QHL3" s="62"/>
      <c r="QHM3" s="62"/>
      <c r="QHN3" s="62"/>
      <c r="QHO3" s="62"/>
      <c r="QHP3" s="62"/>
      <c r="QHQ3" s="62"/>
      <c r="QHR3" s="62"/>
      <c r="QHS3" s="62"/>
      <c r="QHT3" s="62"/>
      <c r="QHU3" s="62"/>
      <c r="QHV3" s="62"/>
      <c r="QHW3" s="62"/>
      <c r="QHX3" s="62"/>
      <c r="QHY3" s="62"/>
      <c r="QHZ3" s="62"/>
      <c r="QIA3" s="62"/>
      <c r="QIB3" s="62"/>
      <c r="QIC3" s="62"/>
      <c r="QID3" s="62"/>
      <c r="QIE3" s="62"/>
      <c r="QIF3" s="62"/>
      <c r="QIG3" s="62"/>
      <c r="QIH3" s="62"/>
      <c r="QII3" s="62"/>
      <c r="QIJ3" s="62"/>
      <c r="QIK3" s="62"/>
      <c r="QIL3" s="62"/>
      <c r="QIM3" s="62"/>
      <c r="QIN3" s="62"/>
      <c r="QIO3" s="62"/>
      <c r="QIP3" s="62"/>
      <c r="QIQ3" s="62"/>
      <c r="QIR3" s="62"/>
      <c r="QIS3" s="62"/>
      <c r="QIT3" s="62"/>
      <c r="QIU3" s="62"/>
      <c r="QIV3" s="62"/>
      <c r="QIW3" s="62"/>
      <c r="QIX3" s="62"/>
      <c r="QIY3" s="62"/>
      <c r="QIZ3" s="62"/>
      <c r="QJA3" s="62"/>
      <c r="QJB3" s="62"/>
      <c r="QJC3" s="62"/>
      <c r="QJD3" s="62"/>
      <c r="QJE3" s="62"/>
      <c r="QJF3" s="62"/>
      <c r="QJG3" s="62"/>
      <c r="QJH3" s="62"/>
      <c r="QJI3" s="62"/>
      <c r="QJJ3" s="62"/>
      <c r="QJK3" s="62"/>
      <c r="QJL3" s="62"/>
      <c r="QJM3" s="62"/>
      <c r="QJN3" s="62"/>
      <c r="QJO3" s="62"/>
      <c r="QJP3" s="62"/>
      <c r="QJQ3" s="62"/>
      <c r="QJR3" s="62"/>
      <c r="QJS3" s="62"/>
      <c r="QJT3" s="62"/>
      <c r="QJU3" s="62"/>
      <c r="QJV3" s="62"/>
      <c r="QJW3" s="62"/>
      <c r="QJX3" s="62"/>
      <c r="QJY3" s="62"/>
      <c r="QJZ3" s="62"/>
      <c r="QKA3" s="62"/>
      <c r="QKB3" s="62"/>
      <c r="QKC3" s="62"/>
      <c r="QKD3" s="62"/>
      <c r="QKE3" s="62"/>
      <c r="QKF3" s="62"/>
      <c r="QKG3" s="62"/>
      <c r="QKH3" s="62"/>
      <c r="QKI3" s="62"/>
      <c r="QKJ3" s="62"/>
      <c r="QKK3" s="62"/>
      <c r="QKL3" s="62"/>
      <c r="QKM3" s="62"/>
      <c r="QKN3" s="62"/>
      <c r="QKO3" s="62"/>
      <c r="QKP3" s="62"/>
      <c r="QKQ3" s="62"/>
      <c r="QKR3" s="62"/>
      <c r="QKS3" s="62"/>
      <c r="QKT3" s="62"/>
      <c r="QKU3" s="62"/>
      <c r="QKV3" s="62"/>
      <c r="QKW3" s="62"/>
      <c r="QKX3" s="62"/>
      <c r="QKY3" s="62"/>
      <c r="QKZ3" s="62"/>
      <c r="QLA3" s="62"/>
      <c r="QLB3" s="62"/>
      <c r="QLC3" s="62"/>
      <c r="QLD3" s="62"/>
      <c r="QLE3" s="62"/>
      <c r="QLF3" s="62"/>
      <c r="QLG3" s="62"/>
      <c r="QLH3" s="62"/>
      <c r="QLI3" s="62"/>
      <c r="QLJ3" s="62"/>
      <c r="QLK3" s="62"/>
      <c r="QLL3" s="62"/>
      <c r="QLM3" s="62"/>
      <c r="QLN3" s="62"/>
      <c r="QLO3" s="62"/>
      <c r="QLP3" s="62"/>
      <c r="QLQ3" s="62"/>
      <c r="QLR3" s="62"/>
      <c r="QLS3" s="62"/>
      <c r="QLT3" s="62"/>
      <c r="QLU3" s="62"/>
      <c r="QLV3" s="62"/>
      <c r="QLW3" s="62"/>
      <c r="QLX3" s="62"/>
      <c r="QLY3" s="62"/>
      <c r="QLZ3" s="62"/>
      <c r="QMA3" s="62"/>
      <c r="QMB3" s="62"/>
      <c r="QMC3" s="62"/>
      <c r="QMD3" s="62"/>
      <c r="QME3" s="62"/>
      <c r="QMF3" s="62"/>
      <c r="QMG3" s="62"/>
      <c r="QMH3" s="62"/>
      <c r="QMI3" s="62"/>
      <c r="QMJ3" s="62"/>
      <c r="QMK3" s="62"/>
      <c r="QML3" s="62"/>
      <c r="QMM3" s="62"/>
      <c r="QMN3" s="62"/>
      <c r="QMO3" s="62"/>
      <c r="QMP3" s="62"/>
      <c r="QMQ3" s="62"/>
      <c r="QMR3" s="62"/>
      <c r="QMS3" s="62"/>
      <c r="QMT3" s="62"/>
      <c r="QMU3" s="62"/>
      <c r="QMV3" s="62"/>
      <c r="QMW3" s="62"/>
      <c r="QMX3" s="62"/>
      <c r="QMY3" s="62"/>
      <c r="QMZ3" s="62"/>
      <c r="QNA3" s="62"/>
      <c r="QNB3" s="62"/>
      <c r="QNC3" s="62"/>
      <c r="QND3" s="62"/>
      <c r="QNE3" s="62"/>
      <c r="QNF3" s="62"/>
      <c r="QNG3" s="62"/>
      <c r="QNH3" s="62"/>
      <c r="QNI3" s="62"/>
      <c r="QNJ3" s="62"/>
      <c r="QNK3" s="62"/>
      <c r="QNL3" s="62"/>
      <c r="QNM3" s="62"/>
      <c r="QNN3" s="62"/>
      <c r="QNO3" s="62"/>
      <c r="QNP3" s="62"/>
      <c r="QNQ3" s="62"/>
      <c r="QNR3" s="62"/>
      <c r="QNS3" s="62"/>
      <c r="QNT3" s="62"/>
      <c r="QNU3" s="62"/>
      <c r="QNV3" s="62"/>
      <c r="QNW3" s="62"/>
      <c r="QNX3" s="62"/>
      <c r="QNY3" s="62"/>
      <c r="QNZ3" s="62"/>
      <c r="QOA3" s="62"/>
      <c r="QOB3" s="62"/>
      <c r="QOC3" s="62"/>
      <c r="QOD3" s="62"/>
      <c r="QOE3" s="62"/>
      <c r="QOF3" s="62"/>
      <c r="QOG3" s="62"/>
      <c r="QOH3" s="62"/>
      <c r="QOI3" s="62"/>
      <c r="QOJ3" s="62"/>
      <c r="QOK3" s="62"/>
      <c r="QOL3" s="62"/>
      <c r="QOM3" s="62"/>
      <c r="QON3" s="62"/>
      <c r="QOO3" s="62"/>
      <c r="QOP3" s="62"/>
      <c r="QOQ3" s="62"/>
      <c r="QOR3" s="62"/>
      <c r="QOS3" s="62"/>
      <c r="QOT3" s="62"/>
      <c r="QOU3" s="62"/>
      <c r="QOV3" s="62"/>
      <c r="QOW3" s="62"/>
      <c r="QOX3" s="62"/>
      <c r="QOY3" s="62"/>
      <c r="QOZ3" s="62"/>
      <c r="QPA3" s="62"/>
      <c r="QPB3" s="62"/>
      <c r="QPC3" s="62"/>
      <c r="QPD3" s="62"/>
      <c r="QPE3" s="62"/>
      <c r="QPF3" s="62"/>
      <c r="QPG3" s="62"/>
      <c r="QPH3" s="62"/>
      <c r="QPI3" s="62"/>
      <c r="QPJ3" s="62"/>
      <c r="QPK3" s="62"/>
      <c r="QPL3" s="62"/>
      <c r="QPM3" s="62"/>
      <c r="QPN3" s="62"/>
      <c r="QPO3" s="62"/>
      <c r="QPP3" s="62"/>
      <c r="QPQ3" s="62"/>
      <c r="QPR3" s="62"/>
      <c r="QPS3" s="62"/>
      <c r="QPT3" s="62"/>
      <c r="QPU3" s="62"/>
      <c r="QPV3" s="62"/>
      <c r="QPW3" s="62"/>
      <c r="QPX3" s="62"/>
      <c r="QPY3" s="62"/>
      <c r="QPZ3" s="62"/>
      <c r="QQA3" s="62"/>
      <c r="QQB3" s="62"/>
      <c r="QQC3" s="62"/>
      <c r="QQD3" s="62"/>
      <c r="QQE3" s="62"/>
      <c r="QQF3" s="62"/>
      <c r="QQG3" s="62"/>
      <c r="QQH3" s="62"/>
      <c r="QQI3" s="62"/>
      <c r="QQJ3" s="62"/>
      <c r="QQK3" s="62"/>
      <c r="QQL3" s="62"/>
      <c r="QQM3" s="62"/>
      <c r="QQN3" s="62"/>
      <c r="QQO3" s="62"/>
      <c r="QQP3" s="62"/>
      <c r="QQQ3" s="62"/>
      <c r="QQR3" s="62"/>
      <c r="QQS3" s="62"/>
      <c r="QQT3" s="62"/>
      <c r="QQU3" s="62"/>
      <c r="QQV3" s="62"/>
      <c r="QQW3" s="62"/>
      <c r="QQX3" s="62"/>
      <c r="QQY3" s="62"/>
      <c r="QQZ3" s="62"/>
      <c r="QRA3" s="62"/>
      <c r="QRB3" s="62"/>
      <c r="QRC3" s="62"/>
      <c r="QRD3" s="62"/>
      <c r="QRE3" s="62"/>
      <c r="QRF3" s="62"/>
      <c r="QRG3" s="62"/>
      <c r="QRH3" s="62"/>
      <c r="QRI3" s="62"/>
      <c r="QRJ3" s="62"/>
      <c r="QRK3" s="62"/>
      <c r="QRL3" s="62"/>
      <c r="QRM3" s="62"/>
      <c r="QRN3" s="62"/>
      <c r="QRO3" s="62"/>
      <c r="QRP3" s="62"/>
      <c r="QRQ3" s="62"/>
      <c r="QRR3" s="62"/>
      <c r="QRS3" s="62"/>
      <c r="QRT3" s="62"/>
      <c r="QRU3" s="62"/>
      <c r="QRV3" s="62"/>
      <c r="QRW3" s="62"/>
      <c r="QRX3" s="62"/>
      <c r="QRY3" s="62"/>
      <c r="QRZ3" s="62"/>
      <c r="QSA3" s="62"/>
      <c r="QSB3" s="62"/>
      <c r="QSC3" s="62"/>
      <c r="QSD3" s="62"/>
      <c r="QSE3" s="62"/>
      <c r="QSF3" s="62"/>
      <c r="QSG3" s="62"/>
      <c r="QSH3" s="62"/>
      <c r="QSI3" s="62"/>
      <c r="QSJ3" s="62"/>
      <c r="QSK3" s="62"/>
      <c r="QSL3" s="62"/>
      <c r="QSM3" s="62"/>
      <c r="QSN3" s="62"/>
      <c r="QSO3" s="62"/>
      <c r="QSP3" s="62"/>
      <c r="QSQ3" s="62"/>
      <c r="QSR3" s="62"/>
      <c r="QSS3" s="62"/>
      <c r="QST3" s="62"/>
      <c r="QSU3" s="62"/>
      <c r="QSV3" s="62"/>
      <c r="QSW3" s="62"/>
      <c r="QSX3" s="62"/>
      <c r="QSY3" s="62"/>
      <c r="QSZ3" s="62"/>
      <c r="QTA3" s="62"/>
      <c r="QTB3" s="62"/>
      <c r="QTC3" s="62"/>
      <c r="QTD3" s="62"/>
      <c r="QTE3" s="62"/>
      <c r="QTF3" s="62"/>
      <c r="QTG3" s="62"/>
      <c r="QTH3" s="62"/>
      <c r="QTI3" s="62"/>
      <c r="QTJ3" s="62"/>
      <c r="QTK3" s="62"/>
      <c r="QTL3" s="62"/>
      <c r="QTM3" s="62"/>
      <c r="QTN3" s="62"/>
      <c r="QTO3" s="62"/>
      <c r="QTP3" s="62"/>
      <c r="QTQ3" s="62"/>
      <c r="QTR3" s="62"/>
      <c r="QTS3" s="62"/>
      <c r="QTT3" s="62"/>
      <c r="QTU3" s="62"/>
      <c r="QTV3" s="62"/>
      <c r="QTW3" s="62"/>
      <c r="QTX3" s="62"/>
      <c r="QTY3" s="62"/>
      <c r="QTZ3" s="62"/>
      <c r="QUA3" s="62"/>
      <c r="QUB3" s="62"/>
      <c r="QUC3" s="62"/>
      <c r="QUD3" s="62"/>
      <c r="QUE3" s="62"/>
      <c r="QUF3" s="62"/>
      <c r="QUG3" s="62"/>
      <c r="QUH3" s="62"/>
      <c r="QUI3" s="62"/>
      <c r="QUJ3" s="62"/>
      <c r="QUK3" s="62"/>
      <c r="QUL3" s="62"/>
      <c r="QUM3" s="62"/>
      <c r="QUN3" s="62"/>
      <c r="QUO3" s="62"/>
      <c r="QUP3" s="62"/>
      <c r="QUQ3" s="62"/>
      <c r="QUR3" s="62"/>
      <c r="QUS3" s="62"/>
      <c r="QUT3" s="62"/>
      <c r="QUU3" s="62"/>
      <c r="QUV3" s="62"/>
      <c r="QUW3" s="62"/>
      <c r="QUX3" s="62"/>
      <c r="QUY3" s="62"/>
      <c r="QUZ3" s="62"/>
      <c r="QVA3" s="62"/>
      <c r="QVB3" s="62"/>
      <c r="QVC3" s="62"/>
      <c r="QVD3" s="62"/>
      <c r="QVE3" s="62"/>
      <c r="QVF3" s="62"/>
      <c r="QVG3" s="62"/>
      <c r="QVH3" s="62"/>
      <c r="QVI3" s="62"/>
      <c r="QVJ3" s="62"/>
      <c r="QVK3" s="62"/>
      <c r="QVL3" s="62"/>
      <c r="QVM3" s="62"/>
      <c r="QVN3" s="62"/>
      <c r="QVO3" s="62"/>
      <c r="QVP3" s="62"/>
      <c r="QVQ3" s="62"/>
      <c r="QVR3" s="62"/>
      <c r="QVS3" s="62"/>
      <c r="QVT3" s="62"/>
      <c r="QVU3" s="62"/>
      <c r="QVV3" s="62"/>
      <c r="QVW3" s="62"/>
      <c r="QVX3" s="62"/>
      <c r="QVY3" s="62"/>
      <c r="QVZ3" s="62"/>
      <c r="QWA3" s="62"/>
      <c r="QWB3" s="62"/>
      <c r="QWC3" s="62"/>
      <c r="QWD3" s="62"/>
      <c r="QWE3" s="62"/>
      <c r="QWF3" s="62"/>
      <c r="QWG3" s="62"/>
      <c r="QWH3" s="62"/>
      <c r="QWI3" s="62"/>
      <c r="QWJ3" s="62"/>
      <c r="QWK3" s="62"/>
      <c r="QWL3" s="62"/>
      <c r="QWM3" s="62"/>
      <c r="QWN3" s="62"/>
      <c r="QWO3" s="62"/>
      <c r="QWP3" s="62"/>
      <c r="QWQ3" s="62"/>
      <c r="QWR3" s="62"/>
      <c r="QWS3" s="62"/>
      <c r="QWT3" s="62"/>
      <c r="QWU3" s="62"/>
      <c r="QWV3" s="62"/>
      <c r="QWW3" s="62"/>
      <c r="QWX3" s="62"/>
      <c r="QWY3" s="62"/>
      <c r="QWZ3" s="62"/>
      <c r="QXA3" s="62"/>
      <c r="QXB3" s="62"/>
      <c r="QXC3" s="62"/>
      <c r="QXD3" s="62"/>
      <c r="QXE3" s="62"/>
      <c r="QXF3" s="62"/>
      <c r="QXG3" s="62"/>
      <c r="QXH3" s="62"/>
      <c r="QXI3" s="62"/>
      <c r="QXJ3" s="62"/>
      <c r="QXK3" s="62"/>
      <c r="QXL3" s="62"/>
      <c r="QXM3" s="62"/>
      <c r="QXN3" s="62"/>
      <c r="QXO3" s="62"/>
      <c r="QXP3" s="62"/>
      <c r="QXQ3" s="62"/>
      <c r="QXR3" s="62"/>
      <c r="QXS3" s="62"/>
      <c r="QXT3" s="62"/>
      <c r="QXU3" s="62"/>
      <c r="QXV3" s="62"/>
      <c r="QXW3" s="62"/>
      <c r="QXX3" s="62"/>
      <c r="QXY3" s="62"/>
      <c r="QXZ3" s="62"/>
      <c r="QYA3" s="62"/>
      <c r="QYB3" s="62"/>
      <c r="QYC3" s="62"/>
      <c r="QYD3" s="62"/>
      <c r="QYE3" s="62"/>
      <c r="QYF3" s="62"/>
      <c r="QYG3" s="62"/>
      <c r="QYH3" s="62"/>
      <c r="QYI3" s="62"/>
      <c r="QYJ3" s="62"/>
      <c r="QYK3" s="62"/>
      <c r="QYL3" s="62"/>
      <c r="QYM3" s="62"/>
      <c r="QYN3" s="62"/>
      <c r="QYO3" s="62"/>
      <c r="QYP3" s="62"/>
      <c r="QYQ3" s="62"/>
      <c r="QYR3" s="62"/>
      <c r="QYS3" s="62"/>
      <c r="QYT3" s="62"/>
      <c r="QYU3" s="62"/>
      <c r="QYV3" s="62"/>
      <c r="QYW3" s="62"/>
      <c r="QYX3" s="62"/>
      <c r="QYY3" s="62"/>
      <c r="QYZ3" s="62"/>
      <c r="QZA3" s="62"/>
      <c r="QZB3" s="62"/>
      <c r="QZC3" s="62"/>
      <c r="QZD3" s="62"/>
      <c r="QZE3" s="62"/>
      <c r="QZF3" s="62"/>
      <c r="QZG3" s="62"/>
      <c r="QZH3" s="62"/>
      <c r="QZI3" s="62"/>
      <c r="QZJ3" s="62"/>
      <c r="QZK3" s="62"/>
      <c r="QZL3" s="62"/>
      <c r="QZM3" s="62"/>
      <c r="QZN3" s="62"/>
      <c r="QZO3" s="62"/>
      <c r="QZP3" s="62"/>
      <c r="QZQ3" s="62"/>
      <c r="QZR3" s="62"/>
      <c r="QZS3" s="62"/>
      <c r="QZT3" s="62"/>
      <c r="QZU3" s="62"/>
      <c r="QZV3" s="62"/>
      <c r="QZW3" s="62"/>
      <c r="QZX3" s="62"/>
      <c r="QZY3" s="62"/>
      <c r="QZZ3" s="62"/>
      <c r="RAA3" s="62"/>
      <c r="RAB3" s="62"/>
      <c r="RAC3" s="62"/>
      <c r="RAD3" s="62"/>
      <c r="RAE3" s="62"/>
      <c r="RAF3" s="62"/>
      <c r="RAG3" s="62"/>
      <c r="RAH3" s="62"/>
      <c r="RAI3" s="62"/>
      <c r="RAJ3" s="62"/>
      <c r="RAK3" s="62"/>
      <c r="RAL3" s="62"/>
      <c r="RAM3" s="62"/>
      <c r="RAN3" s="62"/>
      <c r="RAO3" s="62"/>
      <c r="RAP3" s="62"/>
      <c r="RAQ3" s="62"/>
      <c r="RAR3" s="62"/>
      <c r="RAS3" s="62"/>
      <c r="RAT3" s="62"/>
      <c r="RAU3" s="62"/>
      <c r="RAV3" s="62"/>
      <c r="RAW3" s="62"/>
      <c r="RAX3" s="62"/>
      <c r="RAY3" s="62"/>
      <c r="RAZ3" s="62"/>
      <c r="RBA3" s="62"/>
      <c r="RBB3" s="62"/>
      <c r="RBC3" s="62"/>
      <c r="RBD3" s="62"/>
      <c r="RBE3" s="62"/>
      <c r="RBF3" s="62"/>
      <c r="RBG3" s="62"/>
      <c r="RBH3" s="62"/>
      <c r="RBI3" s="62"/>
      <c r="RBJ3" s="62"/>
      <c r="RBK3" s="62"/>
      <c r="RBL3" s="62"/>
      <c r="RBM3" s="62"/>
      <c r="RBN3" s="62"/>
      <c r="RBO3" s="62"/>
      <c r="RBP3" s="62"/>
      <c r="RBQ3" s="62"/>
      <c r="RBR3" s="62"/>
      <c r="RBS3" s="62"/>
      <c r="RBT3" s="62"/>
      <c r="RBU3" s="62"/>
      <c r="RBV3" s="62"/>
      <c r="RBW3" s="62"/>
      <c r="RBX3" s="62"/>
      <c r="RBY3" s="62"/>
      <c r="RBZ3" s="62"/>
      <c r="RCA3" s="62"/>
      <c r="RCB3" s="62"/>
      <c r="RCC3" s="62"/>
      <c r="RCD3" s="62"/>
      <c r="RCE3" s="62"/>
      <c r="RCF3" s="62"/>
      <c r="RCG3" s="62"/>
      <c r="RCH3" s="62"/>
      <c r="RCI3" s="62"/>
      <c r="RCJ3" s="62"/>
      <c r="RCK3" s="62"/>
      <c r="RCL3" s="62"/>
      <c r="RCM3" s="62"/>
      <c r="RCN3" s="62"/>
      <c r="RCO3" s="62"/>
      <c r="RCP3" s="62"/>
      <c r="RCQ3" s="62"/>
      <c r="RCR3" s="62"/>
      <c r="RCS3" s="62"/>
      <c r="RCT3" s="62"/>
      <c r="RCU3" s="62"/>
      <c r="RCV3" s="62"/>
      <c r="RCW3" s="62"/>
      <c r="RCX3" s="62"/>
      <c r="RCY3" s="62"/>
      <c r="RCZ3" s="62"/>
      <c r="RDA3" s="62"/>
      <c r="RDB3" s="62"/>
      <c r="RDC3" s="62"/>
      <c r="RDD3" s="62"/>
      <c r="RDE3" s="62"/>
      <c r="RDF3" s="62"/>
      <c r="RDG3" s="62"/>
      <c r="RDH3" s="62"/>
      <c r="RDI3" s="62"/>
      <c r="RDJ3" s="62"/>
      <c r="RDK3" s="62"/>
      <c r="RDL3" s="62"/>
      <c r="RDM3" s="62"/>
      <c r="RDN3" s="62"/>
      <c r="RDO3" s="62"/>
      <c r="RDP3" s="62"/>
      <c r="RDQ3" s="62"/>
      <c r="RDR3" s="62"/>
      <c r="RDS3" s="62"/>
      <c r="RDT3" s="62"/>
      <c r="RDU3" s="62"/>
      <c r="RDV3" s="62"/>
      <c r="RDW3" s="62"/>
      <c r="RDX3" s="62"/>
      <c r="RDY3" s="62"/>
      <c r="RDZ3" s="62"/>
      <c r="REA3" s="62"/>
      <c r="REB3" s="62"/>
      <c r="REC3" s="62"/>
      <c r="RED3" s="62"/>
      <c r="REE3" s="62"/>
      <c r="REF3" s="62"/>
      <c r="REG3" s="62"/>
      <c r="REH3" s="62"/>
      <c r="REI3" s="62"/>
      <c r="REJ3" s="62"/>
      <c r="REK3" s="62"/>
      <c r="REL3" s="62"/>
      <c r="REM3" s="62"/>
      <c r="REN3" s="62"/>
      <c r="REO3" s="62"/>
      <c r="REP3" s="62"/>
      <c r="REQ3" s="62"/>
      <c r="RER3" s="62"/>
      <c r="RES3" s="62"/>
      <c r="RET3" s="62"/>
      <c r="REU3" s="62"/>
      <c r="REV3" s="62"/>
      <c r="REW3" s="62"/>
      <c r="REX3" s="62"/>
      <c r="REY3" s="62"/>
      <c r="REZ3" s="62"/>
      <c r="RFA3" s="62"/>
      <c r="RFB3" s="62"/>
      <c r="RFC3" s="62"/>
      <c r="RFD3" s="62"/>
      <c r="RFE3" s="62"/>
      <c r="RFF3" s="62"/>
      <c r="RFG3" s="62"/>
      <c r="RFH3" s="62"/>
      <c r="RFI3" s="62"/>
      <c r="RFJ3" s="62"/>
      <c r="RFK3" s="62"/>
      <c r="RFL3" s="62"/>
      <c r="RFM3" s="62"/>
      <c r="RFN3" s="62"/>
      <c r="RFO3" s="62"/>
      <c r="RFP3" s="62"/>
      <c r="RFQ3" s="62"/>
      <c r="RFR3" s="62"/>
      <c r="RFS3" s="62"/>
      <c r="RFT3" s="62"/>
      <c r="RFU3" s="62"/>
      <c r="RFV3" s="62"/>
      <c r="RFW3" s="62"/>
      <c r="RFX3" s="62"/>
      <c r="RFY3" s="62"/>
      <c r="RFZ3" s="62"/>
      <c r="RGA3" s="62"/>
      <c r="RGB3" s="62"/>
      <c r="RGC3" s="62"/>
      <c r="RGD3" s="62"/>
      <c r="RGE3" s="62"/>
      <c r="RGF3" s="62"/>
      <c r="RGG3" s="62"/>
      <c r="RGH3" s="62"/>
      <c r="RGI3" s="62"/>
      <c r="RGJ3" s="62"/>
      <c r="RGK3" s="62"/>
      <c r="RGL3" s="62"/>
      <c r="RGM3" s="62"/>
      <c r="RGN3" s="62"/>
      <c r="RGO3" s="62"/>
      <c r="RGP3" s="62"/>
      <c r="RGQ3" s="62"/>
      <c r="RGR3" s="62"/>
      <c r="RGS3" s="62"/>
      <c r="RGT3" s="62"/>
      <c r="RGU3" s="62"/>
      <c r="RGV3" s="62"/>
      <c r="RGW3" s="62"/>
      <c r="RGX3" s="62"/>
      <c r="RGY3" s="62"/>
      <c r="RGZ3" s="62"/>
      <c r="RHA3" s="62"/>
      <c r="RHB3" s="62"/>
      <c r="RHC3" s="62"/>
      <c r="RHD3" s="62"/>
      <c r="RHE3" s="62"/>
      <c r="RHF3" s="62"/>
      <c r="RHG3" s="62"/>
      <c r="RHH3" s="62"/>
      <c r="RHI3" s="62"/>
      <c r="RHJ3" s="62"/>
      <c r="RHK3" s="62"/>
      <c r="RHL3" s="62"/>
      <c r="RHM3" s="62"/>
      <c r="RHN3" s="62"/>
      <c r="RHO3" s="62"/>
      <c r="RHP3" s="62"/>
      <c r="RHQ3" s="62"/>
      <c r="RHR3" s="62"/>
      <c r="RHS3" s="62"/>
      <c r="RHT3" s="62"/>
      <c r="RHU3" s="62"/>
      <c r="RHV3" s="62"/>
      <c r="RHW3" s="62"/>
      <c r="RHX3" s="62"/>
      <c r="RHY3" s="62"/>
      <c r="RHZ3" s="62"/>
      <c r="RIA3" s="62"/>
      <c r="RIB3" s="62"/>
      <c r="RIC3" s="62"/>
      <c r="RID3" s="62"/>
      <c r="RIE3" s="62"/>
      <c r="RIF3" s="62"/>
      <c r="RIG3" s="62"/>
      <c r="RIH3" s="62"/>
      <c r="RII3" s="62"/>
      <c r="RIJ3" s="62"/>
      <c r="RIK3" s="62"/>
      <c r="RIL3" s="62"/>
      <c r="RIM3" s="62"/>
      <c r="RIN3" s="62"/>
      <c r="RIO3" s="62"/>
      <c r="RIP3" s="62"/>
      <c r="RIQ3" s="62"/>
      <c r="RIR3" s="62"/>
      <c r="RIS3" s="62"/>
      <c r="RIT3" s="62"/>
      <c r="RIU3" s="62"/>
      <c r="RIV3" s="62"/>
      <c r="RIW3" s="62"/>
      <c r="RIX3" s="62"/>
      <c r="RIY3" s="62"/>
      <c r="RIZ3" s="62"/>
      <c r="RJA3" s="62"/>
      <c r="RJB3" s="62"/>
      <c r="RJC3" s="62"/>
      <c r="RJD3" s="62"/>
      <c r="RJE3" s="62"/>
      <c r="RJF3" s="62"/>
      <c r="RJG3" s="62"/>
      <c r="RJH3" s="62"/>
      <c r="RJI3" s="62"/>
      <c r="RJJ3" s="62"/>
      <c r="RJK3" s="62"/>
      <c r="RJL3" s="62"/>
      <c r="RJM3" s="62"/>
      <c r="RJN3" s="62"/>
      <c r="RJO3" s="62"/>
      <c r="RJP3" s="62"/>
      <c r="RJQ3" s="62"/>
      <c r="RJR3" s="62"/>
      <c r="RJS3" s="62"/>
      <c r="RJT3" s="62"/>
      <c r="RJU3" s="62"/>
      <c r="RJV3" s="62"/>
      <c r="RJW3" s="62"/>
      <c r="RJX3" s="62"/>
      <c r="RJY3" s="62"/>
      <c r="RJZ3" s="62"/>
      <c r="RKA3" s="62"/>
      <c r="RKB3" s="62"/>
      <c r="RKC3" s="62"/>
      <c r="RKD3" s="62"/>
      <c r="RKE3" s="62"/>
      <c r="RKF3" s="62"/>
      <c r="RKG3" s="62"/>
      <c r="RKH3" s="62"/>
      <c r="RKI3" s="62"/>
      <c r="RKJ3" s="62"/>
      <c r="RKK3" s="62"/>
      <c r="RKL3" s="62"/>
      <c r="RKM3" s="62"/>
      <c r="RKN3" s="62"/>
      <c r="RKO3" s="62"/>
      <c r="RKP3" s="62"/>
      <c r="RKQ3" s="62"/>
      <c r="RKR3" s="62"/>
      <c r="RKS3" s="62"/>
      <c r="RKT3" s="62"/>
      <c r="RKU3" s="62"/>
      <c r="RKV3" s="62"/>
      <c r="RKW3" s="62"/>
      <c r="RKX3" s="62"/>
      <c r="RKY3" s="62"/>
      <c r="RKZ3" s="62"/>
      <c r="RLA3" s="62"/>
      <c r="RLB3" s="62"/>
      <c r="RLC3" s="62"/>
      <c r="RLD3" s="62"/>
      <c r="RLE3" s="62"/>
      <c r="RLF3" s="62"/>
      <c r="RLG3" s="62"/>
      <c r="RLH3" s="62"/>
      <c r="RLI3" s="62"/>
      <c r="RLJ3" s="62"/>
      <c r="RLK3" s="62"/>
      <c r="RLL3" s="62"/>
      <c r="RLM3" s="62"/>
      <c r="RLN3" s="62"/>
      <c r="RLO3" s="62"/>
      <c r="RLP3" s="62"/>
      <c r="RLQ3" s="62"/>
      <c r="RLR3" s="62"/>
      <c r="RLS3" s="62"/>
      <c r="RLT3" s="62"/>
      <c r="RLU3" s="62"/>
      <c r="RLV3" s="62"/>
      <c r="RLW3" s="62"/>
      <c r="RLX3" s="62"/>
      <c r="RLY3" s="62"/>
      <c r="RLZ3" s="62"/>
      <c r="RMA3" s="62"/>
      <c r="RMB3" s="62"/>
      <c r="RMC3" s="62"/>
      <c r="RMD3" s="62"/>
      <c r="RME3" s="62"/>
      <c r="RMF3" s="62"/>
      <c r="RMG3" s="62"/>
      <c r="RMH3" s="62"/>
      <c r="RMI3" s="62"/>
      <c r="RMJ3" s="62"/>
      <c r="RMK3" s="62"/>
      <c r="RML3" s="62"/>
      <c r="RMM3" s="62"/>
      <c r="RMN3" s="62"/>
      <c r="RMO3" s="62"/>
      <c r="RMP3" s="62"/>
      <c r="RMQ3" s="62"/>
      <c r="RMR3" s="62"/>
      <c r="RMS3" s="62"/>
      <c r="RMT3" s="62"/>
      <c r="RMU3" s="62"/>
      <c r="RMV3" s="62"/>
      <c r="RMW3" s="62"/>
      <c r="RMX3" s="62"/>
      <c r="RMY3" s="62"/>
      <c r="RMZ3" s="62"/>
      <c r="RNA3" s="62"/>
      <c r="RNB3" s="62"/>
      <c r="RNC3" s="62"/>
      <c r="RND3" s="62"/>
      <c r="RNE3" s="62"/>
      <c r="RNF3" s="62"/>
      <c r="RNG3" s="62"/>
      <c r="RNH3" s="62"/>
      <c r="RNI3" s="62"/>
      <c r="RNJ3" s="62"/>
      <c r="RNK3" s="62"/>
      <c r="RNL3" s="62"/>
      <c r="RNM3" s="62"/>
      <c r="RNN3" s="62"/>
      <c r="RNO3" s="62"/>
      <c r="RNP3" s="62"/>
      <c r="RNQ3" s="62"/>
      <c r="RNR3" s="62"/>
      <c r="RNS3" s="62"/>
      <c r="RNT3" s="62"/>
      <c r="RNU3" s="62"/>
      <c r="RNV3" s="62"/>
      <c r="RNW3" s="62"/>
      <c r="RNX3" s="62"/>
      <c r="RNY3" s="62"/>
      <c r="RNZ3" s="62"/>
      <c r="ROA3" s="62"/>
      <c r="ROB3" s="62"/>
      <c r="ROC3" s="62"/>
      <c r="ROD3" s="62"/>
      <c r="ROE3" s="62"/>
      <c r="ROF3" s="62"/>
      <c r="ROG3" s="62"/>
      <c r="ROH3" s="62"/>
      <c r="ROI3" s="62"/>
      <c r="ROJ3" s="62"/>
      <c r="ROK3" s="62"/>
      <c r="ROL3" s="62"/>
      <c r="ROM3" s="62"/>
      <c r="RON3" s="62"/>
      <c r="ROO3" s="62"/>
      <c r="ROP3" s="62"/>
      <c r="ROQ3" s="62"/>
      <c r="ROR3" s="62"/>
      <c r="ROS3" s="62"/>
      <c r="ROT3" s="62"/>
      <c r="ROU3" s="62"/>
      <c r="ROV3" s="62"/>
      <c r="ROW3" s="62"/>
      <c r="ROX3" s="62"/>
      <c r="ROY3" s="62"/>
      <c r="ROZ3" s="62"/>
      <c r="RPA3" s="62"/>
      <c r="RPB3" s="62"/>
      <c r="RPC3" s="62"/>
      <c r="RPD3" s="62"/>
      <c r="RPE3" s="62"/>
      <c r="RPF3" s="62"/>
      <c r="RPG3" s="62"/>
      <c r="RPH3" s="62"/>
      <c r="RPI3" s="62"/>
      <c r="RPJ3" s="62"/>
      <c r="RPK3" s="62"/>
      <c r="RPL3" s="62"/>
      <c r="RPM3" s="62"/>
      <c r="RPN3" s="62"/>
      <c r="RPO3" s="62"/>
      <c r="RPP3" s="62"/>
      <c r="RPQ3" s="62"/>
      <c r="RPR3" s="62"/>
      <c r="RPS3" s="62"/>
      <c r="RPT3" s="62"/>
      <c r="RPU3" s="62"/>
      <c r="RPV3" s="62"/>
      <c r="RPW3" s="62"/>
      <c r="RPX3" s="62"/>
      <c r="RPY3" s="62"/>
      <c r="RPZ3" s="62"/>
      <c r="RQA3" s="62"/>
      <c r="RQB3" s="62"/>
      <c r="RQC3" s="62"/>
      <c r="RQD3" s="62"/>
      <c r="RQE3" s="62"/>
      <c r="RQF3" s="62"/>
      <c r="RQG3" s="62"/>
      <c r="RQH3" s="62"/>
      <c r="RQI3" s="62"/>
      <c r="RQJ3" s="62"/>
      <c r="RQK3" s="62"/>
      <c r="RQL3" s="62"/>
      <c r="RQM3" s="62"/>
      <c r="RQN3" s="62"/>
      <c r="RQO3" s="62"/>
      <c r="RQP3" s="62"/>
      <c r="RQQ3" s="62"/>
      <c r="RQR3" s="62"/>
      <c r="RQS3" s="62"/>
      <c r="RQT3" s="62"/>
      <c r="RQU3" s="62"/>
      <c r="RQV3" s="62"/>
      <c r="RQW3" s="62"/>
      <c r="RQX3" s="62"/>
      <c r="RQY3" s="62"/>
      <c r="RQZ3" s="62"/>
      <c r="RRA3" s="62"/>
      <c r="RRB3" s="62"/>
      <c r="RRC3" s="62"/>
      <c r="RRD3" s="62"/>
      <c r="RRE3" s="62"/>
      <c r="RRF3" s="62"/>
      <c r="RRG3" s="62"/>
      <c r="RRH3" s="62"/>
      <c r="RRI3" s="62"/>
      <c r="RRJ3" s="62"/>
      <c r="RRK3" s="62"/>
      <c r="RRL3" s="62"/>
      <c r="RRM3" s="62"/>
      <c r="RRN3" s="62"/>
      <c r="RRO3" s="62"/>
      <c r="RRP3" s="62"/>
      <c r="RRQ3" s="62"/>
      <c r="RRR3" s="62"/>
      <c r="RRS3" s="62"/>
      <c r="RRT3" s="62"/>
      <c r="RRU3" s="62"/>
      <c r="RRV3" s="62"/>
      <c r="RRW3" s="62"/>
      <c r="RRX3" s="62"/>
      <c r="RRY3" s="62"/>
      <c r="RRZ3" s="62"/>
      <c r="RSA3" s="62"/>
      <c r="RSB3" s="62"/>
      <c r="RSC3" s="62"/>
      <c r="RSD3" s="62"/>
      <c r="RSE3" s="62"/>
      <c r="RSF3" s="62"/>
      <c r="RSG3" s="62"/>
      <c r="RSH3" s="62"/>
      <c r="RSI3" s="62"/>
      <c r="RSJ3" s="62"/>
      <c r="RSK3" s="62"/>
      <c r="RSL3" s="62"/>
      <c r="RSM3" s="62"/>
      <c r="RSN3" s="62"/>
      <c r="RSO3" s="62"/>
      <c r="RSP3" s="62"/>
      <c r="RSQ3" s="62"/>
      <c r="RSR3" s="62"/>
      <c r="RSS3" s="62"/>
      <c r="RST3" s="62"/>
      <c r="RSU3" s="62"/>
      <c r="RSV3" s="62"/>
      <c r="RSW3" s="62"/>
      <c r="RSX3" s="62"/>
      <c r="RSY3" s="62"/>
      <c r="RSZ3" s="62"/>
      <c r="RTA3" s="62"/>
      <c r="RTB3" s="62"/>
      <c r="RTC3" s="62"/>
      <c r="RTD3" s="62"/>
      <c r="RTE3" s="62"/>
      <c r="RTF3" s="62"/>
      <c r="RTG3" s="62"/>
      <c r="RTH3" s="62"/>
      <c r="RTI3" s="62"/>
      <c r="RTJ3" s="62"/>
      <c r="RTK3" s="62"/>
      <c r="RTL3" s="62"/>
      <c r="RTM3" s="62"/>
      <c r="RTN3" s="62"/>
      <c r="RTO3" s="62"/>
      <c r="RTP3" s="62"/>
      <c r="RTQ3" s="62"/>
      <c r="RTR3" s="62"/>
      <c r="RTS3" s="62"/>
      <c r="RTT3" s="62"/>
      <c r="RTU3" s="62"/>
      <c r="RTV3" s="62"/>
      <c r="RTW3" s="62"/>
      <c r="RTX3" s="62"/>
      <c r="RTY3" s="62"/>
      <c r="RTZ3" s="62"/>
      <c r="RUA3" s="62"/>
      <c r="RUB3" s="62"/>
      <c r="RUC3" s="62"/>
      <c r="RUD3" s="62"/>
      <c r="RUE3" s="62"/>
      <c r="RUF3" s="62"/>
      <c r="RUG3" s="62"/>
      <c r="RUH3" s="62"/>
      <c r="RUI3" s="62"/>
      <c r="RUJ3" s="62"/>
      <c r="RUK3" s="62"/>
      <c r="RUL3" s="62"/>
      <c r="RUM3" s="62"/>
      <c r="RUN3" s="62"/>
      <c r="RUO3" s="62"/>
      <c r="RUP3" s="62"/>
      <c r="RUQ3" s="62"/>
      <c r="RUR3" s="62"/>
      <c r="RUS3" s="62"/>
      <c r="RUT3" s="62"/>
      <c r="RUU3" s="62"/>
      <c r="RUV3" s="62"/>
      <c r="RUW3" s="62"/>
      <c r="RUX3" s="62"/>
      <c r="RUY3" s="62"/>
      <c r="RUZ3" s="62"/>
      <c r="RVA3" s="62"/>
      <c r="RVB3" s="62"/>
      <c r="RVC3" s="62"/>
      <c r="RVD3" s="62"/>
      <c r="RVE3" s="62"/>
      <c r="RVF3" s="62"/>
      <c r="RVG3" s="62"/>
      <c r="RVH3" s="62"/>
      <c r="RVI3" s="62"/>
      <c r="RVJ3" s="62"/>
      <c r="RVK3" s="62"/>
      <c r="RVL3" s="62"/>
      <c r="RVM3" s="62"/>
      <c r="RVN3" s="62"/>
      <c r="RVO3" s="62"/>
      <c r="RVP3" s="62"/>
      <c r="RVQ3" s="62"/>
      <c r="RVR3" s="62"/>
      <c r="RVS3" s="62"/>
      <c r="RVT3" s="62"/>
      <c r="RVU3" s="62"/>
      <c r="RVV3" s="62"/>
      <c r="RVW3" s="62"/>
      <c r="RVX3" s="62"/>
      <c r="RVY3" s="62"/>
      <c r="RVZ3" s="62"/>
      <c r="RWA3" s="62"/>
      <c r="RWB3" s="62"/>
      <c r="RWC3" s="62"/>
      <c r="RWD3" s="62"/>
      <c r="RWE3" s="62"/>
      <c r="RWF3" s="62"/>
      <c r="RWG3" s="62"/>
      <c r="RWH3" s="62"/>
      <c r="RWI3" s="62"/>
      <c r="RWJ3" s="62"/>
      <c r="RWK3" s="62"/>
      <c r="RWL3" s="62"/>
      <c r="RWM3" s="62"/>
      <c r="RWN3" s="62"/>
      <c r="RWO3" s="62"/>
      <c r="RWP3" s="62"/>
      <c r="RWQ3" s="62"/>
      <c r="RWR3" s="62"/>
      <c r="RWS3" s="62"/>
      <c r="RWT3" s="62"/>
      <c r="RWU3" s="62"/>
      <c r="RWV3" s="62"/>
      <c r="RWW3" s="62"/>
      <c r="RWX3" s="62"/>
      <c r="RWY3" s="62"/>
      <c r="RWZ3" s="62"/>
      <c r="RXA3" s="62"/>
      <c r="RXB3" s="62"/>
      <c r="RXC3" s="62"/>
      <c r="RXD3" s="62"/>
      <c r="RXE3" s="62"/>
      <c r="RXF3" s="62"/>
      <c r="RXG3" s="62"/>
      <c r="RXH3" s="62"/>
      <c r="RXI3" s="62"/>
      <c r="RXJ3" s="62"/>
      <c r="RXK3" s="62"/>
      <c r="RXL3" s="62"/>
      <c r="RXM3" s="62"/>
      <c r="RXN3" s="62"/>
      <c r="RXO3" s="62"/>
      <c r="RXP3" s="62"/>
      <c r="RXQ3" s="62"/>
      <c r="RXR3" s="62"/>
      <c r="RXS3" s="62"/>
      <c r="RXT3" s="62"/>
      <c r="RXU3" s="62"/>
      <c r="RXV3" s="62"/>
      <c r="RXW3" s="62"/>
      <c r="RXX3" s="62"/>
      <c r="RXY3" s="62"/>
      <c r="RXZ3" s="62"/>
      <c r="RYA3" s="62"/>
      <c r="RYB3" s="62"/>
      <c r="RYC3" s="62"/>
      <c r="RYD3" s="62"/>
      <c r="RYE3" s="62"/>
      <c r="RYF3" s="62"/>
      <c r="RYG3" s="62"/>
      <c r="RYH3" s="62"/>
      <c r="RYI3" s="62"/>
      <c r="RYJ3" s="62"/>
      <c r="RYK3" s="62"/>
      <c r="RYL3" s="62"/>
      <c r="RYM3" s="62"/>
      <c r="RYN3" s="62"/>
      <c r="RYO3" s="62"/>
      <c r="RYP3" s="62"/>
      <c r="RYQ3" s="62"/>
      <c r="RYR3" s="62"/>
      <c r="RYS3" s="62"/>
      <c r="RYT3" s="62"/>
      <c r="RYU3" s="62"/>
      <c r="RYV3" s="62"/>
      <c r="RYW3" s="62"/>
      <c r="RYX3" s="62"/>
      <c r="RYY3" s="62"/>
      <c r="RYZ3" s="62"/>
      <c r="RZA3" s="62"/>
      <c r="RZB3" s="62"/>
      <c r="RZC3" s="62"/>
      <c r="RZD3" s="62"/>
      <c r="RZE3" s="62"/>
      <c r="RZF3" s="62"/>
      <c r="RZG3" s="62"/>
      <c r="RZH3" s="62"/>
      <c r="RZI3" s="62"/>
      <c r="RZJ3" s="62"/>
      <c r="RZK3" s="62"/>
      <c r="RZL3" s="62"/>
      <c r="RZM3" s="62"/>
      <c r="RZN3" s="62"/>
      <c r="RZO3" s="62"/>
      <c r="RZP3" s="62"/>
      <c r="RZQ3" s="62"/>
      <c r="RZR3" s="62"/>
      <c r="RZS3" s="62"/>
      <c r="RZT3" s="62"/>
      <c r="RZU3" s="62"/>
      <c r="RZV3" s="62"/>
      <c r="RZW3" s="62"/>
      <c r="RZX3" s="62"/>
      <c r="RZY3" s="62"/>
      <c r="RZZ3" s="62"/>
      <c r="SAA3" s="62"/>
      <c r="SAB3" s="62"/>
      <c r="SAC3" s="62"/>
      <c r="SAD3" s="62"/>
      <c r="SAE3" s="62"/>
      <c r="SAF3" s="62"/>
      <c r="SAG3" s="62"/>
      <c r="SAH3" s="62"/>
      <c r="SAI3" s="62"/>
      <c r="SAJ3" s="62"/>
      <c r="SAK3" s="62"/>
      <c r="SAL3" s="62"/>
      <c r="SAM3" s="62"/>
      <c r="SAN3" s="62"/>
      <c r="SAO3" s="62"/>
      <c r="SAP3" s="62"/>
      <c r="SAQ3" s="62"/>
      <c r="SAR3" s="62"/>
      <c r="SAS3" s="62"/>
      <c r="SAT3" s="62"/>
      <c r="SAU3" s="62"/>
      <c r="SAV3" s="62"/>
      <c r="SAW3" s="62"/>
      <c r="SAX3" s="62"/>
      <c r="SAY3" s="62"/>
      <c r="SAZ3" s="62"/>
      <c r="SBA3" s="62"/>
      <c r="SBB3" s="62"/>
      <c r="SBC3" s="62"/>
      <c r="SBD3" s="62"/>
      <c r="SBE3" s="62"/>
      <c r="SBF3" s="62"/>
      <c r="SBG3" s="62"/>
      <c r="SBH3" s="62"/>
      <c r="SBI3" s="62"/>
      <c r="SBJ3" s="62"/>
      <c r="SBK3" s="62"/>
      <c r="SBL3" s="62"/>
      <c r="SBM3" s="62"/>
      <c r="SBN3" s="62"/>
      <c r="SBO3" s="62"/>
      <c r="SBP3" s="62"/>
      <c r="SBQ3" s="62"/>
      <c r="SBR3" s="62"/>
      <c r="SBS3" s="62"/>
      <c r="SBT3" s="62"/>
      <c r="SBU3" s="62"/>
      <c r="SBV3" s="62"/>
      <c r="SBW3" s="62"/>
      <c r="SBX3" s="62"/>
      <c r="SBY3" s="62"/>
      <c r="SBZ3" s="62"/>
      <c r="SCA3" s="62"/>
      <c r="SCB3" s="62"/>
      <c r="SCC3" s="62"/>
      <c r="SCD3" s="62"/>
      <c r="SCE3" s="62"/>
      <c r="SCF3" s="62"/>
      <c r="SCG3" s="62"/>
      <c r="SCH3" s="62"/>
      <c r="SCI3" s="62"/>
      <c r="SCJ3" s="62"/>
      <c r="SCK3" s="62"/>
      <c r="SCL3" s="62"/>
      <c r="SCM3" s="62"/>
      <c r="SCN3" s="62"/>
      <c r="SCO3" s="62"/>
      <c r="SCP3" s="62"/>
      <c r="SCQ3" s="62"/>
      <c r="SCR3" s="62"/>
      <c r="SCS3" s="62"/>
      <c r="SCT3" s="62"/>
      <c r="SCU3" s="62"/>
      <c r="SCV3" s="62"/>
      <c r="SCW3" s="62"/>
      <c r="SCX3" s="62"/>
      <c r="SCY3" s="62"/>
      <c r="SCZ3" s="62"/>
      <c r="SDA3" s="62"/>
      <c r="SDB3" s="62"/>
      <c r="SDC3" s="62"/>
      <c r="SDD3" s="62"/>
      <c r="SDE3" s="62"/>
      <c r="SDF3" s="62"/>
      <c r="SDG3" s="62"/>
      <c r="SDH3" s="62"/>
      <c r="SDI3" s="62"/>
      <c r="SDJ3" s="62"/>
      <c r="SDK3" s="62"/>
      <c r="SDL3" s="62"/>
      <c r="SDM3" s="62"/>
      <c r="SDN3" s="62"/>
      <c r="SDO3" s="62"/>
      <c r="SDP3" s="62"/>
      <c r="SDQ3" s="62"/>
      <c r="SDR3" s="62"/>
      <c r="SDS3" s="62"/>
      <c r="SDT3" s="62"/>
      <c r="SDU3" s="62"/>
      <c r="SDV3" s="62"/>
      <c r="SDW3" s="62"/>
      <c r="SDX3" s="62"/>
      <c r="SDY3" s="62"/>
      <c r="SDZ3" s="62"/>
      <c r="SEA3" s="62"/>
      <c r="SEB3" s="62"/>
      <c r="SEC3" s="62"/>
      <c r="SED3" s="62"/>
      <c r="SEE3" s="62"/>
      <c r="SEF3" s="62"/>
      <c r="SEG3" s="62"/>
      <c r="SEH3" s="62"/>
      <c r="SEI3" s="62"/>
      <c r="SEJ3" s="62"/>
      <c r="SEK3" s="62"/>
      <c r="SEL3" s="62"/>
      <c r="SEM3" s="62"/>
      <c r="SEN3" s="62"/>
      <c r="SEO3" s="62"/>
      <c r="SEP3" s="62"/>
      <c r="SEQ3" s="62"/>
      <c r="SER3" s="62"/>
      <c r="SES3" s="62"/>
      <c r="SET3" s="62"/>
      <c r="SEU3" s="62"/>
      <c r="SEV3" s="62"/>
      <c r="SEW3" s="62"/>
      <c r="SEX3" s="62"/>
      <c r="SEY3" s="62"/>
      <c r="SEZ3" s="62"/>
      <c r="SFA3" s="62"/>
      <c r="SFB3" s="62"/>
      <c r="SFC3" s="62"/>
      <c r="SFD3" s="62"/>
      <c r="SFE3" s="62"/>
      <c r="SFF3" s="62"/>
      <c r="SFG3" s="62"/>
      <c r="SFH3" s="62"/>
      <c r="SFI3" s="62"/>
      <c r="SFJ3" s="62"/>
      <c r="SFK3" s="62"/>
      <c r="SFL3" s="62"/>
      <c r="SFM3" s="62"/>
      <c r="SFN3" s="62"/>
      <c r="SFO3" s="62"/>
      <c r="SFP3" s="62"/>
      <c r="SFQ3" s="62"/>
      <c r="SFR3" s="62"/>
      <c r="SFS3" s="62"/>
      <c r="SFT3" s="62"/>
      <c r="SFU3" s="62"/>
      <c r="SFV3" s="62"/>
      <c r="SFW3" s="62"/>
      <c r="SFX3" s="62"/>
      <c r="SFY3" s="62"/>
      <c r="SFZ3" s="62"/>
      <c r="SGA3" s="62"/>
      <c r="SGB3" s="62"/>
      <c r="SGC3" s="62"/>
      <c r="SGD3" s="62"/>
      <c r="SGE3" s="62"/>
      <c r="SGF3" s="62"/>
      <c r="SGG3" s="62"/>
      <c r="SGH3" s="62"/>
      <c r="SGI3" s="62"/>
      <c r="SGJ3" s="62"/>
      <c r="SGK3" s="62"/>
      <c r="SGL3" s="62"/>
      <c r="SGM3" s="62"/>
      <c r="SGN3" s="62"/>
      <c r="SGO3" s="62"/>
      <c r="SGP3" s="62"/>
      <c r="SGQ3" s="62"/>
      <c r="SGR3" s="62"/>
      <c r="SGS3" s="62"/>
      <c r="SGT3" s="62"/>
      <c r="SGU3" s="62"/>
      <c r="SGV3" s="62"/>
      <c r="SGW3" s="62"/>
      <c r="SGX3" s="62"/>
      <c r="SGY3" s="62"/>
      <c r="SGZ3" s="62"/>
      <c r="SHA3" s="62"/>
      <c r="SHB3" s="62"/>
      <c r="SHC3" s="62"/>
      <c r="SHD3" s="62"/>
      <c r="SHE3" s="62"/>
      <c r="SHF3" s="62"/>
      <c r="SHG3" s="62"/>
      <c r="SHH3" s="62"/>
      <c r="SHI3" s="62"/>
      <c r="SHJ3" s="62"/>
      <c r="SHK3" s="62"/>
      <c r="SHL3" s="62"/>
      <c r="SHM3" s="62"/>
      <c r="SHN3" s="62"/>
      <c r="SHO3" s="62"/>
      <c r="SHP3" s="62"/>
      <c r="SHQ3" s="62"/>
      <c r="SHR3" s="62"/>
      <c r="SHS3" s="62"/>
      <c r="SHT3" s="62"/>
      <c r="SHU3" s="62"/>
      <c r="SHV3" s="62"/>
      <c r="SHW3" s="62"/>
      <c r="SHX3" s="62"/>
      <c r="SHY3" s="62"/>
      <c r="SHZ3" s="62"/>
      <c r="SIA3" s="62"/>
      <c r="SIB3" s="62"/>
      <c r="SIC3" s="62"/>
      <c r="SID3" s="62"/>
      <c r="SIE3" s="62"/>
      <c r="SIF3" s="62"/>
      <c r="SIG3" s="62"/>
      <c r="SIH3" s="62"/>
      <c r="SII3" s="62"/>
      <c r="SIJ3" s="62"/>
      <c r="SIK3" s="62"/>
      <c r="SIL3" s="62"/>
      <c r="SIM3" s="62"/>
      <c r="SIN3" s="62"/>
      <c r="SIO3" s="62"/>
      <c r="SIP3" s="62"/>
      <c r="SIQ3" s="62"/>
      <c r="SIR3" s="62"/>
      <c r="SIS3" s="62"/>
      <c r="SIT3" s="62"/>
      <c r="SIU3" s="62"/>
      <c r="SIV3" s="62"/>
      <c r="SIW3" s="62"/>
      <c r="SIX3" s="62"/>
      <c r="SIY3" s="62"/>
      <c r="SIZ3" s="62"/>
      <c r="SJA3" s="62"/>
      <c r="SJB3" s="62"/>
      <c r="SJC3" s="62"/>
      <c r="SJD3" s="62"/>
      <c r="SJE3" s="62"/>
      <c r="SJF3" s="62"/>
      <c r="SJG3" s="62"/>
      <c r="SJH3" s="62"/>
      <c r="SJI3" s="62"/>
      <c r="SJJ3" s="62"/>
      <c r="SJK3" s="62"/>
      <c r="SJL3" s="62"/>
      <c r="SJM3" s="62"/>
      <c r="SJN3" s="62"/>
      <c r="SJO3" s="62"/>
      <c r="SJP3" s="62"/>
      <c r="SJQ3" s="62"/>
      <c r="SJR3" s="62"/>
      <c r="SJS3" s="62"/>
      <c r="SJT3" s="62"/>
      <c r="SJU3" s="62"/>
      <c r="SJV3" s="62"/>
      <c r="SJW3" s="62"/>
      <c r="SJX3" s="62"/>
      <c r="SJY3" s="62"/>
      <c r="SJZ3" s="62"/>
      <c r="SKA3" s="62"/>
      <c r="SKB3" s="62"/>
      <c r="SKC3" s="62"/>
      <c r="SKD3" s="62"/>
      <c r="SKE3" s="62"/>
      <c r="SKF3" s="62"/>
      <c r="SKG3" s="62"/>
      <c r="SKH3" s="62"/>
      <c r="SKI3" s="62"/>
      <c r="SKJ3" s="62"/>
      <c r="SKK3" s="62"/>
      <c r="SKL3" s="62"/>
      <c r="SKM3" s="62"/>
      <c r="SKN3" s="62"/>
      <c r="SKO3" s="62"/>
      <c r="SKP3" s="62"/>
      <c r="SKQ3" s="62"/>
      <c r="SKR3" s="62"/>
      <c r="SKS3" s="62"/>
      <c r="SKT3" s="62"/>
      <c r="SKU3" s="62"/>
      <c r="SKV3" s="62"/>
      <c r="SKW3" s="62"/>
      <c r="SKX3" s="62"/>
      <c r="SKY3" s="62"/>
      <c r="SKZ3" s="62"/>
      <c r="SLA3" s="62"/>
      <c r="SLB3" s="62"/>
      <c r="SLC3" s="62"/>
      <c r="SLD3" s="62"/>
      <c r="SLE3" s="62"/>
      <c r="SLF3" s="62"/>
      <c r="SLG3" s="62"/>
      <c r="SLH3" s="62"/>
      <c r="SLI3" s="62"/>
      <c r="SLJ3" s="62"/>
      <c r="SLK3" s="62"/>
      <c r="SLL3" s="62"/>
      <c r="SLM3" s="62"/>
      <c r="SLN3" s="62"/>
      <c r="SLO3" s="62"/>
      <c r="SLP3" s="62"/>
      <c r="SLQ3" s="62"/>
      <c r="SLR3" s="62"/>
      <c r="SLS3" s="62"/>
      <c r="SLT3" s="62"/>
      <c r="SLU3" s="62"/>
      <c r="SLV3" s="62"/>
      <c r="SLW3" s="62"/>
      <c r="SLX3" s="62"/>
      <c r="SLY3" s="62"/>
      <c r="SLZ3" s="62"/>
      <c r="SMA3" s="62"/>
      <c r="SMB3" s="62"/>
      <c r="SMC3" s="62"/>
      <c r="SMD3" s="62"/>
      <c r="SME3" s="62"/>
      <c r="SMF3" s="62"/>
      <c r="SMG3" s="62"/>
      <c r="SMH3" s="62"/>
      <c r="SMI3" s="62"/>
      <c r="SMJ3" s="62"/>
      <c r="SMK3" s="62"/>
      <c r="SML3" s="62"/>
      <c r="SMM3" s="62"/>
      <c r="SMN3" s="62"/>
      <c r="SMO3" s="62"/>
      <c r="SMP3" s="62"/>
      <c r="SMQ3" s="62"/>
      <c r="SMR3" s="62"/>
      <c r="SMS3" s="62"/>
      <c r="SMT3" s="62"/>
      <c r="SMU3" s="62"/>
      <c r="SMV3" s="62"/>
      <c r="SMW3" s="62"/>
      <c r="SMX3" s="62"/>
      <c r="SMY3" s="62"/>
      <c r="SMZ3" s="62"/>
      <c r="SNA3" s="62"/>
      <c r="SNB3" s="62"/>
      <c r="SNC3" s="62"/>
      <c r="SND3" s="62"/>
      <c r="SNE3" s="62"/>
      <c r="SNF3" s="62"/>
      <c r="SNG3" s="62"/>
      <c r="SNH3" s="62"/>
      <c r="SNI3" s="62"/>
      <c r="SNJ3" s="62"/>
      <c r="SNK3" s="62"/>
      <c r="SNL3" s="62"/>
      <c r="SNM3" s="62"/>
      <c r="SNN3" s="62"/>
      <c r="SNO3" s="62"/>
      <c r="SNP3" s="62"/>
      <c r="SNQ3" s="62"/>
      <c r="SNR3" s="62"/>
      <c r="SNS3" s="62"/>
      <c r="SNT3" s="62"/>
      <c r="SNU3" s="62"/>
      <c r="SNV3" s="62"/>
      <c r="SNW3" s="62"/>
      <c r="SNX3" s="62"/>
      <c r="SNY3" s="62"/>
      <c r="SNZ3" s="62"/>
      <c r="SOA3" s="62"/>
      <c r="SOB3" s="62"/>
      <c r="SOC3" s="62"/>
      <c r="SOD3" s="62"/>
      <c r="SOE3" s="62"/>
      <c r="SOF3" s="62"/>
      <c r="SOG3" s="62"/>
      <c r="SOH3" s="62"/>
      <c r="SOI3" s="62"/>
      <c r="SOJ3" s="62"/>
      <c r="SOK3" s="62"/>
      <c r="SOL3" s="62"/>
      <c r="SOM3" s="62"/>
      <c r="SON3" s="62"/>
      <c r="SOO3" s="62"/>
      <c r="SOP3" s="62"/>
      <c r="SOQ3" s="62"/>
      <c r="SOR3" s="62"/>
      <c r="SOS3" s="62"/>
      <c r="SOT3" s="62"/>
      <c r="SOU3" s="62"/>
      <c r="SOV3" s="62"/>
      <c r="SOW3" s="62"/>
      <c r="SOX3" s="62"/>
      <c r="SOY3" s="62"/>
      <c r="SOZ3" s="62"/>
      <c r="SPA3" s="62"/>
      <c r="SPB3" s="62"/>
      <c r="SPC3" s="62"/>
      <c r="SPD3" s="62"/>
      <c r="SPE3" s="62"/>
      <c r="SPF3" s="62"/>
      <c r="SPG3" s="62"/>
      <c r="SPH3" s="62"/>
      <c r="SPI3" s="62"/>
      <c r="SPJ3" s="62"/>
      <c r="SPK3" s="62"/>
      <c r="SPL3" s="62"/>
      <c r="SPM3" s="62"/>
      <c r="SPN3" s="62"/>
      <c r="SPO3" s="62"/>
      <c r="SPP3" s="62"/>
      <c r="SPQ3" s="62"/>
      <c r="SPR3" s="62"/>
      <c r="SPS3" s="62"/>
      <c r="SPT3" s="62"/>
      <c r="SPU3" s="62"/>
      <c r="SPV3" s="62"/>
      <c r="SPW3" s="62"/>
      <c r="SPX3" s="62"/>
      <c r="SPY3" s="62"/>
      <c r="SPZ3" s="62"/>
      <c r="SQA3" s="62"/>
      <c r="SQB3" s="62"/>
      <c r="SQC3" s="62"/>
      <c r="SQD3" s="62"/>
      <c r="SQE3" s="62"/>
      <c r="SQF3" s="62"/>
      <c r="SQG3" s="62"/>
      <c r="SQH3" s="62"/>
      <c r="SQI3" s="62"/>
      <c r="SQJ3" s="62"/>
      <c r="SQK3" s="62"/>
      <c r="SQL3" s="62"/>
      <c r="SQM3" s="62"/>
      <c r="SQN3" s="62"/>
      <c r="SQO3" s="62"/>
      <c r="SQP3" s="62"/>
      <c r="SQQ3" s="62"/>
      <c r="SQR3" s="62"/>
      <c r="SQS3" s="62"/>
      <c r="SQT3" s="62"/>
      <c r="SQU3" s="62"/>
      <c r="SQV3" s="62"/>
      <c r="SQW3" s="62"/>
      <c r="SQX3" s="62"/>
      <c r="SQY3" s="62"/>
      <c r="SQZ3" s="62"/>
      <c r="SRA3" s="62"/>
      <c r="SRB3" s="62"/>
      <c r="SRC3" s="62"/>
      <c r="SRD3" s="62"/>
      <c r="SRE3" s="62"/>
      <c r="SRF3" s="62"/>
      <c r="SRG3" s="62"/>
      <c r="SRH3" s="62"/>
      <c r="SRI3" s="62"/>
      <c r="SRJ3" s="62"/>
      <c r="SRK3" s="62"/>
      <c r="SRL3" s="62"/>
      <c r="SRM3" s="62"/>
      <c r="SRN3" s="62"/>
      <c r="SRO3" s="62"/>
      <c r="SRP3" s="62"/>
      <c r="SRQ3" s="62"/>
      <c r="SRR3" s="62"/>
      <c r="SRS3" s="62"/>
      <c r="SRT3" s="62"/>
      <c r="SRU3" s="62"/>
      <c r="SRV3" s="62"/>
      <c r="SRW3" s="62"/>
      <c r="SRX3" s="62"/>
      <c r="SRY3" s="62"/>
      <c r="SRZ3" s="62"/>
      <c r="SSA3" s="62"/>
      <c r="SSB3" s="62"/>
      <c r="SSC3" s="62"/>
      <c r="SSD3" s="62"/>
      <c r="SSE3" s="62"/>
      <c r="SSF3" s="62"/>
      <c r="SSG3" s="62"/>
      <c r="SSH3" s="62"/>
      <c r="SSI3" s="62"/>
      <c r="SSJ3" s="62"/>
      <c r="SSK3" s="62"/>
      <c r="SSL3" s="62"/>
      <c r="SSM3" s="62"/>
      <c r="SSN3" s="62"/>
      <c r="SSO3" s="62"/>
      <c r="SSP3" s="62"/>
      <c r="SSQ3" s="62"/>
      <c r="SSR3" s="62"/>
      <c r="SSS3" s="62"/>
      <c r="SST3" s="62"/>
      <c r="SSU3" s="62"/>
      <c r="SSV3" s="62"/>
      <c r="SSW3" s="62"/>
      <c r="SSX3" s="62"/>
      <c r="SSY3" s="62"/>
      <c r="SSZ3" s="62"/>
      <c r="STA3" s="62"/>
      <c r="STB3" s="62"/>
      <c r="STC3" s="62"/>
      <c r="STD3" s="62"/>
      <c r="STE3" s="62"/>
      <c r="STF3" s="62"/>
      <c r="STG3" s="62"/>
      <c r="STH3" s="62"/>
      <c r="STI3" s="62"/>
      <c r="STJ3" s="62"/>
      <c r="STK3" s="62"/>
      <c r="STL3" s="62"/>
      <c r="STM3" s="62"/>
      <c r="STN3" s="62"/>
      <c r="STO3" s="62"/>
      <c r="STP3" s="62"/>
      <c r="STQ3" s="62"/>
      <c r="STR3" s="62"/>
      <c r="STS3" s="62"/>
      <c r="STT3" s="62"/>
      <c r="STU3" s="62"/>
      <c r="STV3" s="62"/>
      <c r="STW3" s="62"/>
      <c r="STX3" s="62"/>
      <c r="STY3" s="62"/>
      <c r="STZ3" s="62"/>
      <c r="SUA3" s="62"/>
      <c r="SUB3" s="62"/>
      <c r="SUC3" s="62"/>
      <c r="SUD3" s="62"/>
      <c r="SUE3" s="62"/>
      <c r="SUF3" s="62"/>
      <c r="SUG3" s="62"/>
      <c r="SUH3" s="62"/>
      <c r="SUI3" s="62"/>
      <c r="SUJ3" s="62"/>
      <c r="SUK3" s="62"/>
      <c r="SUL3" s="62"/>
      <c r="SUM3" s="62"/>
      <c r="SUN3" s="62"/>
      <c r="SUO3" s="62"/>
      <c r="SUP3" s="62"/>
      <c r="SUQ3" s="62"/>
      <c r="SUR3" s="62"/>
      <c r="SUS3" s="62"/>
      <c r="SUT3" s="62"/>
      <c r="SUU3" s="62"/>
      <c r="SUV3" s="62"/>
      <c r="SUW3" s="62"/>
      <c r="SUX3" s="62"/>
      <c r="SUY3" s="62"/>
      <c r="SUZ3" s="62"/>
      <c r="SVA3" s="62"/>
      <c r="SVB3" s="62"/>
      <c r="SVC3" s="62"/>
      <c r="SVD3" s="62"/>
      <c r="SVE3" s="62"/>
      <c r="SVF3" s="62"/>
      <c r="SVG3" s="62"/>
      <c r="SVH3" s="62"/>
      <c r="SVI3" s="62"/>
      <c r="SVJ3" s="62"/>
      <c r="SVK3" s="62"/>
      <c r="SVL3" s="62"/>
      <c r="SVM3" s="62"/>
      <c r="SVN3" s="62"/>
      <c r="SVO3" s="62"/>
      <c r="SVP3" s="62"/>
      <c r="SVQ3" s="62"/>
      <c r="SVR3" s="62"/>
      <c r="SVS3" s="62"/>
      <c r="SVT3" s="62"/>
      <c r="SVU3" s="62"/>
      <c r="SVV3" s="62"/>
      <c r="SVW3" s="62"/>
      <c r="SVX3" s="62"/>
      <c r="SVY3" s="62"/>
      <c r="SVZ3" s="62"/>
      <c r="SWA3" s="62"/>
      <c r="SWB3" s="62"/>
      <c r="SWC3" s="62"/>
      <c r="SWD3" s="62"/>
      <c r="SWE3" s="62"/>
      <c r="SWF3" s="62"/>
      <c r="SWG3" s="62"/>
      <c r="SWH3" s="62"/>
      <c r="SWI3" s="62"/>
      <c r="SWJ3" s="62"/>
      <c r="SWK3" s="62"/>
      <c r="SWL3" s="62"/>
      <c r="SWM3" s="62"/>
      <c r="SWN3" s="62"/>
      <c r="SWO3" s="62"/>
      <c r="SWP3" s="62"/>
      <c r="SWQ3" s="62"/>
      <c r="SWR3" s="62"/>
      <c r="SWS3" s="62"/>
      <c r="SWT3" s="62"/>
      <c r="SWU3" s="62"/>
      <c r="SWV3" s="62"/>
      <c r="SWW3" s="62"/>
      <c r="SWX3" s="62"/>
      <c r="SWY3" s="62"/>
      <c r="SWZ3" s="62"/>
      <c r="SXA3" s="62"/>
      <c r="SXB3" s="62"/>
      <c r="SXC3" s="62"/>
      <c r="SXD3" s="62"/>
      <c r="SXE3" s="62"/>
      <c r="SXF3" s="62"/>
      <c r="SXG3" s="62"/>
      <c r="SXH3" s="62"/>
      <c r="SXI3" s="62"/>
      <c r="SXJ3" s="62"/>
      <c r="SXK3" s="62"/>
      <c r="SXL3" s="62"/>
      <c r="SXM3" s="62"/>
      <c r="SXN3" s="62"/>
      <c r="SXO3" s="62"/>
      <c r="SXP3" s="62"/>
      <c r="SXQ3" s="62"/>
      <c r="SXR3" s="62"/>
      <c r="SXS3" s="62"/>
      <c r="SXT3" s="62"/>
      <c r="SXU3" s="62"/>
      <c r="SXV3" s="62"/>
      <c r="SXW3" s="62"/>
      <c r="SXX3" s="62"/>
      <c r="SXY3" s="62"/>
      <c r="SXZ3" s="62"/>
      <c r="SYA3" s="62"/>
      <c r="SYB3" s="62"/>
      <c r="SYC3" s="62"/>
      <c r="SYD3" s="62"/>
      <c r="SYE3" s="62"/>
      <c r="SYF3" s="62"/>
      <c r="SYG3" s="62"/>
      <c r="SYH3" s="62"/>
      <c r="SYI3" s="62"/>
      <c r="SYJ3" s="62"/>
      <c r="SYK3" s="62"/>
      <c r="SYL3" s="62"/>
      <c r="SYM3" s="62"/>
      <c r="SYN3" s="62"/>
      <c r="SYO3" s="62"/>
      <c r="SYP3" s="62"/>
      <c r="SYQ3" s="62"/>
      <c r="SYR3" s="62"/>
      <c r="SYS3" s="62"/>
      <c r="SYT3" s="62"/>
      <c r="SYU3" s="62"/>
      <c r="SYV3" s="62"/>
      <c r="SYW3" s="62"/>
      <c r="SYX3" s="62"/>
      <c r="SYY3" s="62"/>
      <c r="SYZ3" s="62"/>
      <c r="SZA3" s="62"/>
      <c r="SZB3" s="62"/>
      <c r="SZC3" s="62"/>
      <c r="SZD3" s="62"/>
      <c r="SZE3" s="62"/>
      <c r="SZF3" s="62"/>
      <c r="SZG3" s="62"/>
      <c r="SZH3" s="62"/>
      <c r="SZI3" s="62"/>
      <c r="SZJ3" s="62"/>
      <c r="SZK3" s="62"/>
      <c r="SZL3" s="62"/>
      <c r="SZM3" s="62"/>
      <c r="SZN3" s="62"/>
      <c r="SZO3" s="62"/>
      <c r="SZP3" s="62"/>
      <c r="SZQ3" s="62"/>
      <c r="SZR3" s="62"/>
      <c r="SZS3" s="62"/>
      <c r="SZT3" s="62"/>
      <c r="SZU3" s="62"/>
      <c r="SZV3" s="62"/>
      <c r="SZW3" s="62"/>
      <c r="SZX3" s="62"/>
      <c r="SZY3" s="62"/>
      <c r="SZZ3" s="62"/>
      <c r="TAA3" s="62"/>
      <c r="TAB3" s="62"/>
      <c r="TAC3" s="62"/>
      <c r="TAD3" s="62"/>
      <c r="TAE3" s="62"/>
      <c r="TAF3" s="62"/>
      <c r="TAG3" s="62"/>
      <c r="TAH3" s="62"/>
      <c r="TAI3" s="62"/>
      <c r="TAJ3" s="62"/>
      <c r="TAK3" s="62"/>
      <c r="TAL3" s="62"/>
      <c r="TAM3" s="62"/>
      <c r="TAN3" s="62"/>
      <c r="TAO3" s="62"/>
      <c r="TAP3" s="62"/>
      <c r="TAQ3" s="62"/>
      <c r="TAR3" s="62"/>
      <c r="TAS3" s="62"/>
      <c r="TAT3" s="62"/>
      <c r="TAU3" s="62"/>
      <c r="TAV3" s="62"/>
      <c r="TAW3" s="62"/>
      <c r="TAX3" s="62"/>
      <c r="TAY3" s="62"/>
      <c r="TAZ3" s="62"/>
      <c r="TBA3" s="62"/>
      <c r="TBB3" s="62"/>
      <c r="TBC3" s="62"/>
      <c r="TBD3" s="62"/>
      <c r="TBE3" s="62"/>
      <c r="TBF3" s="62"/>
      <c r="TBG3" s="62"/>
      <c r="TBH3" s="62"/>
      <c r="TBI3" s="62"/>
      <c r="TBJ3" s="62"/>
      <c r="TBK3" s="62"/>
      <c r="TBL3" s="62"/>
      <c r="TBM3" s="62"/>
      <c r="TBN3" s="62"/>
      <c r="TBO3" s="62"/>
      <c r="TBP3" s="62"/>
      <c r="TBQ3" s="62"/>
      <c r="TBR3" s="62"/>
      <c r="TBS3" s="62"/>
      <c r="TBT3" s="62"/>
      <c r="TBU3" s="62"/>
      <c r="TBV3" s="62"/>
      <c r="TBW3" s="62"/>
      <c r="TBX3" s="62"/>
      <c r="TBY3" s="62"/>
      <c r="TBZ3" s="62"/>
      <c r="TCA3" s="62"/>
      <c r="TCB3" s="62"/>
      <c r="TCC3" s="62"/>
      <c r="TCD3" s="62"/>
      <c r="TCE3" s="62"/>
      <c r="TCF3" s="62"/>
      <c r="TCG3" s="62"/>
      <c r="TCH3" s="62"/>
      <c r="TCI3" s="62"/>
      <c r="TCJ3" s="62"/>
      <c r="TCK3" s="62"/>
      <c r="TCL3" s="62"/>
      <c r="TCM3" s="62"/>
      <c r="TCN3" s="62"/>
      <c r="TCO3" s="62"/>
      <c r="TCP3" s="62"/>
      <c r="TCQ3" s="62"/>
      <c r="TCR3" s="62"/>
      <c r="TCS3" s="62"/>
      <c r="TCT3" s="62"/>
      <c r="TCU3" s="62"/>
      <c r="TCV3" s="62"/>
      <c r="TCW3" s="62"/>
      <c r="TCX3" s="62"/>
      <c r="TCY3" s="62"/>
      <c r="TCZ3" s="62"/>
      <c r="TDA3" s="62"/>
      <c r="TDB3" s="62"/>
      <c r="TDC3" s="62"/>
      <c r="TDD3" s="62"/>
      <c r="TDE3" s="62"/>
      <c r="TDF3" s="62"/>
      <c r="TDG3" s="62"/>
      <c r="TDH3" s="62"/>
      <c r="TDI3" s="62"/>
      <c r="TDJ3" s="62"/>
      <c r="TDK3" s="62"/>
      <c r="TDL3" s="62"/>
      <c r="TDM3" s="62"/>
      <c r="TDN3" s="62"/>
      <c r="TDO3" s="62"/>
      <c r="TDP3" s="62"/>
      <c r="TDQ3" s="62"/>
      <c r="TDR3" s="62"/>
      <c r="TDS3" s="62"/>
      <c r="TDT3" s="62"/>
      <c r="TDU3" s="62"/>
      <c r="TDV3" s="62"/>
      <c r="TDW3" s="62"/>
      <c r="TDX3" s="62"/>
      <c r="TDY3" s="62"/>
      <c r="TDZ3" s="62"/>
      <c r="TEA3" s="62"/>
      <c r="TEB3" s="62"/>
      <c r="TEC3" s="62"/>
      <c r="TED3" s="62"/>
      <c r="TEE3" s="62"/>
      <c r="TEF3" s="62"/>
      <c r="TEG3" s="62"/>
      <c r="TEH3" s="62"/>
      <c r="TEI3" s="62"/>
      <c r="TEJ3" s="62"/>
      <c r="TEK3" s="62"/>
      <c r="TEL3" s="62"/>
      <c r="TEM3" s="62"/>
      <c r="TEN3" s="62"/>
      <c r="TEO3" s="62"/>
      <c r="TEP3" s="62"/>
      <c r="TEQ3" s="62"/>
      <c r="TER3" s="62"/>
      <c r="TES3" s="62"/>
      <c r="TET3" s="62"/>
      <c r="TEU3" s="62"/>
      <c r="TEV3" s="62"/>
      <c r="TEW3" s="62"/>
      <c r="TEX3" s="62"/>
      <c r="TEY3" s="62"/>
      <c r="TEZ3" s="62"/>
      <c r="TFA3" s="62"/>
      <c r="TFB3" s="62"/>
      <c r="TFC3" s="62"/>
      <c r="TFD3" s="62"/>
      <c r="TFE3" s="62"/>
      <c r="TFF3" s="62"/>
      <c r="TFG3" s="62"/>
      <c r="TFH3" s="62"/>
      <c r="TFI3" s="62"/>
      <c r="TFJ3" s="62"/>
      <c r="TFK3" s="62"/>
      <c r="TFL3" s="62"/>
      <c r="TFM3" s="62"/>
      <c r="TFN3" s="62"/>
      <c r="TFO3" s="62"/>
      <c r="TFP3" s="62"/>
      <c r="TFQ3" s="62"/>
      <c r="TFR3" s="62"/>
      <c r="TFS3" s="62"/>
      <c r="TFT3" s="62"/>
      <c r="TFU3" s="62"/>
      <c r="TFV3" s="62"/>
      <c r="TFW3" s="62"/>
      <c r="TFX3" s="62"/>
      <c r="TFY3" s="62"/>
      <c r="TFZ3" s="62"/>
      <c r="TGA3" s="62"/>
      <c r="TGB3" s="62"/>
      <c r="TGC3" s="62"/>
      <c r="TGD3" s="62"/>
      <c r="TGE3" s="62"/>
      <c r="TGF3" s="62"/>
      <c r="TGG3" s="62"/>
      <c r="TGH3" s="62"/>
      <c r="TGI3" s="62"/>
      <c r="TGJ3" s="62"/>
      <c r="TGK3" s="62"/>
      <c r="TGL3" s="62"/>
      <c r="TGM3" s="62"/>
      <c r="TGN3" s="62"/>
      <c r="TGO3" s="62"/>
      <c r="TGP3" s="62"/>
      <c r="TGQ3" s="62"/>
      <c r="TGR3" s="62"/>
      <c r="TGS3" s="62"/>
      <c r="TGT3" s="62"/>
      <c r="TGU3" s="62"/>
      <c r="TGV3" s="62"/>
      <c r="TGW3" s="62"/>
      <c r="TGX3" s="62"/>
      <c r="TGY3" s="62"/>
      <c r="TGZ3" s="62"/>
      <c r="THA3" s="62"/>
      <c r="THB3" s="62"/>
      <c r="THC3" s="62"/>
      <c r="THD3" s="62"/>
      <c r="THE3" s="62"/>
      <c r="THF3" s="62"/>
      <c r="THG3" s="62"/>
      <c r="THH3" s="62"/>
      <c r="THI3" s="62"/>
      <c r="THJ3" s="62"/>
      <c r="THK3" s="62"/>
      <c r="THL3" s="62"/>
      <c r="THM3" s="62"/>
      <c r="THN3" s="62"/>
      <c r="THO3" s="62"/>
      <c r="THP3" s="62"/>
      <c r="THQ3" s="62"/>
      <c r="THR3" s="62"/>
      <c r="THS3" s="62"/>
      <c r="THT3" s="62"/>
      <c r="THU3" s="62"/>
      <c r="THV3" s="62"/>
      <c r="THW3" s="62"/>
      <c r="THX3" s="62"/>
      <c r="THY3" s="62"/>
      <c r="THZ3" s="62"/>
      <c r="TIA3" s="62"/>
      <c r="TIB3" s="62"/>
      <c r="TIC3" s="62"/>
      <c r="TID3" s="62"/>
      <c r="TIE3" s="62"/>
      <c r="TIF3" s="62"/>
      <c r="TIG3" s="62"/>
      <c r="TIH3" s="62"/>
      <c r="TII3" s="62"/>
      <c r="TIJ3" s="62"/>
      <c r="TIK3" s="62"/>
      <c r="TIL3" s="62"/>
      <c r="TIM3" s="62"/>
      <c r="TIN3" s="62"/>
      <c r="TIO3" s="62"/>
      <c r="TIP3" s="62"/>
      <c r="TIQ3" s="62"/>
      <c r="TIR3" s="62"/>
      <c r="TIS3" s="62"/>
      <c r="TIT3" s="62"/>
      <c r="TIU3" s="62"/>
      <c r="TIV3" s="62"/>
      <c r="TIW3" s="62"/>
      <c r="TIX3" s="62"/>
      <c r="TIY3" s="62"/>
      <c r="TIZ3" s="62"/>
      <c r="TJA3" s="62"/>
      <c r="TJB3" s="62"/>
      <c r="TJC3" s="62"/>
      <c r="TJD3" s="62"/>
      <c r="TJE3" s="62"/>
      <c r="TJF3" s="62"/>
      <c r="TJG3" s="62"/>
      <c r="TJH3" s="62"/>
      <c r="TJI3" s="62"/>
      <c r="TJJ3" s="62"/>
      <c r="TJK3" s="62"/>
      <c r="TJL3" s="62"/>
      <c r="TJM3" s="62"/>
      <c r="TJN3" s="62"/>
      <c r="TJO3" s="62"/>
      <c r="TJP3" s="62"/>
      <c r="TJQ3" s="62"/>
      <c r="TJR3" s="62"/>
      <c r="TJS3" s="62"/>
      <c r="TJT3" s="62"/>
      <c r="TJU3" s="62"/>
      <c r="TJV3" s="62"/>
      <c r="TJW3" s="62"/>
      <c r="TJX3" s="62"/>
      <c r="TJY3" s="62"/>
      <c r="TJZ3" s="62"/>
      <c r="TKA3" s="62"/>
      <c r="TKB3" s="62"/>
      <c r="TKC3" s="62"/>
      <c r="TKD3" s="62"/>
      <c r="TKE3" s="62"/>
      <c r="TKF3" s="62"/>
      <c r="TKG3" s="62"/>
      <c r="TKH3" s="62"/>
      <c r="TKI3" s="62"/>
      <c r="TKJ3" s="62"/>
      <c r="TKK3" s="62"/>
      <c r="TKL3" s="62"/>
      <c r="TKM3" s="62"/>
      <c r="TKN3" s="62"/>
      <c r="TKO3" s="62"/>
      <c r="TKP3" s="62"/>
      <c r="TKQ3" s="62"/>
      <c r="TKR3" s="62"/>
      <c r="TKS3" s="62"/>
      <c r="TKT3" s="62"/>
      <c r="TKU3" s="62"/>
      <c r="TKV3" s="62"/>
      <c r="TKW3" s="62"/>
      <c r="TKX3" s="62"/>
      <c r="TKY3" s="62"/>
      <c r="TKZ3" s="62"/>
      <c r="TLA3" s="62"/>
      <c r="TLB3" s="62"/>
      <c r="TLC3" s="62"/>
      <c r="TLD3" s="62"/>
      <c r="TLE3" s="62"/>
      <c r="TLF3" s="62"/>
      <c r="TLG3" s="62"/>
      <c r="TLH3" s="62"/>
      <c r="TLI3" s="62"/>
      <c r="TLJ3" s="62"/>
      <c r="TLK3" s="62"/>
      <c r="TLL3" s="62"/>
      <c r="TLM3" s="62"/>
      <c r="TLN3" s="62"/>
      <c r="TLO3" s="62"/>
      <c r="TLP3" s="62"/>
      <c r="TLQ3" s="62"/>
      <c r="TLR3" s="62"/>
      <c r="TLS3" s="62"/>
      <c r="TLT3" s="62"/>
      <c r="TLU3" s="62"/>
      <c r="TLV3" s="62"/>
      <c r="TLW3" s="62"/>
      <c r="TLX3" s="62"/>
      <c r="TLY3" s="62"/>
      <c r="TLZ3" s="62"/>
      <c r="TMA3" s="62"/>
      <c r="TMB3" s="62"/>
      <c r="TMC3" s="62"/>
      <c r="TMD3" s="62"/>
      <c r="TME3" s="62"/>
      <c r="TMF3" s="62"/>
      <c r="TMG3" s="62"/>
      <c r="TMH3" s="62"/>
      <c r="TMI3" s="62"/>
      <c r="TMJ3" s="62"/>
      <c r="TMK3" s="62"/>
      <c r="TML3" s="62"/>
      <c r="TMM3" s="62"/>
      <c r="TMN3" s="62"/>
      <c r="TMO3" s="62"/>
      <c r="TMP3" s="62"/>
      <c r="TMQ3" s="62"/>
      <c r="TMR3" s="62"/>
      <c r="TMS3" s="62"/>
      <c r="TMT3" s="62"/>
      <c r="TMU3" s="62"/>
      <c r="TMV3" s="62"/>
      <c r="TMW3" s="62"/>
      <c r="TMX3" s="62"/>
      <c r="TMY3" s="62"/>
      <c r="TMZ3" s="62"/>
      <c r="TNA3" s="62"/>
      <c r="TNB3" s="62"/>
      <c r="TNC3" s="62"/>
      <c r="TND3" s="62"/>
      <c r="TNE3" s="62"/>
      <c r="TNF3" s="62"/>
      <c r="TNG3" s="62"/>
      <c r="TNH3" s="62"/>
      <c r="TNI3" s="62"/>
      <c r="TNJ3" s="62"/>
      <c r="TNK3" s="62"/>
      <c r="TNL3" s="62"/>
      <c r="TNM3" s="62"/>
      <c r="TNN3" s="62"/>
      <c r="TNO3" s="62"/>
      <c r="TNP3" s="62"/>
      <c r="TNQ3" s="62"/>
      <c r="TNR3" s="62"/>
      <c r="TNS3" s="62"/>
      <c r="TNT3" s="62"/>
      <c r="TNU3" s="62"/>
      <c r="TNV3" s="62"/>
      <c r="TNW3" s="62"/>
      <c r="TNX3" s="62"/>
      <c r="TNY3" s="62"/>
      <c r="TNZ3" s="62"/>
      <c r="TOA3" s="62"/>
      <c r="TOB3" s="62"/>
      <c r="TOC3" s="62"/>
      <c r="TOD3" s="62"/>
      <c r="TOE3" s="62"/>
      <c r="TOF3" s="62"/>
      <c r="TOG3" s="62"/>
      <c r="TOH3" s="62"/>
      <c r="TOI3" s="62"/>
      <c r="TOJ3" s="62"/>
      <c r="TOK3" s="62"/>
      <c r="TOL3" s="62"/>
      <c r="TOM3" s="62"/>
      <c r="TON3" s="62"/>
      <c r="TOO3" s="62"/>
      <c r="TOP3" s="62"/>
      <c r="TOQ3" s="62"/>
      <c r="TOR3" s="62"/>
      <c r="TOS3" s="62"/>
      <c r="TOT3" s="62"/>
      <c r="TOU3" s="62"/>
      <c r="TOV3" s="62"/>
      <c r="TOW3" s="62"/>
      <c r="TOX3" s="62"/>
      <c r="TOY3" s="62"/>
      <c r="TOZ3" s="62"/>
      <c r="TPA3" s="62"/>
      <c r="TPB3" s="62"/>
      <c r="TPC3" s="62"/>
      <c r="TPD3" s="62"/>
      <c r="TPE3" s="62"/>
      <c r="TPF3" s="62"/>
      <c r="TPG3" s="62"/>
      <c r="TPH3" s="62"/>
      <c r="TPI3" s="62"/>
      <c r="TPJ3" s="62"/>
      <c r="TPK3" s="62"/>
      <c r="TPL3" s="62"/>
      <c r="TPM3" s="62"/>
      <c r="TPN3" s="62"/>
      <c r="TPO3" s="62"/>
      <c r="TPP3" s="62"/>
      <c r="TPQ3" s="62"/>
      <c r="TPR3" s="62"/>
      <c r="TPS3" s="62"/>
      <c r="TPT3" s="62"/>
      <c r="TPU3" s="62"/>
      <c r="TPV3" s="62"/>
      <c r="TPW3" s="62"/>
      <c r="TPX3" s="62"/>
      <c r="TPY3" s="62"/>
      <c r="TPZ3" s="62"/>
      <c r="TQA3" s="62"/>
      <c r="TQB3" s="62"/>
      <c r="TQC3" s="62"/>
      <c r="TQD3" s="62"/>
      <c r="TQE3" s="62"/>
      <c r="TQF3" s="62"/>
      <c r="TQG3" s="62"/>
      <c r="TQH3" s="62"/>
      <c r="TQI3" s="62"/>
      <c r="TQJ3" s="62"/>
      <c r="TQK3" s="62"/>
      <c r="TQL3" s="62"/>
      <c r="TQM3" s="62"/>
      <c r="TQN3" s="62"/>
      <c r="TQO3" s="62"/>
      <c r="TQP3" s="62"/>
      <c r="TQQ3" s="62"/>
      <c r="TQR3" s="62"/>
      <c r="TQS3" s="62"/>
      <c r="TQT3" s="62"/>
      <c r="TQU3" s="62"/>
      <c r="TQV3" s="62"/>
      <c r="TQW3" s="62"/>
      <c r="TQX3" s="62"/>
      <c r="TQY3" s="62"/>
      <c r="TQZ3" s="62"/>
      <c r="TRA3" s="62"/>
      <c r="TRB3" s="62"/>
      <c r="TRC3" s="62"/>
      <c r="TRD3" s="62"/>
      <c r="TRE3" s="62"/>
      <c r="TRF3" s="62"/>
      <c r="TRG3" s="62"/>
      <c r="TRH3" s="62"/>
      <c r="TRI3" s="62"/>
      <c r="TRJ3" s="62"/>
      <c r="TRK3" s="62"/>
      <c r="TRL3" s="62"/>
      <c r="TRM3" s="62"/>
      <c r="TRN3" s="62"/>
      <c r="TRO3" s="62"/>
      <c r="TRP3" s="62"/>
      <c r="TRQ3" s="62"/>
      <c r="TRR3" s="62"/>
      <c r="TRS3" s="62"/>
      <c r="TRT3" s="62"/>
      <c r="TRU3" s="62"/>
      <c r="TRV3" s="62"/>
      <c r="TRW3" s="62"/>
      <c r="TRX3" s="62"/>
      <c r="TRY3" s="62"/>
      <c r="TRZ3" s="62"/>
      <c r="TSA3" s="62"/>
      <c r="TSB3" s="62"/>
      <c r="TSC3" s="62"/>
      <c r="TSD3" s="62"/>
      <c r="TSE3" s="62"/>
      <c r="TSF3" s="62"/>
      <c r="TSG3" s="62"/>
      <c r="TSH3" s="62"/>
      <c r="TSI3" s="62"/>
      <c r="TSJ3" s="62"/>
      <c r="TSK3" s="62"/>
      <c r="TSL3" s="62"/>
      <c r="TSM3" s="62"/>
      <c r="TSN3" s="62"/>
      <c r="TSO3" s="62"/>
      <c r="TSP3" s="62"/>
      <c r="TSQ3" s="62"/>
      <c r="TSR3" s="62"/>
      <c r="TSS3" s="62"/>
      <c r="TST3" s="62"/>
      <c r="TSU3" s="62"/>
      <c r="TSV3" s="62"/>
      <c r="TSW3" s="62"/>
      <c r="TSX3" s="62"/>
      <c r="TSY3" s="62"/>
      <c r="TSZ3" s="62"/>
      <c r="TTA3" s="62"/>
      <c r="TTB3" s="62"/>
      <c r="TTC3" s="62"/>
      <c r="TTD3" s="62"/>
      <c r="TTE3" s="62"/>
      <c r="TTF3" s="62"/>
      <c r="TTG3" s="62"/>
      <c r="TTH3" s="62"/>
      <c r="TTI3" s="62"/>
      <c r="TTJ3" s="62"/>
      <c r="TTK3" s="62"/>
      <c r="TTL3" s="62"/>
      <c r="TTM3" s="62"/>
      <c r="TTN3" s="62"/>
      <c r="TTO3" s="62"/>
      <c r="TTP3" s="62"/>
      <c r="TTQ3" s="62"/>
      <c r="TTR3" s="62"/>
      <c r="TTS3" s="62"/>
      <c r="TTT3" s="62"/>
      <c r="TTU3" s="62"/>
      <c r="TTV3" s="62"/>
      <c r="TTW3" s="62"/>
      <c r="TTX3" s="62"/>
      <c r="TTY3" s="62"/>
      <c r="TTZ3" s="62"/>
      <c r="TUA3" s="62"/>
      <c r="TUB3" s="62"/>
      <c r="TUC3" s="62"/>
      <c r="TUD3" s="62"/>
      <c r="TUE3" s="62"/>
      <c r="TUF3" s="62"/>
      <c r="TUG3" s="62"/>
      <c r="TUH3" s="62"/>
      <c r="TUI3" s="62"/>
      <c r="TUJ3" s="62"/>
      <c r="TUK3" s="62"/>
      <c r="TUL3" s="62"/>
      <c r="TUM3" s="62"/>
      <c r="TUN3" s="62"/>
      <c r="TUO3" s="62"/>
      <c r="TUP3" s="62"/>
      <c r="TUQ3" s="62"/>
      <c r="TUR3" s="62"/>
      <c r="TUS3" s="62"/>
      <c r="TUT3" s="62"/>
      <c r="TUU3" s="62"/>
      <c r="TUV3" s="62"/>
      <c r="TUW3" s="62"/>
      <c r="TUX3" s="62"/>
      <c r="TUY3" s="62"/>
      <c r="TUZ3" s="62"/>
      <c r="TVA3" s="62"/>
      <c r="TVB3" s="62"/>
      <c r="TVC3" s="62"/>
      <c r="TVD3" s="62"/>
      <c r="TVE3" s="62"/>
      <c r="TVF3" s="62"/>
      <c r="TVG3" s="62"/>
      <c r="TVH3" s="62"/>
      <c r="TVI3" s="62"/>
      <c r="TVJ3" s="62"/>
      <c r="TVK3" s="62"/>
      <c r="TVL3" s="62"/>
      <c r="TVM3" s="62"/>
      <c r="TVN3" s="62"/>
      <c r="TVO3" s="62"/>
      <c r="TVP3" s="62"/>
      <c r="TVQ3" s="62"/>
      <c r="TVR3" s="62"/>
      <c r="TVS3" s="62"/>
      <c r="TVT3" s="62"/>
      <c r="TVU3" s="62"/>
      <c r="TVV3" s="62"/>
      <c r="TVW3" s="62"/>
      <c r="TVX3" s="62"/>
      <c r="TVY3" s="62"/>
      <c r="TVZ3" s="62"/>
      <c r="TWA3" s="62"/>
      <c r="TWB3" s="62"/>
      <c r="TWC3" s="62"/>
      <c r="TWD3" s="62"/>
      <c r="TWE3" s="62"/>
      <c r="TWF3" s="62"/>
      <c r="TWG3" s="62"/>
      <c r="TWH3" s="62"/>
      <c r="TWI3" s="62"/>
      <c r="TWJ3" s="62"/>
      <c r="TWK3" s="62"/>
      <c r="TWL3" s="62"/>
      <c r="TWM3" s="62"/>
      <c r="TWN3" s="62"/>
      <c r="TWO3" s="62"/>
      <c r="TWP3" s="62"/>
      <c r="TWQ3" s="62"/>
      <c r="TWR3" s="62"/>
      <c r="TWS3" s="62"/>
      <c r="TWT3" s="62"/>
      <c r="TWU3" s="62"/>
      <c r="TWV3" s="62"/>
      <c r="TWW3" s="62"/>
      <c r="TWX3" s="62"/>
      <c r="TWY3" s="62"/>
      <c r="TWZ3" s="62"/>
      <c r="TXA3" s="62"/>
      <c r="TXB3" s="62"/>
      <c r="TXC3" s="62"/>
      <c r="TXD3" s="62"/>
      <c r="TXE3" s="62"/>
      <c r="TXF3" s="62"/>
      <c r="TXG3" s="62"/>
      <c r="TXH3" s="62"/>
      <c r="TXI3" s="62"/>
      <c r="TXJ3" s="62"/>
      <c r="TXK3" s="62"/>
      <c r="TXL3" s="62"/>
      <c r="TXM3" s="62"/>
      <c r="TXN3" s="62"/>
      <c r="TXO3" s="62"/>
      <c r="TXP3" s="62"/>
      <c r="TXQ3" s="62"/>
      <c r="TXR3" s="62"/>
      <c r="TXS3" s="62"/>
      <c r="TXT3" s="62"/>
      <c r="TXU3" s="62"/>
      <c r="TXV3" s="62"/>
      <c r="TXW3" s="62"/>
      <c r="TXX3" s="62"/>
      <c r="TXY3" s="62"/>
      <c r="TXZ3" s="62"/>
      <c r="TYA3" s="62"/>
      <c r="TYB3" s="62"/>
      <c r="TYC3" s="62"/>
      <c r="TYD3" s="62"/>
      <c r="TYE3" s="62"/>
      <c r="TYF3" s="62"/>
      <c r="TYG3" s="62"/>
      <c r="TYH3" s="62"/>
      <c r="TYI3" s="62"/>
      <c r="TYJ3" s="62"/>
      <c r="TYK3" s="62"/>
      <c r="TYL3" s="62"/>
      <c r="TYM3" s="62"/>
      <c r="TYN3" s="62"/>
      <c r="TYO3" s="62"/>
      <c r="TYP3" s="62"/>
      <c r="TYQ3" s="62"/>
      <c r="TYR3" s="62"/>
      <c r="TYS3" s="62"/>
      <c r="TYT3" s="62"/>
      <c r="TYU3" s="62"/>
      <c r="TYV3" s="62"/>
      <c r="TYW3" s="62"/>
      <c r="TYX3" s="62"/>
      <c r="TYY3" s="62"/>
      <c r="TYZ3" s="62"/>
      <c r="TZA3" s="62"/>
      <c r="TZB3" s="62"/>
      <c r="TZC3" s="62"/>
      <c r="TZD3" s="62"/>
      <c r="TZE3" s="62"/>
      <c r="TZF3" s="62"/>
      <c r="TZG3" s="62"/>
      <c r="TZH3" s="62"/>
      <c r="TZI3" s="62"/>
      <c r="TZJ3" s="62"/>
      <c r="TZK3" s="62"/>
      <c r="TZL3" s="62"/>
      <c r="TZM3" s="62"/>
      <c r="TZN3" s="62"/>
      <c r="TZO3" s="62"/>
      <c r="TZP3" s="62"/>
      <c r="TZQ3" s="62"/>
      <c r="TZR3" s="62"/>
      <c r="TZS3" s="62"/>
      <c r="TZT3" s="62"/>
      <c r="TZU3" s="62"/>
      <c r="TZV3" s="62"/>
      <c r="TZW3" s="62"/>
      <c r="TZX3" s="62"/>
      <c r="TZY3" s="62"/>
      <c r="TZZ3" s="62"/>
      <c r="UAA3" s="62"/>
      <c r="UAB3" s="62"/>
      <c r="UAC3" s="62"/>
      <c r="UAD3" s="62"/>
      <c r="UAE3" s="62"/>
      <c r="UAF3" s="62"/>
      <c r="UAG3" s="62"/>
      <c r="UAH3" s="62"/>
      <c r="UAI3" s="62"/>
      <c r="UAJ3" s="62"/>
      <c r="UAK3" s="62"/>
      <c r="UAL3" s="62"/>
      <c r="UAM3" s="62"/>
      <c r="UAN3" s="62"/>
      <c r="UAO3" s="62"/>
      <c r="UAP3" s="62"/>
      <c r="UAQ3" s="62"/>
      <c r="UAR3" s="62"/>
      <c r="UAS3" s="62"/>
      <c r="UAT3" s="62"/>
      <c r="UAU3" s="62"/>
      <c r="UAV3" s="62"/>
      <c r="UAW3" s="62"/>
      <c r="UAX3" s="62"/>
      <c r="UAY3" s="62"/>
      <c r="UAZ3" s="62"/>
      <c r="UBA3" s="62"/>
      <c r="UBB3" s="62"/>
      <c r="UBC3" s="62"/>
      <c r="UBD3" s="62"/>
      <c r="UBE3" s="62"/>
      <c r="UBF3" s="62"/>
      <c r="UBG3" s="62"/>
      <c r="UBH3" s="62"/>
      <c r="UBI3" s="62"/>
      <c r="UBJ3" s="62"/>
      <c r="UBK3" s="62"/>
      <c r="UBL3" s="62"/>
      <c r="UBM3" s="62"/>
      <c r="UBN3" s="62"/>
      <c r="UBO3" s="62"/>
      <c r="UBP3" s="62"/>
      <c r="UBQ3" s="62"/>
      <c r="UBR3" s="62"/>
      <c r="UBS3" s="62"/>
      <c r="UBT3" s="62"/>
      <c r="UBU3" s="62"/>
      <c r="UBV3" s="62"/>
      <c r="UBW3" s="62"/>
      <c r="UBX3" s="62"/>
      <c r="UBY3" s="62"/>
      <c r="UBZ3" s="62"/>
      <c r="UCA3" s="62"/>
      <c r="UCB3" s="62"/>
      <c r="UCC3" s="62"/>
      <c r="UCD3" s="62"/>
      <c r="UCE3" s="62"/>
      <c r="UCF3" s="62"/>
      <c r="UCG3" s="62"/>
      <c r="UCH3" s="62"/>
      <c r="UCI3" s="62"/>
      <c r="UCJ3" s="62"/>
      <c r="UCK3" s="62"/>
      <c r="UCL3" s="62"/>
      <c r="UCM3" s="62"/>
      <c r="UCN3" s="62"/>
      <c r="UCO3" s="62"/>
      <c r="UCP3" s="62"/>
      <c r="UCQ3" s="62"/>
      <c r="UCR3" s="62"/>
      <c r="UCS3" s="62"/>
      <c r="UCT3" s="62"/>
      <c r="UCU3" s="62"/>
      <c r="UCV3" s="62"/>
      <c r="UCW3" s="62"/>
      <c r="UCX3" s="62"/>
      <c r="UCY3" s="62"/>
      <c r="UCZ3" s="62"/>
      <c r="UDA3" s="62"/>
      <c r="UDB3" s="62"/>
      <c r="UDC3" s="62"/>
      <c r="UDD3" s="62"/>
      <c r="UDE3" s="62"/>
      <c r="UDF3" s="62"/>
      <c r="UDG3" s="62"/>
      <c r="UDH3" s="62"/>
      <c r="UDI3" s="62"/>
      <c r="UDJ3" s="62"/>
      <c r="UDK3" s="62"/>
      <c r="UDL3" s="62"/>
      <c r="UDM3" s="62"/>
      <c r="UDN3" s="62"/>
      <c r="UDO3" s="62"/>
      <c r="UDP3" s="62"/>
      <c r="UDQ3" s="62"/>
      <c r="UDR3" s="62"/>
      <c r="UDS3" s="62"/>
      <c r="UDT3" s="62"/>
      <c r="UDU3" s="62"/>
      <c r="UDV3" s="62"/>
      <c r="UDW3" s="62"/>
      <c r="UDX3" s="62"/>
      <c r="UDY3" s="62"/>
      <c r="UDZ3" s="62"/>
      <c r="UEA3" s="62"/>
      <c r="UEB3" s="62"/>
      <c r="UEC3" s="62"/>
      <c r="UED3" s="62"/>
      <c r="UEE3" s="62"/>
      <c r="UEF3" s="62"/>
      <c r="UEG3" s="62"/>
      <c r="UEH3" s="62"/>
      <c r="UEI3" s="62"/>
      <c r="UEJ3" s="62"/>
      <c r="UEK3" s="62"/>
      <c r="UEL3" s="62"/>
      <c r="UEM3" s="62"/>
      <c r="UEN3" s="62"/>
      <c r="UEO3" s="62"/>
      <c r="UEP3" s="62"/>
      <c r="UEQ3" s="62"/>
      <c r="UER3" s="62"/>
      <c r="UES3" s="62"/>
      <c r="UET3" s="62"/>
      <c r="UEU3" s="62"/>
      <c r="UEV3" s="62"/>
      <c r="UEW3" s="62"/>
      <c r="UEX3" s="62"/>
      <c r="UEY3" s="62"/>
      <c r="UEZ3" s="62"/>
      <c r="UFA3" s="62"/>
      <c r="UFB3" s="62"/>
      <c r="UFC3" s="62"/>
      <c r="UFD3" s="62"/>
      <c r="UFE3" s="62"/>
      <c r="UFF3" s="62"/>
      <c r="UFG3" s="62"/>
      <c r="UFH3" s="62"/>
      <c r="UFI3" s="62"/>
      <c r="UFJ3" s="62"/>
      <c r="UFK3" s="62"/>
      <c r="UFL3" s="62"/>
      <c r="UFM3" s="62"/>
      <c r="UFN3" s="62"/>
      <c r="UFO3" s="62"/>
      <c r="UFP3" s="62"/>
      <c r="UFQ3" s="62"/>
      <c r="UFR3" s="62"/>
      <c r="UFS3" s="62"/>
      <c r="UFT3" s="62"/>
      <c r="UFU3" s="62"/>
      <c r="UFV3" s="62"/>
      <c r="UFW3" s="62"/>
      <c r="UFX3" s="62"/>
      <c r="UFY3" s="62"/>
      <c r="UFZ3" s="62"/>
      <c r="UGA3" s="62"/>
      <c r="UGB3" s="62"/>
      <c r="UGC3" s="62"/>
      <c r="UGD3" s="62"/>
      <c r="UGE3" s="62"/>
      <c r="UGF3" s="62"/>
      <c r="UGG3" s="62"/>
      <c r="UGH3" s="62"/>
      <c r="UGI3" s="62"/>
      <c r="UGJ3" s="62"/>
      <c r="UGK3" s="62"/>
      <c r="UGL3" s="62"/>
      <c r="UGM3" s="62"/>
      <c r="UGN3" s="62"/>
      <c r="UGO3" s="62"/>
      <c r="UGP3" s="62"/>
      <c r="UGQ3" s="62"/>
      <c r="UGR3" s="62"/>
      <c r="UGS3" s="62"/>
      <c r="UGT3" s="62"/>
      <c r="UGU3" s="62"/>
      <c r="UGV3" s="62"/>
      <c r="UGW3" s="62"/>
      <c r="UGX3" s="62"/>
      <c r="UGY3" s="62"/>
      <c r="UGZ3" s="62"/>
      <c r="UHA3" s="62"/>
      <c r="UHB3" s="62"/>
      <c r="UHC3" s="62"/>
      <c r="UHD3" s="62"/>
      <c r="UHE3" s="62"/>
      <c r="UHF3" s="62"/>
      <c r="UHG3" s="62"/>
      <c r="UHH3" s="62"/>
      <c r="UHI3" s="62"/>
      <c r="UHJ3" s="62"/>
      <c r="UHK3" s="62"/>
      <c r="UHL3" s="62"/>
      <c r="UHM3" s="62"/>
      <c r="UHN3" s="62"/>
      <c r="UHO3" s="62"/>
      <c r="UHP3" s="62"/>
      <c r="UHQ3" s="62"/>
      <c r="UHR3" s="62"/>
      <c r="UHS3" s="62"/>
      <c r="UHT3" s="62"/>
      <c r="UHU3" s="62"/>
      <c r="UHV3" s="62"/>
      <c r="UHW3" s="62"/>
      <c r="UHX3" s="62"/>
      <c r="UHY3" s="62"/>
      <c r="UHZ3" s="62"/>
      <c r="UIA3" s="62"/>
      <c r="UIB3" s="62"/>
      <c r="UIC3" s="62"/>
      <c r="UID3" s="62"/>
      <c r="UIE3" s="62"/>
      <c r="UIF3" s="62"/>
      <c r="UIG3" s="62"/>
      <c r="UIH3" s="62"/>
      <c r="UII3" s="62"/>
      <c r="UIJ3" s="62"/>
      <c r="UIK3" s="62"/>
      <c r="UIL3" s="62"/>
      <c r="UIM3" s="62"/>
      <c r="UIN3" s="62"/>
      <c r="UIO3" s="62"/>
      <c r="UIP3" s="62"/>
      <c r="UIQ3" s="62"/>
      <c r="UIR3" s="62"/>
      <c r="UIS3" s="62"/>
      <c r="UIT3" s="62"/>
      <c r="UIU3" s="62"/>
      <c r="UIV3" s="62"/>
      <c r="UIW3" s="62"/>
      <c r="UIX3" s="62"/>
      <c r="UIY3" s="62"/>
      <c r="UIZ3" s="62"/>
      <c r="UJA3" s="62"/>
      <c r="UJB3" s="62"/>
      <c r="UJC3" s="62"/>
      <c r="UJD3" s="62"/>
      <c r="UJE3" s="62"/>
      <c r="UJF3" s="62"/>
      <c r="UJG3" s="62"/>
      <c r="UJH3" s="62"/>
      <c r="UJI3" s="62"/>
      <c r="UJJ3" s="62"/>
      <c r="UJK3" s="62"/>
      <c r="UJL3" s="62"/>
      <c r="UJM3" s="62"/>
      <c r="UJN3" s="62"/>
      <c r="UJO3" s="62"/>
      <c r="UJP3" s="62"/>
      <c r="UJQ3" s="62"/>
      <c r="UJR3" s="62"/>
      <c r="UJS3" s="62"/>
      <c r="UJT3" s="62"/>
      <c r="UJU3" s="62"/>
      <c r="UJV3" s="62"/>
      <c r="UJW3" s="62"/>
      <c r="UJX3" s="62"/>
      <c r="UJY3" s="62"/>
      <c r="UJZ3" s="62"/>
      <c r="UKA3" s="62"/>
      <c r="UKB3" s="62"/>
      <c r="UKC3" s="62"/>
      <c r="UKD3" s="62"/>
      <c r="UKE3" s="62"/>
      <c r="UKF3" s="62"/>
      <c r="UKG3" s="62"/>
      <c r="UKH3" s="62"/>
      <c r="UKI3" s="62"/>
      <c r="UKJ3" s="62"/>
      <c r="UKK3" s="62"/>
      <c r="UKL3" s="62"/>
      <c r="UKM3" s="62"/>
      <c r="UKN3" s="62"/>
      <c r="UKO3" s="62"/>
      <c r="UKP3" s="62"/>
      <c r="UKQ3" s="62"/>
      <c r="UKR3" s="62"/>
      <c r="UKS3" s="62"/>
      <c r="UKT3" s="62"/>
      <c r="UKU3" s="62"/>
      <c r="UKV3" s="62"/>
      <c r="UKW3" s="62"/>
      <c r="UKX3" s="62"/>
      <c r="UKY3" s="62"/>
      <c r="UKZ3" s="62"/>
      <c r="ULA3" s="62"/>
      <c r="ULB3" s="62"/>
      <c r="ULC3" s="62"/>
      <c r="ULD3" s="62"/>
      <c r="ULE3" s="62"/>
      <c r="ULF3" s="62"/>
      <c r="ULG3" s="62"/>
      <c r="ULH3" s="62"/>
      <c r="ULI3" s="62"/>
      <c r="ULJ3" s="62"/>
      <c r="ULK3" s="62"/>
      <c r="ULL3" s="62"/>
      <c r="ULM3" s="62"/>
      <c r="ULN3" s="62"/>
      <c r="ULO3" s="62"/>
      <c r="ULP3" s="62"/>
      <c r="ULQ3" s="62"/>
      <c r="ULR3" s="62"/>
      <c r="ULS3" s="62"/>
      <c r="ULT3" s="62"/>
      <c r="ULU3" s="62"/>
      <c r="ULV3" s="62"/>
      <c r="ULW3" s="62"/>
      <c r="ULX3" s="62"/>
      <c r="ULY3" s="62"/>
      <c r="ULZ3" s="62"/>
      <c r="UMA3" s="62"/>
      <c r="UMB3" s="62"/>
      <c r="UMC3" s="62"/>
      <c r="UMD3" s="62"/>
      <c r="UME3" s="62"/>
      <c r="UMF3" s="62"/>
      <c r="UMG3" s="62"/>
      <c r="UMH3" s="62"/>
      <c r="UMI3" s="62"/>
      <c r="UMJ3" s="62"/>
      <c r="UMK3" s="62"/>
      <c r="UML3" s="62"/>
      <c r="UMM3" s="62"/>
      <c r="UMN3" s="62"/>
      <c r="UMO3" s="62"/>
      <c r="UMP3" s="62"/>
      <c r="UMQ3" s="62"/>
      <c r="UMR3" s="62"/>
      <c r="UMS3" s="62"/>
      <c r="UMT3" s="62"/>
      <c r="UMU3" s="62"/>
      <c r="UMV3" s="62"/>
      <c r="UMW3" s="62"/>
      <c r="UMX3" s="62"/>
      <c r="UMY3" s="62"/>
      <c r="UMZ3" s="62"/>
      <c r="UNA3" s="62"/>
      <c r="UNB3" s="62"/>
      <c r="UNC3" s="62"/>
      <c r="UND3" s="62"/>
      <c r="UNE3" s="62"/>
      <c r="UNF3" s="62"/>
      <c r="UNG3" s="62"/>
      <c r="UNH3" s="62"/>
      <c r="UNI3" s="62"/>
      <c r="UNJ3" s="62"/>
      <c r="UNK3" s="62"/>
      <c r="UNL3" s="62"/>
      <c r="UNM3" s="62"/>
      <c r="UNN3" s="62"/>
      <c r="UNO3" s="62"/>
      <c r="UNP3" s="62"/>
      <c r="UNQ3" s="62"/>
      <c r="UNR3" s="62"/>
      <c r="UNS3" s="62"/>
      <c r="UNT3" s="62"/>
      <c r="UNU3" s="62"/>
      <c r="UNV3" s="62"/>
      <c r="UNW3" s="62"/>
      <c r="UNX3" s="62"/>
      <c r="UNY3" s="62"/>
      <c r="UNZ3" s="62"/>
      <c r="UOA3" s="62"/>
      <c r="UOB3" s="62"/>
      <c r="UOC3" s="62"/>
      <c r="UOD3" s="62"/>
      <c r="UOE3" s="62"/>
      <c r="UOF3" s="62"/>
      <c r="UOG3" s="62"/>
      <c r="UOH3" s="62"/>
      <c r="UOI3" s="62"/>
      <c r="UOJ3" s="62"/>
      <c r="UOK3" s="62"/>
      <c r="UOL3" s="62"/>
      <c r="UOM3" s="62"/>
      <c r="UON3" s="62"/>
      <c r="UOO3" s="62"/>
      <c r="UOP3" s="62"/>
      <c r="UOQ3" s="62"/>
      <c r="UOR3" s="62"/>
      <c r="UOS3" s="62"/>
      <c r="UOT3" s="62"/>
      <c r="UOU3" s="62"/>
      <c r="UOV3" s="62"/>
      <c r="UOW3" s="62"/>
      <c r="UOX3" s="62"/>
      <c r="UOY3" s="62"/>
      <c r="UOZ3" s="62"/>
      <c r="UPA3" s="62"/>
      <c r="UPB3" s="62"/>
      <c r="UPC3" s="62"/>
      <c r="UPD3" s="62"/>
      <c r="UPE3" s="62"/>
      <c r="UPF3" s="62"/>
      <c r="UPG3" s="62"/>
      <c r="UPH3" s="62"/>
      <c r="UPI3" s="62"/>
      <c r="UPJ3" s="62"/>
      <c r="UPK3" s="62"/>
      <c r="UPL3" s="62"/>
      <c r="UPM3" s="62"/>
      <c r="UPN3" s="62"/>
      <c r="UPO3" s="62"/>
      <c r="UPP3" s="62"/>
      <c r="UPQ3" s="62"/>
      <c r="UPR3" s="62"/>
      <c r="UPS3" s="62"/>
      <c r="UPT3" s="62"/>
      <c r="UPU3" s="62"/>
      <c r="UPV3" s="62"/>
      <c r="UPW3" s="62"/>
      <c r="UPX3" s="62"/>
      <c r="UPY3" s="62"/>
      <c r="UPZ3" s="62"/>
      <c r="UQA3" s="62"/>
      <c r="UQB3" s="62"/>
      <c r="UQC3" s="62"/>
      <c r="UQD3" s="62"/>
      <c r="UQE3" s="62"/>
      <c r="UQF3" s="62"/>
      <c r="UQG3" s="62"/>
      <c r="UQH3" s="62"/>
      <c r="UQI3" s="62"/>
      <c r="UQJ3" s="62"/>
      <c r="UQK3" s="62"/>
      <c r="UQL3" s="62"/>
      <c r="UQM3" s="62"/>
      <c r="UQN3" s="62"/>
      <c r="UQO3" s="62"/>
      <c r="UQP3" s="62"/>
      <c r="UQQ3" s="62"/>
      <c r="UQR3" s="62"/>
      <c r="UQS3" s="62"/>
      <c r="UQT3" s="62"/>
      <c r="UQU3" s="62"/>
      <c r="UQV3" s="62"/>
      <c r="UQW3" s="62"/>
      <c r="UQX3" s="62"/>
      <c r="UQY3" s="62"/>
      <c r="UQZ3" s="62"/>
      <c r="URA3" s="62"/>
      <c r="URB3" s="62"/>
      <c r="URC3" s="62"/>
      <c r="URD3" s="62"/>
      <c r="URE3" s="62"/>
      <c r="URF3" s="62"/>
      <c r="URG3" s="62"/>
      <c r="URH3" s="62"/>
      <c r="URI3" s="62"/>
      <c r="URJ3" s="62"/>
      <c r="URK3" s="62"/>
      <c r="URL3" s="62"/>
      <c r="URM3" s="62"/>
      <c r="URN3" s="62"/>
      <c r="URO3" s="62"/>
      <c r="URP3" s="62"/>
      <c r="URQ3" s="62"/>
      <c r="URR3" s="62"/>
      <c r="URS3" s="62"/>
      <c r="URT3" s="62"/>
      <c r="URU3" s="62"/>
      <c r="URV3" s="62"/>
      <c r="URW3" s="62"/>
      <c r="URX3" s="62"/>
      <c r="URY3" s="62"/>
      <c r="URZ3" s="62"/>
      <c r="USA3" s="62"/>
      <c r="USB3" s="62"/>
      <c r="USC3" s="62"/>
      <c r="USD3" s="62"/>
      <c r="USE3" s="62"/>
      <c r="USF3" s="62"/>
      <c r="USG3" s="62"/>
      <c r="USH3" s="62"/>
      <c r="USI3" s="62"/>
      <c r="USJ3" s="62"/>
      <c r="USK3" s="62"/>
      <c r="USL3" s="62"/>
      <c r="USM3" s="62"/>
      <c r="USN3" s="62"/>
      <c r="USO3" s="62"/>
      <c r="USP3" s="62"/>
      <c r="USQ3" s="62"/>
      <c r="USR3" s="62"/>
      <c r="USS3" s="62"/>
      <c r="UST3" s="62"/>
      <c r="USU3" s="62"/>
      <c r="USV3" s="62"/>
      <c r="USW3" s="62"/>
      <c r="USX3" s="62"/>
      <c r="USY3" s="62"/>
      <c r="USZ3" s="62"/>
      <c r="UTA3" s="62"/>
      <c r="UTB3" s="62"/>
      <c r="UTC3" s="62"/>
      <c r="UTD3" s="62"/>
      <c r="UTE3" s="62"/>
      <c r="UTF3" s="62"/>
      <c r="UTG3" s="62"/>
      <c r="UTH3" s="62"/>
      <c r="UTI3" s="62"/>
      <c r="UTJ3" s="62"/>
      <c r="UTK3" s="62"/>
      <c r="UTL3" s="62"/>
      <c r="UTM3" s="62"/>
      <c r="UTN3" s="62"/>
      <c r="UTO3" s="62"/>
      <c r="UTP3" s="62"/>
      <c r="UTQ3" s="62"/>
      <c r="UTR3" s="62"/>
      <c r="UTS3" s="62"/>
      <c r="UTT3" s="62"/>
      <c r="UTU3" s="62"/>
      <c r="UTV3" s="62"/>
      <c r="UTW3" s="62"/>
      <c r="UTX3" s="62"/>
      <c r="UTY3" s="62"/>
      <c r="UTZ3" s="62"/>
      <c r="UUA3" s="62"/>
      <c r="UUB3" s="62"/>
      <c r="UUC3" s="62"/>
      <c r="UUD3" s="62"/>
      <c r="UUE3" s="62"/>
      <c r="UUF3" s="62"/>
      <c r="UUG3" s="62"/>
      <c r="UUH3" s="62"/>
      <c r="UUI3" s="62"/>
      <c r="UUJ3" s="62"/>
      <c r="UUK3" s="62"/>
      <c r="UUL3" s="62"/>
      <c r="UUM3" s="62"/>
      <c r="UUN3" s="62"/>
      <c r="UUO3" s="62"/>
      <c r="UUP3" s="62"/>
      <c r="UUQ3" s="62"/>
      <c r="UUR3" s="62"/>
      <c r="UUS3" s="62"/>
      <c r="UUT3" s="62"/>
      <c r="UUU3" s="62"/>
      <c r="UUV3" s="62"/>
      <c r="UUW3" s="62"/>
      <c r="UUX3" s="62"/>
      <c r="UUY3" s="62"/>
      <c r="UUZ3" s="62"/>
      <c r="UVA3" s="62"/>
      <c r="UVB3" s="62"/>
      <c r="UVC3" s="62"/>
      <c r="UVD3" s="62"/>
      <c r="UVE3" s="62"/>
      <c r="UVF3" s="62"/>
      <c r="UVG3" s="62"/>
      <c r="UVH3" s="62"/>
      <c r="UVI3" s="62"/>
      <c r="UVJ3" s="62"/>
      <c r="UVK3" s="62"/>
      <c r="UVL3" s="62"/>
      <c r="UVM3" s="62"/>
      <c r="UVN3" s="62"/>
      <c r="UVO3" s="62"/>
      <c r="UVP3" s="62"/>
      <c r="UVQ3" s="62"/>
      <c r="UVR3" s="62"/>
      <c r="UVS3" s="62"/>
      <c r="UVT3" s="62"/>
      <c r="UVU3" s="62"/>
      <c r="UVV3" s="62"/>
      <c r="UVW3" s="62"/>
      <c r="UVX3" s="62"/>
      <c r="UVY3" s="62"/>
      <c r="UVZ3" s="62"/>
      <c r="UWA3" s="62"/>
      <c r="UWB3" s="62"/>
      <c r="UWC3" s="62"/>
      <c r="UWD3" s="62"/>
      <c r="UWE3" s="62"/>
      <c r="UWF3" s="62"/>
      <c r="UWG3" s="62"/>
      <c r="UWH3" s="62"/>
      <c r="UWI3" s="62"/>
      <c r="UWJ3" s="62"/>
      <c r="UWK3" s="62"/>
      <c r="UWL3" s="62"/>
      <c r="UWM3" s="62"/>
      <c r="UWN3" s="62"/>
      <c r="UWO3" s="62"/>
      <c r="UWP3" s="62"/>
      <c r="UWQ3" s="62"/>
      <c r="UWR3" s="62"/>
      <c r="UWS3" s="62"/>
      <c r="UWT3" s="62"/>
      <c r="UWU3" s="62"/>
      <c r="UWV3" s="62"/>
      <c r="UWW3" s="62"/>
      <c r="UWX3" s="62"/>
      <c r="UWY3" s="62"/>
      <c r="UWZ3" s="62"/>
      <c r="UXA3" s="62"/>
      <c r="UXB3" s="62"/>
      <c r="UXC3" s="62"/>
      <c r="UXD3" s="62"/>
      <c r="UXE3" s="62"/>
      <c r="UXF3" s="62"/>
      <c r="UXG3" s="62"/>
      <c r="UXH3" s="62"/>
      <c r="UXI3" s="62"/>
      <c r="UXJ3" s="62"/>
      <c r="UXK3" s="62"/>
      <c r="UXL3" s="62"/>
      <c r="UXM3" s="62"/>
      <c r="UXN3" s="62"/>
      <c r="UXO3" s="62"/>
      <c r="UXP3" s="62"/>
      <c r="UXQ3" s="62"/>
      <c r="UXR3" s="62"/>
      <c r="UXS3" s="62"/>
      <c r="UXT3" s="62"/>
      <c r="UXU3" s="62"/>
      <c r="UXV3" s="62"/>
      <c r="UXW3" s="62"/>
      <c r="UXX3" s="62"/>
      <c r="UXY3" s="62"/>
      <c r="UXZ3" s="62"/>
      <c r="UYA3" s="62"/>
      <c r="UYB3" s="62"/>
      <c r="UYC3" s="62"/>
      <c r="UYD3" s="62"/>
      <c r="UYE3" s="62"/>
      <c r="UYF3" s="62"/>
      <c r="UYG3" s="62"/>
      <c r="UYH3" s="62"/>
      <c r="UYI3" s="62"/>
      <c r="UYJ3" s="62"/>
      <c r="UYK3" s="62"/>
      <c r="UYL3" s="62"/>
      <c r="UYM3" s="62"/>
      <c r="UYN3" s="62"/>
      <c r="UYO3" s="62"/>
      <c r="UYP3" s="62"/>
      <c r="UYQ3" s="62"/>
      <c r="UYR3" s="62"/>
      <c r="UYS3" s="62"/>
      <c r="UYT3" s="62"/>
      <c r="UYU3" s="62"/>
      <c r="UYV3" s="62"/>
      <c r="UYW3" s="62"/>
      <c r="UYX3" s="62"/>
      <c r="UYY3" s="62"/>
      <c r="UYZ3" s="62"/>
      <c r="UZA3" s="62"/>
      <c r="UZB3" s="62"/>
      <c r="UZC3" s="62"/>
      <c r="UZD3" s="62"/>
      <c r="UZE3" s="62"/>
      <c r="UZF3" s="62"/>
      <c r="UZG3" s="62"/>
      <c r="UZH3" s="62"/>
      <c r="UZI3" s="62"/>
      <c r="UZJ3" s="62"/>
      <c r="UZK3" s="62"/>
      <c r="UZL3" s="62"/>
      <c r="UZM3" s="62"/>
      <c r="UZN3" s="62"/>
      <c r="UZO3" s="62"/>
      <c r="UZP3" s="62"/>
      <c r="UZQ3" s="62"/>
      <c r="UZR3" s="62"/>
      <c r="UZS3" s="62"/>
      <c r="UZT3" s="62"/>
      <c r="UZU3" s="62"/>
      <c r="UZV3" s="62"/>
      <c r="UZW3" s="62"/>
      <c r="UZX3" s="62"/>
      <c r="UZY3" s="62"/>
      <c r="UZZ3" s="62"/>
      <c r="VAA3" s="62"/>
      <c r="VAB3" s="62"/>
      <c r="VAC3" s="62"/>
      <c r="VAD3" s="62"/>
      <c r="VAE3" s="62"/>
      <c r="VAF3" s="62"/>
      <c r="VAG3" s="62"/>
      <c r="VAH3" s="62"/>
      <c r="VAI3" s="62"/>
      <c r="VAJ3" s="62"/>
      <c r="VAK3" s="62"/>
      <c r="VAL3" s="62"/>
      <c r="VAM3" s="62"/>
      <c r="VAN3" s="62"/>
      <c r="VAO3" s="62"/>
      <c r="VAP3" s="62"/>
      <c r="VAQ3" s="62"/>
      <c r="VAR3" s="62"/>
      <c r="VAS3" s="62"/>
      <c r="VAT3" s="62"/>
      <c r="VAU3" s="62"/>
      <c r="VAV3" s="62"/>
      <c r="VAW3" s="62"/>
      <c r="VAX3" s="62"/>
      <c r="VAY3" s="62"/>
      <c r="VAZ3" s="62"/>
      <c r="VBA3" s="62"/>
      <c r="VBB3" s="62"/>
      <c r="VBC3" s="62"/>
      <c r="VBD3" s="62"/>
      <c r="VBE3" s="62"/>
      <c r="VBF3" s="62"/>
      <c r="VBG3" s="62"/>
      <c r="VBH3" s="62"/>
      <c r="VBI3" s="62"/>
      <c r="VBJ3" s="62"/>
      <c r="VBK3" s="62"/>
      <c r="VBL3" s="62"/>
      <c r="VBM3" s="62"/>
      <c r="VBN3" s="62"/>
      <c r="VBO3" s="62"/>
      <c r="VBP3" s="62"/>
      <c r="VBQ3" s="62"/>
      <c r="VBR3" s="62"/>
      <c r="VBS3" s="62"/>
      <c r="VBT3" s="62"/>
      <c r="VBU3" s="62"/>
      <c r="VBV3" s="62"/>
      <c r="VBW3" s="62"/>
      <c r="VBX3" s="62"/>
      <c r="VBY3" s="62"/>
      <c r="VBZ3" s="62"/>
      <c r="VCA3" s="62"/>
      <c r="VCB3" s="62"/>
      <c r="VCC3" s="62"/>
      <c r="VCD3" s="62"/>
      <c r="VCE3" s="62"/>
      <c r="VCF3" s="62"/>
      <c r="VCG3" s="62"/>
      <c r="VCH3" s="62"/>
      <c r="VCI3" s="62"/>
      <c r="VCJ3" s="62"/>
      <c r="VCK3" s="62"/>
      <c r="VCL3" s="62"/>
      <c r="VCM3" s="62"/>
      <c r="VCN3" s="62"/>
      <c r="VCO3" s="62"/>
      <c r="VCP3" s="62"/>
      <c r="VCQ3" s="62"/>
      <c r="VCR3" s="62"/>
      <c r="VCS3" s="62"/>
      <c r="VCT3" s="62"/>
      <c r="VCU3" s="62"/>
      <c r="VCV3" s="62"/>
      <c r="VCW3" s="62"/>
      <c r="VCX3" s="62"/>
      <c r="VCY3" s="62"/>
      <c r="VCZ3" s="62"/>
      <c r="VDA3" s="62"/>
      <c r="VDB3" s="62"/>
      <c r="VDC3" s="62"/>
      <c r="VDD3" s="62"/>
      <c r="VDE3" s="62"/>
      <c r="VDF3" s="62"/>
      <c r="VDG3" s="62"/>
      <c r="VDH3" s="62"/>
      <c r="VDI3" s="62"/>
      <c r="VDJ3" s="62"/>
      <c r="VDK3" s="62"/>
      <c r="VDL3" s="62"/>
      <c r="VDM3" s="62"/>
      <c r="VDN3" s="62"/>
      <c r="VDO3" s="62"/>
      <c r="VDP3" s="62"/>
      <c r="VDQ3" s="62"/>
      <c r="VDR3" s="62"/>
      <c r="VDS3" s="62"/>
      <c r="VDT3" s="62"/>
      <c r="VDU3" s="62"/>
      <c r="VDV3" s="62"/>
      <c r="VDW3" s="62"/>
      <c r="VDX3" s="62"/>
      <c r="VDY3" s="62"/>
      <c r="VDZ3" s="62"/>
      <c r="VEA3" s="62"/>
      <c r="VEB3" s="62"/>
      <c r="VEC3" s="62"/>
      <c r="VED3" s="62"/>
      <c r="VEE3" s="62"/>
      <c r="VEF3" s="62"/>
      <c r="VEG3" s="62"/>
      <c r="VEH3" s="62"/>
      <c r="VEI3" s="62"/>
      <c r="VEJ3" s="62"/>
      <c r="VEK3" s="62"/>
      <c r="VEL3" s="62"/>
      <c r="VEM3" s="62"/>
      <c r="VEN3" s="62"/>
      <c r="VEO3" s="62"/>
      <c r="VEP3" s="62"/>
      <c r="VEQ3" s="62"/>
      <c r="VER3" s="62"/>
      <c r="VES3" s="62"/>
      <c r="VET3" s="62"/>
      <c r="VEU3" s="62"/>
      <c r="VEV3" s="62"/>
      <c r="VEW3" s="62"/>
      <c r="VEX3" s="62"/>
      <c r="VEY3" s="62"/>
      <c r="VEZ3" s="62"/>
      <c r="VFA3" s="62"/>
      <c r="VFB3" s="62"/>
      <c r="VFC3" s="62"/>
      <c r="VFD3" s="62"/>
      <c r="VFE3" s="62"/>
      <c r="VFF3" s="62"/>
      <c r="VFG3" s="62"/>
      <c r="VFH3" s="62"/>
      <c r="VFI3" s="62"/>
      <c r="VFJ3" s="62"/>
      <c r="VFK3" s="62"/>
      <c r="VFL3" s="62"/>
      <c r="VFM3" s="62"/>
      <c r="VFN3" s="62"/>
      <c r="VFO3" s="62"/>
      <c r="VFP3" s="62"/>
      <c r="VFQ3" s="62"/>
      <c r="VFR3" s="62"/>
      <c r="VFS3" s="62"/>
      <c r="VFT3" s="62"/>
      <c r="VFU3" s="62"/>
      <c r="VFV3" s="62"/>
      <c r="VFW3" s="62"/>
      <c r="VFX3" s="62"/>
      <c r="VFY3" s="62"/>
      <c r="VFZ3" s="62"/>
      <c r="VGA3" s="62"/>
      <c r="VGB3" s="62"/>
      <c r="VGC3" s="62"/>
      <c r="VGD3" s="62"/>
      <c r="VGE3" s="62"/>
      <c r="VGF3" s="62"/>
      <c r="VGG3" s="62"/>
      <c r="VGH3" s="62"/>
      <c r="VGI3" s="62"/>
      <c r="VGJ3" s="62"/>
      <c r="VGK3" s="62"/>
      <c r="VGL3" s="62"/>
      <c r="VGM3" s="62"/>
      <c r="VGN3" s="62"/>
      <c r="VGO3" s="62"/>
      <c r="VGP3" s="62"/>
      <c r="VGQ3" s="62"/>
      <c r="VGR3" s="62"/>
      <c r="VGS3" s="62"/>
      <c r="VGT3" s="62"/>
      <c r="VGU3" s="62"/>
      <c r="VGV3" s="62"/>
      <c r="VGW3" s="62"/>
      <c r="VGX3" s="62"/>
      <c r="VGY3" s="62"/>
      <c r="VGZ3" s="62"/>
      <c r="VHA3" s="62"/>
      <c r="VHB3" s="62"/>
      <c r="VHC3" s="62"/>
      <c r="VHD3" s="62"/>
      <c r="VHE3" s="62"/>
      <c r="VHF3" s="62"/>
      <c r="VHG3" s="62"/>
      <c r="VHH3" s="62"/>
      <c r="VHI3" s="62"/>
      <c r="VHJ3" s="62"/>
      <c r="VHK3" s="62"/>
      <c r="VHL3" s="62"/>
      <c r="VHM3" s="62"/>
      <c r="VHN3" s="62"/>
      <c r="VHO3" s="62"/>
      <c r="VHP3" s="62"/>
      <c r="VHQ3" s="62"/>
      <c r="VHR3" s="62"/>
      <c r="VHS3" s="62"/>
      <c r="VHT3" s="62"/>
      <c r="VHU3" s="62"/>
      <c r="VHV3" s="62"/>
      <c r="VHW3" s="62"/>
      <c r="VHX3" s="62"/>
      <c r="VHY3" s="62"/>
      <c r="VHZ3" s="62"/>
      <c r="VIA3" s="62"/>
      <c r="VIB3" s="62"/>
      <c r="VIC3" s="62"/>
      <c r="VID3" s="62"/>
      <c r="VIE3" s="62"/>
      <c r="VIF3" s="62"/>
      <c r="VIG3" s="62"/>
      <c r="VIH3" s="62"/>
      <c r="VII3" s="62"/>
      <c r="VIJ3" s="62"/>
      <c r="VIK3" s="62"/>
      <c r="VIL3" s="62"/>
      <c r="VIM3" s="62"/>
      <c r="VIN3" s="62"/>
      <c r="VIO3" s="62"/>
      <c r="VIP3" s="62"/>
      <c r="VIQ3" s="62"/>
      <c r="VIR3" s="62"/>
      <c r="VIS3" s="62"/>
      <c r="VIT3" s="62"/>
      <c r="VIU3" s="62"/>
      <c r="VIV3" s="62"/>
      <c r="VIW3" s="62"/>
      <c r="VIX3" s="62"/>
      <c r="VIY3" s="62"/>
      <c r="VIZ3" s="62"/>
      <c r="VJA3" s="62"/>
      <c r="VJB3" s="62"/>
      <c r="VJC3" s="62"/>
      <c r="VJD3" s="62"/>
      <c r="VJE3" s="62"/>
      <c r="VJF3" s="62"/>
      <c r="VJG3" s="62"/>
      <c r="VJH3" s="62"/>
      <c r="VJI3" s="62"/>
      <c r="VJJ3" s="62"/>
      <c r="VJK3" s="62"/>
      <c r="VJL3" s="62"/>
      <c r="VJM3" s="62"/>
      <c r="VJN3" s="62"/>
      <c r="VJO3" s="62"/>
      <c r="VJP3" s="62"/>
      <c r="VJQ3" s="62"/>
      <c r="VJR3" s="62"/>
      <c r="VJS3" s="62"/>
      <c r="VJT3" s="62"/>
      <c r="VJU3" s="62"/>
      <c r="VJV3" s="62"/>
      <c r="VJW3" s="62"/>
      <c r="VJX3" s="62"/>
      <c r="VJY3" s="62"/>
      <c r="VJZ3" s="62"/>
      <c r="VKA3" s="62"/>
      <c r="VKB3" s="62"/>
      <c r="VKC3" s="62"/>
      <c r="VKD3" s="62"/>
      <c r="VKE3" s="62"/>
      <c r="VKF3" s="62"/>
      <c r="VKG3" s="62"/>
      <c r="VKH3" s="62"/>
      <c r="VKI3" s="62"/>
      <c r="VKJ3" s="62"/>
      <c r="VKK3" s="62"/>
      <c r="VKL3" s="62"/>
      <c r="VKM3" s="62"/>
      <c r="VKN3" s="62"/>
      <c r="VKO3" s="62"/>
      <c r="VKP3" s="62"/>
      <c r="VKQ3" s="62"/>
      <c r="VKR3" s="62"/>
      <c r="VKS3" s="62"/>
      <c r="VKT3" s="62"/>
      <c r="VKU3" s="62"/>
      <c r="VKV3" s="62"/>
      <c r="VKW3" s="62"/>
      <c r="VKX3" s="62"/>
      <c r="VKY3" s="62"/>
      <c r="VKZ3" s="62"/>
      <c r="VLA3" s="62"/>
      <c r="VLB3" s="62"/>
      <c r="VLC3" s="62"/>
      <c r="VLD3" s="62"/>
      <c r="VLE3" s="62"/>
      <c r="VLF3" s="62"/>
      <c r="VLG3" s="62"/>
      <c r="VLH3" s="62"/>
      <c r="VLI3" s="62"/>
      <c r="VLJ3" s="62"/>
      <c r="VLK3" s="62"/>
      <c r="VLL3" s="62"/>
      <c r="VLM3" s="62"/>
      <c r="VLN3" s="62"/>
      <c r="VLO3" s="62"/>
      <c r="VLP3" s="62"/>
      <c r="VLQ3" s="62"/>
      <c r="VLR3" s="62"/>
      <c r="VLS3" s="62"/>
      <c r="VLT3" s="62"/>
      <c r="VLU3" s="62"/>
      <c r="VLV3" s="62"/>
      <c r="VLW3" s="62"/>
      <c r="VLX3" s="62"/>
      <c r="VLY3" s="62"/>
      <c r="VLZ3" s="62"/>
      <c r="VMA3" s="62"/>
      <c r="VMB3" s="62"/>
      <c r="VMC3" s="62"/>
      <c r="VMD3" s="62"/>
      <c r="VME3" s="62"/>
      <c r="VMF3" s="62"/>
      <c r="VMG3" s="62"/>
      <c r="VMH3" s="62"/>
      <c r="VMI3" s="62"/>
      <c r="VMJ3" s="62"/>
      <c r="VMK3" s="62"/>
      <c r="VML3" s="62"/>
      <c r="VMM3" s="62"/>
      <c r="VMN3" s="62"/>
      <c r="VMO3" s="62"/>
      <c r="VMP3" s="62"/>
      <c r="VMQ3" s="62"/>
      <c r="VMR3" s="62"/>
      <c r="VMS3" s="62"/>
      <c r="VMT3" s="62"/>
      <c r="VMU3" s="62"/>
      <c r="VMV3" s="62"/>
      <c r="VMW3" s="62"/>
      <c r="VMX3" s="62"/>
      <c r="VMY3" s="62"/>
      <c r="VMZ3" s="62"/>
      <c r="VNA3" s="62"/>
      <c r="VNB3" s="62"/>
      <c r="VNC3" s="62"/>
      <c r="VND3" s="62"/>
      <c r="VNE3" s="62"/>
      <c r="VNF3" s="62"/>
      <c r="VNG3" s="62"/>
      <c r="VNH3" s="62"/>
      <c r="VNI3" s="62"/>
      <c r="VNJ3" s="62"/>
      <c r="VNK3" s="62"/>
      <c r="VNL3" s="62"/>
      <c r="VNM3" s="62"/>
      <c r="VNN3" s="62"/>
      <c r="VNO3" s="62"/>
      <c r="VNP3" s="62"/>
      <c r="VNQ3" s="62"/>
      <c r="VNR3" s="62"/>
      <c r="VNS3" s="62"/>
      <c r="VNT3" s="62"/>
      <c r="VNU3" s="62"/>
      <c r="VNV3" s="62"/>
      <c r="VNW3" s="62"/>
      <c r="VNX3" s="62"/>
      <c r="VNY3" s="62"/>
      <c r="VNZ3" s="62"/>
      <c r="VOA3" s="62"/>
      <c r="VOB3" s="62"/>
      <c r="VOC3" s="62"/>
      <c r="VOD3" s="62"/>
      <c r="VOE3" s="62"/>
      <c r="VOF3" s="62"/>
      <c r="VOG3" s="62"/>
      <c r="VOH3" s="62"/>
      <c r="VOI3" s="62"/>
      <c r="VOJ3" s="62"/>
      <c r="VOK3" s="62"/>
      <c r="VOL3" s="62"/>
      <c r="VOM3" s="62"/>
      <c r="VON3" s="62"/>
      <c r="VOO3" s="62"/>
      <c r="VOP3" s="62"/>
      <c r="VOQ3" s="62"/>
      <c r="VOR3" s="62"/>
      <c r="VOS3" s="62"/>
      <c r="VOT3" s="62"/>
      <c r="VOU3" s="62"/>
      <c r="VOV3" s="62"/>
      <c r="VOW3" s="62"/>
      <c r="VOX3" s="62"/>
      <c r="VOY3" s="62"/>
      <c r="VOZ3" s="62"/>
      <c r="VPA3" s="62"/>
      <c r="VPB3" s="62"/>
      <c r="VPC3" s="62"/>
      <c r="VPD3" s="62"/>
      <c r="VPE3" s="62"/>
      <c r="VPF3" s="62"/>
      <c r="VPG3" s="62"/>
      <c r="VPH3" s="62"/>
      <c r="VPI3" s="62"/>
      <c r="VPJ3" s="62"/>
      <c r="VPK3" s="62"/>
      <c r="VPL3" s="62"/>
      <c r="VPM3" s="62"/>
      <c r="VPN3" s="62"/>
      <c r="VPO3" s="62"/>
      <c r="VPP3" s="62"/>
      <c r="VPQ3" s="62"/>
      <c r="VPR3" s="62"/>
      <c r="VPS3" s="62"/>
      <c r="VPT3" s="62"/>
      <c r="VPU3" s="62"/>
      <c r="VPV3" s="62"/>
      <c r="VPW3" s="62"/>
      <c r="VPX3" s="62"/>
      <c r="VPY3" s="62"/>
      <c r="VPZ3" s="62"/>
      <c r="VQA3" s="62"/>
      <c r="VQB3" s="62"/>
      <c r="VQC3" s="62"/>
      <c r="VQD3" s="62"/>
      <c r="VQE3" s="62"/>
      <c r="VQF3" s="62"/>
      <c r="VQG3" s="62"/>
      <c r="VQH3" s="62"/>
      <c r="VQI3" s="62"/>
      <c r="VQJ3" s="62"/>
      <c r="VQK3" s="62"/>
      <c r="VQL3" s="62"/>
      <c r="VQM3" s="62"/>
      <c r="VQN3" s="62"/>
      <c r="VQO3" s="62"/>
      <c r="VQP3" s="62"/>
      <c r="VQQ3" s="62"/>
      <c r="VQR3" s="62"/>
      <c r="VQS3" s="62"/>
      <c r="VQT3" s="62"/>
      <c r="VQU3" s="62"/>
      <c r="VQV3" s="62"/>
      <c r="VQW3" s="62"/>
      <c r="VQX3" s="62"/>
      <c r="VQY3" s="62"/>
      <c r="VQZ3" s="62"/>
      <c r="VRA3" s="62"/>
      <c r="VRB3" s="62"/>
      <c r="VRC3" s="62"/>
      <c r="VRD3" s="62"/>
      <c r="VRE3" s="62"/>
      <c r="VRF3" s="62"/>
      <c r="VRG3" s="62"/>
      <c r="VRH3" s="62"/>
      <c r="VRI3" s="62"/>
      <c r="VRJ3" s="62"/>
      <c r="VRK3" s="62"/>
      <c r="VRL3" s="62"/>
      <c r="VRM3" s="62"/>
      <c r="VRN3" s="62"/>
      <c r="VRO3" s="62"/>
      <c r="VRP3" s="62"/>
      <c r="VRQ3" s="62"/>
      <c r="VRR3" s="62"/>
      <c r="VRS3" s="62"/>
      <c r="VRT3" s="62"/>
      <c r="VRU3" s="62"/>
      <c r="VRV3" s="62"/>
      <c r="VRW3" s="62"/>
      <c r="VRX3" s="62"/>
      <c r="VRY3" s="62"/>
      <c r="VRZ3" s="62"/>
      <c r="VSA3" s="62"/>
      <c r="VSB3" s="62"/>
      <c r="VSC3" s="62"/>
      <c r="VSD3" s="62"/>
      <c r="VSE3" s="62"/>
      <c r="VSF3" s="62"/>
      <c r="VSG3" s="62"/>
      <c r="VSH3" s="62"/>
      <c r="VSI3" s="62"/>
      <c r="VSJ3" s="62"/>
      <c r="VSK3" s="62"/>
      <c r="VSL3" s="62"/>
      <c r="VSM3" s="62"/>
      <c r="VSN3" s="62"/>
      <c r="VSO3" s="62"/>
      <c r="VSP3" s="62"/>
      <c r="VSQ3" s="62"/>
      <c r="VSR3" s="62"/>
      <c r="VSS3" s="62"/>
      <c r="VST3" s="62"/>
      <c r="VSU3" s="62"/>
      <c r="VSV3" s="62"/>
      <c r="VSW3" s="62"/>
      <c r="VSX3" s="62"/>
      <c r="VSY3" s="62"/>
      <c r="VSZ3" s="62"/>
      <c r="VTA3" s="62"/>
      <c r="VTB3" s="62"/>
      <c r="VTC3" s="62"/>
      <c r="VTD3" s="62"/>
      <c r="VTE3" s="62"/>
      <c r="VTF3" s="62"/>
      <c r="VTG3" s="62"/>
      <c r="VTH3" s="62"/>
      <c r="VTI3" s="62"/>
      <c r="VTJ3" s="62"/>
      <c r="VTK3" s="62"/>
      <c r="VTL3" s="62"/>
      <c r="VTM3" s="62"/>
      <c r="VTN3" s="62"/>
      <c r="VTO3" s="62"/>
      <c r="VTP3" s="62"/>
      <c r="VTQ3" s="62"/>
      <c r="VTR3" s="62"/>
      <c r="VTS3" s="62"/>
      <c r="VTT3" s="62"/>
      <c r="VTU3" s="62"/>
      <c r="VTV3" s="62"/>
      <c r="VTW3" s="62"/>
      <c r="VTX3" s="62"/>
      <c r="VTY3" s="62"/>
      <c r="VTZ3" s="62"/>
      <c r="VUA3" s="62"/>
      <c r="VUB3" s="62"/>
      <c r="VUC3" s="62"/>
      <c r="VUD3" s="62"/>
      <c r="VUE3" s="62"/>
      <c r="VUF3" s="62"/>
      <c r="VUG3" s="62"/>
      <c r="VUH3" s="62"/>
      <c r="VUI3" s="62"/>
      <c r="VUJ3" s="62"/>
      <c r="VUK3" s="62"/>
      <c r="VUL3" s="62"/>
      <c r="VUM3" s="62"/>
      <c r="VUN3" s="62"/>
      <c r="VUO3" s="62"/>
      <c r="VUP3" s="62"/>
      <c r="VUQ3" s="62"/>
      <c r="VUR3" s="62"/>
      <c r="VUS3" s="62"/>
      <c r="VUT3" s="62"/>
      <c r="VUU3" s="62"/>
      <c r="VUV3" s="62"/>
      <c r="VUW3" s="62"/>
      <c r="VUX3" s="62"/>
      <c r="VUY3" s="62"/>
      <c r="VUZ3" s="62"/>
      <c r="VVA3" s="62"/>
      <c r="VVB3" s="62"/>
      <c r="VVC3" s="62"/>
      <c r="VVD3" s="62"/>
      <c r="VVE3" s="62"/>
      <c r="VVF3" s="62"/>
      <c r="VVG3" s="62"/>
      <c r="VVH3" s="62"/>
      <c r="VVI3" s="62"/>
      <c r="VVJ3" s="62"/>
      <c r="VVK3" s="62"/>
      <c r="VVL3" s="62"/>
      <c r="VVM3" s="62"/>
      <c r="VVN3" s="62"/>
      <c r="VVO3" s="62"/>
      <c r="VVP3" s="62"/>
      <c r="VVQ3" s="62"/>
      <c r="VVR3" s="62"/>
      <c r="VVS3" s="62"/>
      <c r="VVT3" s="62"/>
      <c r="VVU3" s="62"/>
      <c r="VVV3" s="62"/>
      <c r="VVW3" s="62"/>
      <c r="VVX3" s="62"/>
      <c r="VVY3" s="62"/>
      <c r="VVZ3" s="62"/>
      <c r="VWA3" s="62"/>
      <c r="VWB3" s="62"/>
      <c r="VWC3" s="62"/>
      <c r="VWD3" s="62"/>
      <c r="VWE3" s="62"/>
      <c r="VWF3" s="62"/>
      <c r="VWG3" s="62"/>
      <c r="VWH3" s="62"/>
      <c r="VWI3" s="62"/>
      <c r="VWJ3" s="62"/>
      <c r="VWK3" s="62"/>
      <c r="VWL3" s="62"/>
      <c r="VWM3" s="62"/>
      <c r="VWN3" s="62"/>
      <c r="VWO3" s="62"/>
      <c r="VWP3" s="62"/>
      <c r="VWQ3" s="62"/>
      <c r="VWR3" s="62"/>
      <c r="VWS3" s="62"/>
      <c r="VWT3" s="62"/>
      <c r="VWU3" s="62"/>
      <c r="VWV3" s="62"/>
      <c r="VWW3" s="62"/>
      <c r="VWX3" s="62"/>
      <c r="VWY3" s="62"/>
      <c r="VWZ3" s="62"/>
      <c r="VXA3" s="62"/>
      <c r="VXB3" s="62"/>
      <c r="VXC3" s="62"/>
      <c r="VXD3" s="62"/>
      <c r="VXE3" s="62"/>
      <c r="VXF3" s="62"/>
      <c r="VXG3" s="62"/>
      <c r="VXH3" s="62"/>
      <c r="VXI3" s="62"/>
      <c r="VXJ3" s="62"/>
      <c r="VXK3" s="62"/>
      <c r="VXL3" s="62"/>
      <c r="VXM3" s="62"/>
      <c r="VXN3" s="62"/>
      <c r="VXO3" s="62"/>
      <c r="VXP3" s="62"/>
      <c r="VXQ3" s="62"/>
      <c r="VXR3" s="62"/>
      <c r="VXS3" s="62"/>
      <c r="VXT3" s="62"/>
      <c r="VXU3" s="62"/>
      <c r="VXV3" s="62"/>
      <c r="VXW3" s="62"/>
      <c r="VXX3" s="62"/>
      <c r="VXY3" s="62"/>
      <c r="VXZ3" s="62"/>
      <c r="VYA3" s="62"/>
      <c r="VYB3" s="62"/>
      <c r="VYC3" s="62"/>
      <c r="VYD3" s="62"/>
      <c r="VYE3" s="62"/>
      <c r="VYF3" s="62"/>
      <c r="VYG3" s="62"/>
      <c r="VYH3" s="62"/>
      <c r="VYI3" s="62"/>
      <c r="VYJ3" s="62"/>
      <c r="VYK3" s="62"/>
      <c r="VYL3" s="62"/>
      <c r="VYM3" s="62"/>
      <c r="VYN3" s="62"/>
      <c r="VYO3" s="62"/>
      <c r="VYP3" s="62"/>
      <c r="VYQ3" s="62"/>
      <c r="VYR3" s="62"/>
      <c r="VYS3" s="62"/>
      <c r="VYT3" s="62"/>
      <c r="VYU3" s="62"/>
      <c r="VYV3" s="62"/>
      <c r="VYW3" s="62"/>
      <c r="VYX3" s="62"/>
      <c r="VYY3" s="62"/>
      <c r="VYZ3" s="62"/>
      <c r="VZA3" s="62"/>
      <c r="VZB3" s="62"/>
      <c r="VZC3" s="62"/>
      <c r="VZD3" s="62"/>
      <c r="VZE3" s="62"/>
      <c r="VZF3" s="62"/>
      <c r="VZG3" s="62"/>
      <c r="VZH3" s="62"/>
      <c r="VZI3" s="62"/>
      <c r="VZJ3" s="62"/>
      <c r="VZK3" s="62"/>
      <c r="VZL3" s="62"/>
      <c r="VZM3" s="62"/>
      <c r="VZN3" s="62"/>
      <c r="VZO3" s="62"/>
      <c r="VZP3" s="62"/>
      <c r="VZQ3" s="62"/>
      <c r="VZR3" s="62"/>
      <c r="VZS3" s="62"/>
      <c r="VZT3" s="62"/>
      <c r="VZU3" s="62"/>
      <c r="VZV3" s="62"/>
      <c r="VZW3" s="62"/>
      <c r="VZX3" s="62"/>
      <c r="VZY3" s="62"/>
      <c r="VZZ3" s="62"/>
      <c r="WAA3" s="62"/>
      <c r="WAB3" s="62"/>
      <c r="WAC3" s="62"/>
      <c r="WAD3" s="62"/>
      <c r="WAE3" s="62"/>
      <c r="WAF3" s="62"/>
      <c r="WAG3" s="62"/>
      <c r="WAH3" s="62"/>
      <c r="WAI3" s="62"/>
      <c r="WAJ3" s="62"/>
      <c r="WAK3" s="62"/>
      <c r="WAL3" s="62"/>
      <c r="WAM3" s="62"/>
      <c r="WAN3" s="62"/>
      <c r="WAO3" s="62"/>
      <c r="WAP3" s="62"/>
      <c r="WAQ3" s="62"/>
      <c r="WAR3" s="62"/>
      <c r="WAS3" s="62"/>
      <c r="WAT3" s="62"/>
      <c r="WAU3" s="62"/>
      <c r="WAV3" s="62"/>
      <c r="WAW3" s="62"/>
      <c r="WAX3" s="62"/>
      <c r="WAY3" s="62"/>
      <c r="WAZ3" s="62"/>
      <c r="WBA3" s="62"/>
      <c r="WBB3" s="62"/>
      <c r="WBC3" s="62"/>
      <c r="WBD3" s="62"/>
      <c r="WBE3" s="62"/>
      <c r="WBF3" s="62"/>
      <c r="WBG3" s="62"/>
      <c r="WBH3" s="62"/>
      <c r="WBI3" s="62"/>
      <c r="WBJ3" s="62"/>
      <c r="WBK3" s="62"/>
      <c r="WBL3" s="62"/>
      <c r="WBM3" s="62"/>
      <c r="WBN3" s="62"/>
      <c r="WBO3" s="62"/>
      <c r="WBP3" s="62"/>
      <c r="WBQ3" s="62"/>
      <c r="WBR3" s="62"/>
      <c r="WBS3" s="62"/>
      <c r="WBT3" s="62"/>
      <c r="WBU3" s="62"/>
      <c r="WBV3" s="62"/>
      <c r="WBW3" s="62"/>
      <c r="WBX3" s="62"/>
      <c r="WBY3" s="62"/>
      <c r="WBZ3" s="62"/>
      <c r="WCA3" s="62"/>
      <c r="WCB3" s="62"/>
      <c r="WCC3" s="62"/>
      <c r="WCD3" s="62"/>
      <c r="WCE3" s="62"/>
      <c r="WCF3" s="62"/>
      <c r="WCG3" s="62"/>
      <c r="WCH3" s="62"/>
      <c r="WCI3" s="62"/>
      <c r="WCJ3" s="62"/>
      <c r="WCK3" s="62"/>
      <c r="WCL3" s="62"/>
      <c r="WCM3" s="62"/>
      <c r="WCN3" s="62"/>
      <c r="WCO3" s="62"/>
      <c r="WCP3" s="62"/>
      <c r="WCQ3" s="62"/>
      <c r="WCR3" s="62"/>
      <c r="WCS3" s="62"/>
      <c r="WCT3" s="62"/>
      <c r="WCU3" s="62"/>
      <c r="WCV3" s="62"/>
      <c r="WCW3" s="62"/>
      <c r="WCX3" s="62"/>
      <c r="WCY3" s="62"/>
      <c r="WCZ3" s="62"/>
      <c r="WDA3" s="62"/>
      <c r="WDB3" s="62"/>
      <c r="WDC3" s="62"/>
      <c r="WDD3" s="62"/>
      <c r="WDE3" s="62"/>
      <c r="WDF3" s="62"/>
      <c r="WDG3" s="62"/>
      <c r="WDH3" s="62"/>
      <c r="WDI3" s="62"/>
      <c r="WDJ3" s="62"/>
      <c r="WDK3" s="62"/>
      <c r="WDL3" s="62"/>
      <c r="WDM3" s="62"/>
      <c r="WDN3" s="62"/>
      <c r="WDO3" s="62"/>
      <c r="WDP3" s="62"/>
      <c r="WDQ3" s="62"/>
      <c r="WDR3" s="62"/>
      <c r="WDS3" s="62"/>
      <c r="WDT3" s="62"/>
      <c r="WDU3" s="62"/>
      <c r="WDV3" s="62"/>
      <c r="WDW3" s="62"/>
      <c r="WDX3" s="62"/>
      <c r="WDY3" s="62"/>
      <c r="WDZ3" s="62"/>
      <c r="WEA3" s="62"/>
      <c r="WEB3" s="62"/>
      <c r="WEC3" s="62"/>
      <c r="WED3" s="62"/>
      <c r="WEE3" s="62"/>
      <c r="WEF3" s="62"/>
      <c r="WEG3" s="62"/>
      <c r="WEH3" s="62"/>
      <c r="WEI3" s="62"/>
      <c r="WEJ3" s="62"/>
      <c r="WEK3" s="62"/>
      <c r="WEL3" s="62"/>
      <c r="WEM3" s="62"/>
      <c r="WEN3" s="62"/>
      <c r="WEO3" s="62"/>
      <c r="WEP3" s="62"/>
      <c r="WEQ3" s="62"/>
      <c r="WER3" s="62"/>
      <c r="WES3" s="62"/>
      <c r="WET3" s="62"/>
      <c r="WEU3" s="62"/>
      <c r="WEV3" s="62"/>
      <c r="WEW3" s="62"/>
      <c r="WEX3" s="62"/>
      <c r="WEY3" s="62"/>
      <c r="WEZ3" s="62"/>
      <c r="WFA3" s="62"/>
      <c r="WFB3" s="62"/>
      <c r="WFC3" s="62"/>
      <c r="WFD3" s="62"/>
      <c r="WFE3" s="62"/>
      <c r="WFF3" s="62"/>
      <c r="WFG3" s="62"/>
      <c r="WFH3" s="62"/>
      <c r="WFI3" s="62"/>
      <c r="WFJ3" s="62"/>
      <c r="WFK3" s="62"/>
      <c r="WFL3" s="62"/>
      <c r="WFM3" s="62"/>
      <c r="WFN3" s="62"/>
      <c r="WFO3" s="62"/>
      <c r="WFP3" s="62"/>
      <c r="WFQ3" s="62"/>
      <c r="WFR3" s="62"/>
      <c r="WFS3" s="62"/>
      <c r="WFT3" s="62"/>
      <c r="WFU3" s="62"/>
      <c r="WFV3" s="62"/>
      <c r="WFW3" s="62"/>
      <c r="WFX3" s="62"/>
      <c r="WFY3" s="62"/>
      <c r="WFZ3" s="62"/>
      <c r="WGA3" s="62"/>
      <c r="WGB3" s="62"/>
      <c r="WGC3" s="62"/>
      <c r="WGD3" s="62"/>
      <c r="WGE3" s="62"/>
      <c r="WGF3" s="62"/>
      <c r="WGG3" s="62"/>
      <c r="WGH3" s="62"/>
      <c r="WGI3" s="62"/>
      <c r="WGJ3" s="62"/>
      <c r="WGK3" s="62"/>
      <c r="WGL3" s="62"/>
      <c r="WGM3" s="62"/>
      <c r="WGN3" s="62"/>
      <c r="WGO3" s="62"/>
      <c r="WGP3" s="62"/>
      <c r="WGQ3" s="62"/>
      <c r="WGR3" s="62"/>
      <c r="WGS3" s="62"/>
      <c r="WGT3" s="62"/>
      <c r="WGU3" s="62"/>
      <c r="WGV3" s="62"/>
      <c r="WGW3" s="62"/>
      <c r="WGX3" s="62"/>
      <c r="WGY3" s="62"/>
      <c r="WGZ3" s="62"/>
      <c r="WHA3" s="62"/>
      <c r="WHB3" s="62"/>
      <c r="WHC3" s="62"/>
      <c r="WHD3" s="62"/>
      <c r="WHE3" s="62"/>
      <c r="WHF3" s="62"/>
      <c r="WHG3" s="62"/>
      <c r="WHH3" s="62"/>
      <c r="WHI3" s="62"/>
      <c r="WHJ3" s="62"/>
      <c r="WHK3" s="62"/>
      <c r="WHL3" s="62"/>
      <c r="WHM3" s="62"/>
      <c r="WHN3" s="62"/>
      <c r="WHO3" s="62"/>
      <c r="WHP3" s="62"/>
      <c r="WHQ3" s="62"/>
      <c r="WHR3" s="62"/>
      <c r="WHS3" s="62"/>
      <c r="WHT3" s="62"/>
      <c r="WHU3" s="62"/>
      <c r="WHV3" s="62"/>
      <c r="WHW3" s="62"/>
      <c r="WHX3" s="62"/>
      <c r="WHY3" s="62"/>
      <c r="WHZ3" s="62"/>
      <c r="WIA3" s="62"/>
      <c r="WIB3" s="62"/>
      <c r="WIC3" s="62"/>
      <c r="WID3" s="62"/>
      <c r="WIE3" s="62"/>
      <c r="WIF3" s="62"/>
      <c r="WIG3" s="62"/>
      <c r="WIH3" s="62"/>
      <c r="WII3" s="62"/>
      <c r="WIJ3" s="62"/>
      <c r="WIK3" s="62"/>
      <c r="WIL3" s="62"/>
      <c r="WIM3" s="62"/>
      <c r="WIN3" s="62"/>
      <c r="WIO3" s="62"/>
      <c r="WIP3" s="62"/>
      <c r="WIQ3" s="62"/>
      <c r="WIR3" s="62"/>
      <c r="WIS3" s="62"/>
      <c r="WIT3" s="62"/>
      <c r="WIU3" s="62"/>
      <c r="WIV3" s="62"/>
      <c r="WIW3" s="62"/>
      <c r="WIX3" s="62"/>
      <c r="WIY3" s="62"/>
      <c r="WIZ3" s="62"/>
      <c r="WJA3" s="62"/>
      <c r="WJB3" s="62"/>
      <c r="WJC3" s="62"/>
      <c r="WJD3" s="62"/>
      <c r="WJE3" s="62"/>
      <c r="WJF3" s="62"/>
      <c r="WJG3" s="62"/>
      <c r="WJH3" s="62"/>
      <c r="WJI3" s="62"/>
      <c r="WJJ3" s="62"/>
      <c r="WJK3" s="62"/>
      <c r="WJL3" s="62"/>
      <c r="WJM3" s="62"/>
      <c r="WJN3" s="62"/>
      <c r="WJO3" s="62"/>
      <c r="WJP3" s="62"/>
      <c r="WJQ3" s="62"/>
      <c r="WJR3" s="62"/>
      <c r="WJS3" s="62"/>
      <c r="WJT3" s="62"/>
      <c r="WJU3" s="62"/>
      <c r="WJV3" s="62"/>
      <c r="WJW3" s="62"/>
      <c r="WJX3" s="62"/>
      <c r="WJY3" s="62"/>
      <c r="WJZ3" s="62"/>
      <c r="WKA3" s="62"/>
      <c r="WKB3" s="62"/>
      <c r="WKC3" s="62"/>
      <c r="WKD3" s="62"/>
      <c r="WKE3" s="62"/>
      <c r="WKF3" s="62"/>
      <c r="WKG3" s="62"/>
      <c r="WKH3" s="62"/>
      <c r="WKI3" s="62"/>
      <c r="WKJ3" s="62"/>
      <c r="WKK3" s="62"/>
      <c r="WKL3" s="62"/>
      <c r="WKM3" s="62"/>
      <c r="WKN3" s="62"/>
      <c r="WKO3" s="62"/>
      <c r="WKP3" s="62"/>
      <c r="WKQ3" s="62"/>
      <c r="WKR3" s="62"/>
      <c r="WKS3" s="62"/>
      <c r="WKT3" s="62"/>
      <c r="WKU3" s="62"/>
      <c r="WKV3" s="62"/>
      <c r="WKW3" s="62"/>
      <c r="WKX3" s="62"/>
      <c r="WKY3" s="62"/>
      <c r="WKZ3" s="62"/>
      <c r="WLA3" s="62"/>
      <c r="WLB3" s="62"/>
      <c r="WLC3" s="62"/>
      <c r="WLD3" s="62"/>
      <c r="WLE3" s="62"/>
      <c r="WLF3" s="62"/>
      <c r="WLG3" s="62"/>
      <c r="WLH3" s="62"/>
      <c r="WLI3" s="62"/>
      <c r="WLJ3" s="62"/>
      <c r="WLK3" s="62"/>
      <c r="WLL3" s="62"/>
      <c r="WLM3" s="62"/>
      <c r="WLN3" s="62"/>
      <c r="WLO3" s="62"/>
      <c r="WLP3" s="62"/>
      <c r="WLQ3" s="62"/>
      <c r="WLR3" s="62"/>
      <c r="WLS3" s="62"/>
      <c r="WLT3" s="62"/>
      <c r="WLU3" s="62"/>
      <c r="WLV3" s="62"/>
      <c r="WLW3" s="62"/>
      <c r="WLX3" s="62"/>
      <c r="WLY3" s="62"/>
      <c r="WLZ3" s="62"/>
      <c r="WMA3" s="62"/>
      <c r="WMB3" s="62"/>
      <c r="WMC3" s="62"/>
      <c r="WMD3" s="62"/>
      <c r="WME3" s="62"/>
      <c r="WMF3" s="62"/>
      <c r="WMG3" s="62"/>
      <c r="WMH3" s="62"/>
      <c r="WMI3" s="62"/>
      <c r="WMJ3" s="62"/>
      <c r="WMK3" s="62"/>
      <c r="WML3" s="62"/>
      <c r="WMM3" s="62"/>
      <c r="WMN3" s="62"/>
      <c r="WMO3" s="62"/>
      <c r="WMP3" s="62"/>
      <c r="WMQ3" s="62"/>
      <c r="WMR3" s="62"/>
      <c r="WMS3" s="62"/>
      <c r="WMT3" s="62"/>
      <c r="WMU3" s="62"/>
      <c r="WMV3" s="62"/>
      <c r="WMW3" s="62"/>
      <c r="WMX3" s="62"/>
      <c r="WMY3" s="62"/>
      <c r="WMZ3" s="62"/>
      <c r="WNA3" s="62"/>
      <c r="WNB3" s="62"/>
      <c r="WNC3" s="62"/>
      <c r="WND3" s="62"/>
      <c r="WNE3" s="62"/>
      <c r="WNF3" s="62"/>
      <c r="WNG3" s="62"/>
      <c r="WNH3" s="62"/>
      <c r="WNI3" s="62"/>
      <c r="WNJ3" s="62"/>
      <c r="WNK3" s="62"/>
      <c r="WNL3" s="62"/>
      <c r="WNM3" s="62"/>
      <c r="WNN3" s="62"/>
      <c r="WNO3" s="62"/>
      <c r="WNP3" s="62"/>
      <c r="WNQ3" s="62"/>
      <c r="WNR3" s="62"/>
      <c r="WNS3" s="62"/>
      <c r="WNT3" s="62"/>
      <c r="WNU3" s="62"/>
      <c r="WNV3" s="62"/>
      <c r="WNW3" s="62"/>
      <c r="WNX3" s="62"/>
      <c r="WNY3" s="62"/>
      <c r="WNZ3" s="62"/>
      <c r="WOA3" s="62"/>
      <c r="WOB3" s="62"/>
      <c r="WOC3" s="62"/>
      <c r="WOD3" s="62"/>
      <c r="WOE3" s="62"/>
      <c r="WOF3" s="62"/>
      <c r="WOG3" s="62"/>
      <c r="WOH3" s="62"/>
      <c r="WOI3" s="62"/>
      <c r="WOJ3" s="62"/>
      <c r="WOK3" s="62"/>
      <c r="WOL3" s="62"/>
      <c r="WOM3" s="62"/>
      <c r="WON3" s="62"/>
      <c r="WOO3" s="62"/>
      <c r="WOP3" s="62"/>
      <c r="WOQ3" s="62"/>
      <c r="WOR3" s="62"/>
      <c r="WOS3" s="62"/>
      <c r="WOT3" s="62"/>
      <c r="WOU3" s="62"/>
      <c r="WOV3" s="62"/>
      <c r="WOW3" s="62"/>
      <c r="WOX3" s="62"/>
      <c r="WOY3" s="62"/>
      <c r="WOZ3" s="62"/>
      <c r="WPA3" s="62"/>
      <c r="WPB3" s="62"/>
      <c r="WPC3" s="62"/>
      <c r="WPD3" s="62"/>
      <c r="WPE3" s="62"/>
      <c r="WPF3" s="62"/>
      <c r="WPG3" s="62"/>
      <c r="WPH3" s="62"/>
      <c r="WPI3" s="62"/>
      <c r="WPJ3" s="62"/>
      <c r="WPK3" s="62"/>
      <c r="WPL3" s="62"/>
      <c r="WPM3" s="62"/>
      <c r="WPN3" s="62"/>
      <c r="WPO3" s="62"/>
      <c r="WPP3" s="62"/>
      <c r="WPQ3" s="62"/>
      <c r="WPR3" s="62"/>
      <c r="WPS3" s="62"/>
      <c r="WPT3" s="62"/>
      <c r="WPU3" s="62"/>
      <c r="WPV3" s="62"/>
      <c r="WPW3" s="62"/>
      <c r="WPX3" s="62"/>
      <c r="WPY3" s="62"/>
      <c r="WPZ3" s="62"/>
      <c r="WQA3" s="62"/>
      <c r="WQB3" s="62"/>
      <c r="WQC3" s="62"/>
      <c r="WQD3" s="62"/>
      <c r="WQE3" s="62"/>
      <c r="WQF3" s="62"/>
      <c r="WQG3" s="62"/>
      <c r="WQH3" s="62"/>
      <c r="WQI3" s="62"/>
      <c r="WQJ3" s="62"/>
      <c r="WQK3" s="62"/>
      <c r="WQL3" s="62"/>
      <c r="WQM3" s="62"/>
      <c r="WQN3" s="62"/>
      <c r="WQO3" s="62"/>
      <c r="WQP3" s="62"/>
      <c r="WQQ3" s="62"/>
      <c r="WQR3" s="62"/>
      <c r="WQS3" s="62"/>
      <c r="WQT3" s="62"/>
      <c r="WQU3" s="62"/>
      <c r="WQV3" s="62"/>
      <c r="WQW3" s="62"/>
      <c r="WQX3" s="62"/>
      <c r="WQY3" s="62"/>
      <c r="WQZ3" s="62"/>
      <c r="WRA3" s="62"/>
      <c r="WRB3" s="62"/>
      <c r="WRC3" s="62"/>
      <c r="WRD3" s="62"/>
      <c r="WRE3" s="62"/>
      <c r="WRF3" s="62"/>
      <c r="WRG3" s="62"/>
      <c r="WRH3" s="62"/>
      <c r="WRI3" s="62"/>
      <c r="WRJ3" s="62"/>
      <c r="WRK3" s="62"/>
      <c r="WRL3" s="62"/>
      <c r="WRM3" s="62"/>
      <c r="WRN3" s="62"/>
      <c r="WRO3" s="62"/>
      <c r="WRP3" s="62"/>
      <c r="WRQ3" s="62"/>
      <c r="WRR3" s="62"/>
      <c r="WRS3" s="62"/>
      <c r="WRT3" s="62"/>
      <c r="WRU3" s="62"/>
      <c r="WRV3" s="62"/>
      <c r="WRW3" s="62"/>
      <c r="WRX3" s="62"/>
      <c r="WRY3" s="62"/>
      <c r="WRZ3" s="62"/>
      <c r="WSA3" s="62"/>
      <c r="WSB3" s="62"/>
      <c r="WSC3" s="62"/>
      <c r="WSD3" s="62"/>
      <c r="WSE3" s="62"/>
      <c r="WSF3" s="62"/>
      <c r="WSG3" s="62"/>
      <c r="WSH3" s="62"/>
      <c r="WSI3" s="62"/>
      <c r="WSJ3" s="62"/>
      <c r="WSK3" s="62"/>
      <c r="WSL3" s="62"/>
      <c r="WSM3" s="62"/>
      <c r="WSN3" s="62"/>
      <c r="WSO3" s="62"/>
      <c r="WSP3" s="62"/>
      <c r="WSQ3" s="62"/>
      <c r="WSR3" s="62"/>
      <c r="WSS3" s="62"/>
      <c r="WST3" s="62"/>
      <c r="WSU3" s="62"/>
      <c r="WSV3" s="62"/>
      <c r="WSW3" s="62"/>
      <c r="WSX3" s="62"/>
      <c r="WSY3" s="62"/>
      <c r="WSZ3" s="62"/>
      <c r="WTA3" s="62"/>
      <c r="WTB3" s="62"/>
      <c r="WTC3" s="62"/>
      <c r="WTD3" s="62"/>
      <c r="WTE3" s="62"/>
      <c r="WTF3" s="62"/>
      <c r="WTG3" s="62"/>
      <c r="WTH3" s="62"/>
      <c r="WTI3" s="62"/>
      <c r="WTJ3" s="62"/>
      <c r="WTK3" s="62"/>
      <c r="WTL3" s="62"/>
      <c r="WTM3" s="62"/>
      <c r="WTN3" s="62"/>
      <c r="WTO3" s="62"/>
      <c r="WTP3" s="62"/>
      <c r="WTQ3" s="62"/>
      <c r="WTR3" s="62"/>
      <c r="WTS3" s="62"/>
      <c r="WTT3" s="62"/>
      <c r="WTU3" s="62"/>
      <c r="WTV3" s="62"/>
      <c r="WTW3" s="62"/>
      <c r="WTX3" s="62"/>
      <c r="WTY3" s="62"/>
      <c r="WTZ3" s="62"/>
      <c r="WUA3" s="62"/>
      <c r="WUB3" s="62"/>
      <c r="WUC3" s="62"/>
      <c r="WUD3" s="62"/>
      <c r="WUE3" s="62"/>
      <c r="WUF3" s="62"/>
      <c r="WUG3" s="62"/>
      <c r="WUH3" s="62"/>
      <c r="WUI3" s="62"/>
      <c r="WUJ3" s="62"/>
      <c r="WUK3" s="62"/>
      <c r="WUL3" s="62"/>
      <c r="WUM3" s="62"/>
      <c r="WUN3" s="62"/>
      <c r="WUO3" s="62"/>
      <c r="WUP3" s="62"/>
      <c r="WUQ3" s="62"/>
      <c r="WUR3" s="62"/>
      <c r="WUS3" s="62"/>
      <c r="WUT3" s="62"/>
      <c r="WUU3" s="62"/>
      <c r="WUV3" s="62"/>
      <c r="WUW3" s="62"/>
      <c r="WUX3" s="62"/>
      <c r="WUY3" s="62"/>
      <c r="WUZ3" s="62"/>
      <c r="WVA3" s="62"/>
      <c r="WVB3" s="62"/>
      <c r="WVC3" s="62"/>
      <c r="WVD3" s="62"/>
      <c r="WVE3" s="62"/>
      <c r="WVF3" s="62"/>
      <c r="WVG3" s="62"/>
      <c r="WVH3" s="62"/>
      <c r="WVI3" s="62"/>
      <c r="WVJ3" s="62"/>
      <c r="WVK3" s="62"/>
      <c r="WVL3" s="62"/>
      <c r="WVM3" s="62"/>
      <c r="WVN3" s="62"/>
      <c r="WVO3" s="62"/>
      <c r="WVP3" s="62"/>
      <c r="WVQ3" s="62"/>
      <c r="WVR3" s="62"/>
      <c r="WVS3" s="62"/>
      <c r="WVT3" s="62"/>
      <c r="WVU3" s="62"/>
      <c r="WVV3" s="62"/>
      <c r="WVW3" s="62"/>
      <c r="WVX3" s="62"/>
      <c r="WVY3" s="62"/>
      <c r="WVZ3" s="62"/>
      <c r="WWA3" s="62"/>
      <c r="WWB3" s="62"/>
      <c r="WWC3" s="62"/>
      <c r="WWD3" s="62"/>
      <c r="WWE3" s="62"/>
      <c r="WWF3" s="62"/>
      <c r="WWG3" s="62"/>
      <c r="WWH3" s="62"/>
      <c r="WWI3" s="62"/>
      <c r="WWJ3" s="62"/>
      <c r="WWK3" s="62"/>
      <c r="WWL3" s="62"/>
      <c r="WWM3" s="62"/>
      <c r="WWN3" s="62"/>
      <c r="WWO3" s="62"/>
      <c r="WWP3" s="62"/>
      <c r="WWQ3" s="62"/>
      <c r="WWR3" s="62"/>
      <c r="WWS3" s="62"/>
      <c r="WWT3" s="62"/>
      <c r="WWU3" s="62"/>
      <c r="WWV3" s="62"/>
      <c r="WWW3" s="62"/>
      <c r="WWX3" s="62"/>
      <c r="WWY3" s="62"/>
      <c r="WWZ3" s="62"/>
      <c r="WXA3" s="62"/>
      <c r="WXB3" s="62"/>
      <c r="WXC3" s="62"/>
      <c r="WXD3" s="62"/>
      <c r="WXE3" s="62"/>
      <c r="WXF3" s="62"/>
      <c r="WXG3" s="62"/>
      <c r="WXH3" s="62"/>
      <c r="WXI3" s="62"/>
      <c r="WXJ3" s="62"/>
      <c r="WXK3" s="62"/>
      <c r="WXL3" s="62"/>
      <c r="WXM3" s="62"/>
      <c r="WXN3" s="62"/>
      <c r="WXO3" s="62"/>
      <c r="WXP3" s="62"/>
      <c r="WXQ3" s="62"/>
      <c r="WXR3" s="62"/>
      <c r="WXS3" s="62"/>
      <c r="WXT3" s="62"/>
      <c r="WXU3" s="62"/>
      <c r="WXV3" s="62"/>
      <c r="WXW3" s="62"/>
      <c r="WXX3" s="62"/>
      <c r="WXY3" s="62"/>
      <c r="WXZ3" s="62"/>
      <c r="WYA3" s="62"/>
      <c r="WYB3" s="62"/>
      <c r="WYC3" s="62"/>
      <c r="WYD3" s="62"/>
      <c r="WYE3" s="62"/>
      <c r="WYF3" s="62"/>
      <c r="WYG3" s="62"/>
      <c r="WYH3" s="62"/>
      <c r="WYI3" s="62"/>
      <c r="WYJ3" s="62"/>
      <c r="WYK3" s="62"/>
      <c r="WYL3" s="62"/>
      <c r="WYM3" s="62"/>
      <c r="WYN3" s="62"/>
      <c r="WYO3" s="62"/>
      <c r="WYP3" s="62"/>
      <c r="WYQ3" s="62"/>
      <c r="WYR3" s="62"/>
      <c r="WYS3" s="62"/>
      <c r="WYT3" s="62"/>
      <c r="WYU3" s="62"/>
      <c r="WYV3" s="62"/>
      <c r="WYW3" s="62"/>
      <c r="WYX3" s="62"/>
      <c r="WYY3" s="62"/>
      <c r="WYZ3" s="62"/>
      <c r="WZA3" s="62"/>
      <c r="WZB3" s="62"/>
      <c r="WZC3" s="62"/>
      <c r="WZD3" s="62"/>
      <c r="WZE3" s="62"/>
      <c r="WZF3" s="62"/>
      <c r="WZG3" s="62"/>
      <c r="WZH3" s="62"/>
      <c r="WZI3" s="62"/>
      <c r="WZJ3" s="62"/>
      <c r="WZK3" s="62"/>
      <c r="WZL3" s="62"/>
      <c r="WZM3" s="62"/>
      <c r="WZN3" s="62"/>
      <c r="WZO3" s="62"/>
      <c r="WZP3" s="62"/>
      <c r="WZQ3" s="62"/>
      <c r="WZR3" s="62"/>
      <c r="WZS3" s="62"/>
      <c r="WZT3" s="62"/>
      <c r="WZU3" s="62"/>
      <c r="WZV3" s="62"/>
      <c r="WZW3" s="62"/>
      <c r="WZX3" s="62"/>
      <c r="WZY3" s="62"/>
      <c r="WZZ3" s="62"/>
      <c r="XAA3" s="62"/>
      <c r="XAB3" s="62"/>
      <c r="XAC3" s="62"/>
      <c r="XAD3" s="62"/>
      <c r="XAE3" s="62"/>
      <c r="XAF3" s="62"/>
      <c r="XAG3" s="62"/>
      <c r="XAH3" s="62"/>
      <c r="XAI3" s="62"/>
      <c r="XAJ3" s="62"/>
      <c r="XAK3" s="62"/>
      <c r="XAL3" s="62"/>
      <c r="XAM3" s="62"/>
      <c r="XAN3" s="62"/>
      <c r="XAO3" s="62"/>
      <c r="XAP3" s="62"/>
      <c r="XAQ3" s="62"/>
      <c r="XAR3" s="62"/>
      <c r="XAS3" s="62"/>
      <c r="XAT3" s="62"/>
      <c r="XAU3" s="62"/>
      <c r="XAV3" s="62"/>
      <c r="XAW3" s="62"/>
      <c r="XAX3" s="62"/>
      <c r="XAY3" s="62"/>
      <c r="XAZ3" s="62"/>
      <c r="XBA3" s="62"/>
      <c r="XBB3" s="62"/>
      <c r="XBC3" s="62"/>
      <c r="XBD3" s="62"/>
      <c r="XBE3" s="62"/>
      <c r="XBF3" s="62"/>
      <c r="XBG3" s="62"/>
      <c r="XBH3" s="62"/>
      <c r="XBI3" s="62"/>
      <c r="XBJ3" s="62"/>
      <c r="XBK3" s="62"/>
      <c r="XBL3" s="62"/>
      <c r="XBM3" s="62"/>
      <c r="XBN3" s="62"/>
      <c r="XBO3" s="62"/>
      <c r="XBP3" s="62"/>
      <c r="XBQ3" s="62"/>
      <c r="XBR3" s="62"/>
      <c r="XBS3" s="62"/>
      <c r="XBT3" s="62"/>
      <c r="XBU3" s="62"/>
      <c r="XBV3" s="62"/>
      <c r="XBW3" s="62"/>
      <c r="XBX3" s="62"/>
      <c r="XBY3" s="62"/>
      <c r="XBZ3" s="62"/>
      <c r="XCA3" s="62"/>
      <c r="XCB3" s="62"/>
      <c r="XCC3" s="62"/>
      <c r="XCD3" s="62"/>
      <c r="XCE3" s="62"/>
      <c r="XCF3" s="62"/>
      <c r="XCG3" s="62"/>
      <c r="XCH3" s="62"/>
      <c r="XCI3" s="62"/>
      <c r="XCJ3" s="62"/>
      <c r="XCK3" s="62"/>
      <c r="XCL3" s="62"/>
      <c r="XCM3" s="62"/>
      <c r="XCN3" s="62"/>
      <c r="XCO3" s="62"/>
      <c r="XCP3" s="62"/>
      <c r="XCQ3" s="62"/>
      <c r="XCR3" s="62"/>
      <c r="XCS3" s="62"/>
      <c r="XCT3" s="62"/>
      <c r="XCU3" s="62"/>
      <c r="XCV3" s="62"/>
      <c r="XCW3" s="62"/>
      <c r="XCX3" s="62"/>
      <c r="XCY3" s="62"/>
      <c r="XCZ3" s="62"/>
      <c r="XDA3" s="62"/>
      <c r="XDB3" s="62"/>
      <c r="XDC3" s="62"/>
      <c r="XDD3" s="62"/>
      <c r="XDE3" s="62"/>
      <c r="XDF3" s="62"/>
      <c r="XDG3" s="62"/>
      <c r="XDH3" s="62"/>
      <c r="XDI3" s="62"/>
      <c r="XDJ3" s="62"/>
      <c r="XDK3" s="62"/>
      <c r="XDL3" s="62"/>
      <c r="XDM3" s="62"/>
      <c r="XDN3" s="62"/>
      <c r="XDO3" s="62"/>
      <c r="XDP3" s="62"/>
      <c r="XDQ3" s="62"/>
      <c r="XDR3" s="62"/>
      <c r="XDS3" s="62"/>
      <c r="XDT3" s="62"/>
      <c r="XDU3" s="62"/>
      <c r="XEF3" s="62"/>
      <c r="XEG3" s="62"/>
      <c r="XEH3" s="62"/>
      <c r="XEI3" s="62"/>
      <c r="XEJ3" s="62"/>
      <c r="XEK3" s="62"/>
      <c r="XEL3" s="62"/>
    </row>
    <row r="4" s="22" customFormat="1" ht="15" spans="1:1024 1025:16378">
      <c r="A4" s="41">
        <f>ROW()-3</f>
        <v>1</v>
      </c>
      <c r="B4" s="58" t="s">
        <v>27</v>
      </c>
      <c r="C4" s="58" t="s">
        <v>32</v>
      </c>
      <c r="D4" s="58" t="s">
        <v>22</v>
      </c>
      <c r="E4" s="58" t="s">
        <v>23</v>
      </c>
      <c r="F4" s="58" t="s">
        <v>28</v>
      </c>
      <c r="G4" s="58" t="s">
        <v>50</v>
      </c>
      <c r="H4" s="58" t="s">
        <v>26</v>
      </c>
      <c r="I4" s="58">
        <v>128</v>
      </c>
      <c r="J4" s="58">
        <v>64</v>
      </c>
      <c r="K4" s="58"/>
      <c r="L4" s="42">
        <f>L3</f>
        <v>0</v>
      </c>
      <c r="M4" s="42">
        <f>M3</f>
        <v>0</v>
      </c>
      <c r="N4" s="42">
        <f>N3</f>
        <v>0</v>
      </c>
      <c r="O4" s="68">
        <f>I4*L4+J4*M4+K4*N4</f>
        <v>0</v>
      </c>
      <c r="P4" s="50"/>
      <c r="Q4" s="69">
        <f>O4+P4</f>
        <v>0</v>
      </c>
      <c r="R4" s="69">
        <f>Q4+3.5</f>
        <v>3.5</v>
      </c>
      <c r="T4" s="41">
        <f>ROW()-3</f>
        <v>1</v>
      </c>
      <c r="U4" s="58" t="s">
        <v>27</v>
      </c>
      <c r="V4" s="58" t="s">
        <v>32</v>
      </c>
      <c r="W4" s="58" t="s">
        <v>22</v>
      </c>
      <c r="X4" s="58" t="s">
        <v>23</v>
      </c>
      <c r="Y4" s="58" t="s">
        <v>28</v>
      </c>
      <c r="Z4" s="58" t="s">
        <v>50</v>
      </c>
      <c r="AA4" s="58" t="s">
        <v>26</v>
      </c>
      <c r="AB4" s="58">
        <v>128</v>
      </c>
      <c r="AC4" s="58">
        <v>64</v>
      </c>
      <c r="AD4" s="58"/>
      <c r="AE4" s="42">
        <f t="shared" ref="AE4:AG4" si="0">AE3</f>
        <v>0</v>
      </c>
      <c r="AF4" s="42">
        <f t="shared" si="0"/>
        <v>0</v>
      </c>
      <c r="AG4" s="42">
        <f t="shared" si="0"/>
        <v>0</v>
      </c>
      <c r="AH4" s="68">
        <f>AB4*AE4+AC4*AF4+AD4*AG4</f>
        <v>0</v>
      </c>
      <c r="AI4" s="50"/>
      <c r="AJ4" s="69">
        <f>AH4+AI4</f>
        <v>0</v>
      </c>
      <c r="AK4" s="69">
        <f>AJ4+3.5</f>
        <v>3.5</v>
      </c>
      <c r="XES4" s="86"/>
      <c r="XET4" s="86"/>
      <c r="XEU4" s="86"/>
      <c r="XEV4" s="86"/>
      <c r="XEW4" s="86"/>
      <c r="XEX4" s="86"/>
    </row>
    <row r="5" s="22" customFormat="1" ht="15" spans="1:1024 1025:16378">
      <c r="A5" s="41">
        <f>ROW()-3</f>
        <v>2</v>
      </c>
      <c r="B5" s="58" t="s">
        <v>27</v>
      </c>
      <c r="C5" s="58" t="s">
        <v>34</v>
      </c>
      <c r="D5" s="58" t="s">
        <v>22</v>
      </c>
      <c r="E5" s="58" t="s">
        <v>23</v>
      </c>
      <c r="F5" s="58" t="s">
        <v>28</v>
      </c>
      <c r="G5" s="58" t="s">
        <v>50</v>
      </c>
      <c r="H5" s="41" t="s">
        <v>30</v>
      </c>
      <c r="I5" s="58">
        <v>128</v>
      </c>
      <c r="J5" s="58">
        <v>64</v>
      </c>
      <c r="K5" s="58">
        <v>64</v>
      </c>
      <c r="L5" s="42">
        <f t="shared" ref="L5:N5" si="1">L4</f>
        <v>0</v>
      </c>
      <c r="M5" s="42">
        <f t="shared" si="1"/>
        <v>0</v>
      </c>
      <c r="N5" s="42">
        <f t="shared" si="1"/>
        <v>0</v>
      </c>
      <c r="O5" s="68">
        <f>I5*L5+J5*M5+K5*N5</f>
        <v>0</v>
      </c>
      <c r="P5" s="50"/>
      <c r="Q5" s="69">
        <f>O5+P5</f>
        <v>0</v>
      </c>
      <c r="R5" s="69">
        <f>Q5+3.5</f>
        <v>3.5</v>
      </c>
      <c r="T5" s="41">
        <f>ROW()-3</f>
        <v>2</v>
      </c>
      <c r="U5" s="58" t="s">
        <v>27</v>
      </c>
      <c r="V5" s="58" t="s">
        <v>34</v>
      </c>
      <c r="W5" s="58" t="s">
        <v>22</v>
      </c>
      <c r="X5" s="58" t="s">
        <v>23</v>
      </c>
      <c r="Y5" s="58" t="s">
        <v>28</v>
      </c>
      <c r="Z5" s="58" t="s">
        <v>50</v>
      </c>
      <c r="AA5" s="41" t="s">
        <v>30</v>
      </c>
      <c r="AB5" s="58">
        <v>128</v>
      </c>
      <c r="AC5" s="58">
        <v>64</v>
      </c>
      <c r="AD5" s="58">
        <v>64</v>
      </c>
      <c r="AE5" s="42">
        <f t="shared" ref="AE5:AG5" si="2">AE4</f>
        <v>0</v>
      </c>
      <c r="AF5" s="42">
        <f t="shared" si="2"/>
        <v>0</v>
      </c>
      <c r="AG5" s="42">
        <f t="shared" si="2"/>
        <v>0</v>
      </c>
      <c r="AH5" s="68">
        <f>AB5*AE5+AC5*AF5+AD5*AG5</f>
        <v>0</v>
      </c>
      <c r="AI5" s="50"/>
      <c r="AJ5" s="69">
        <f>AH5+AI5</f>
        <v>0</v>
      </c>
      <c r="AK5" s="69">
        <f>AJ5+3.5</f>
        <v>3.5</v>
      </c>
    </row>
    <row r="6" s="22" customFormat="1" ht="15" spans="1:1024 1025:16378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7"/>
      <c r="M6" s="47"/>
      <c r="N6" s="47"/>
      <c r="O6" s="48"/>
      <c r="P6" s="49"/>
      <c r="Q6" s="45"/>
      <c r="R6" s="45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7"/>
      <c r="AF6" s="47"/>
      <c r="AG6" s="47"/>
      <c r="AH6" s="48"/>
      <c r="AI6" s="51"/>
      <c r="AJ6" s="45"/>
      <c r="AK6" s="45"/>
    </row>
    <row r="7" s="22" customFormat="1" ht="15" spans="1:1024 1025:16378">
      <c r="A7" s="41">
        <f>ROW()-4</f>
        <v>3</v>
      </c>
      <c r="B7" s="41" t="s">
        <v>35</v>
      </c>
      <c r="C7" s="41" t="s">
        <v>32</v>
      </c>
      <c r="D7" s="41" t="s">
        <v>22</v>
      </c>
      <c r="E7" s="41" t="s">
        <v>23</v>
      </c>
      <c r="F7" s="41" t="s">
        <v>36</v>
      </c>
      <c r="G7" s="41" t="s">
        <v>50</v>
      </c>
      <c r="H7" s="41" t="s">
        <v>26</v>
      </c>
      <c r="I7" s="41">
        <v>128</v>
      </c>
      <c r="J7" s="41">
        <v>64</v>
      </c>
      <c r="K7" s="41"/>
      <c r="L7" s="42">
        <f t="shared" ref="L7:N7" si="3">L3</f>
        <v>0</v>
      </c>
      <c r="M7" s="42">
        <f t="shared" si="3"/>
        <v>0</v>
      </c>
      <c r="N7" s="42">
        <f t="shared" si="3"/>
        <v>0</v>
      </c>
      <c r="O7" s="43">
        <f>I7*L7+J7*M7+K7*N7</f>
        <v>0</v>
      </c>
      <c r="P7" s="44"/>
      <c r="Q7" s="45">
        <f>O7+P7</f>
        <v>0</v>
      </c>
      <c r="R7" s="45">
        <f>Q7+2.5</f>
        <v>2.5</v>
      </c>
      <c r="T7" s="41">
        <f>ROW()-4</f>
        <v>3</v>
      </c>
      <c r="U7" s="41" t="s">
        <v>35</v>
      </c>
      <c r="V7" s="41" t="s">
        <v>32</v>
      </c>
      <c r="W7" s="41" t="s">
        <v>22</v>
      </c>
      <c r="X7" s="41" t="s">
        <v>23</v>
      </c>
      <c r="Y7" s="41" t="s">
        <v>36</v>
      </c>
      <c r="Z7" s="41" t="s">
        <v>50</v>
      </c>
      <c r="AA7" s="41" t="s">
        <v>26</v>
      </c>
      <c r="AB7" s="41">
        <v>128</v>
      </c>
      <c r="AC7" s="41">
        <v>64</v>
      </c>
      <c r="AD7" s="41"/>
      <c r="AE7" s="42">
        <f t="shared" ref="AE7:AG7" si="4">AE3</f>
        <v>0</v>
      </c>
      <c r="AF7" s="42">
        <f t="shared" si="4"/>
        <v>0</v>
      </c>
      <c r="AG7" s="42">
        <f t="shared" si="4"/>
        <v>0</v>
      </c>
      <c r="AH7" s="43">
        <f>AB7*AE7+AC7*AF7+AD7*AG7</f>
        <v>0</v>
      </c>
      <c r="AI7" s="50"/>
      <c r="AJ7" s="45">
        <f>AH7+AI7</f>
        <v>0</v>
      </c>
      <c r="AK7" s="45">
        <f>AJ7+2.5</f>
        <v>2.5</v>
      </c>
    </row>
    <row r="8" s="22" customFormat="1" ht="15" spans="1:1024 1025:16378">
      <c r="A8" s="41">
        <f>ROW()-4</f>
        <v>4</v>
      </c>
      <c r="B8" s="41" t="s">
        <v>35</v>
      </c>
      <c r="C8" s="41" t="s">
        <v>34</v>
      </c>
      <c r="D8" s="41" t="s">
        <v>22</v>
      </c>
      <c r="E8" s="41" t="s">
        <v>23</v>
      </c>
      <c r="F8" s="41" t="s">
        <v>36</v>
      </c>
      <c r="G8" s="41" t="s">
        <v>50</v>
      </c>
      <c r="H8" s="41" t="s">
        <v>30</v>
      </c>
      <c r="I8" s="41">
        <v>128</v>
      </c>
      <c r="J8" s="41">
        <v>64</v>
      </c>
      <c r="K8" s="41">
        <v>64</v>
      </c>
      <c r="L8" s="42">
        <f t="shared" ref="L8:N8" si="5">L3</f>
        <v>0</v>
      </c>
      <c r="M8" s="42">
        <f t="shared" si="5"/>
        <v>0</v>
      </c>
      <c r="N8" s="42">
        <f t="shared" si="5"/>
        <v>0</v>
      </c>
      <c r="O8" s="43">
        <f>I8*L8+J8*M8+K8*N8</f>
        <v>0</v>
      </c>
      <c r="P8" s="44"/>
      <c r="Q8" s="45">
        <f>O8+P8</f>
        <v>0</v>
      </c>
      <c r="R8" s="45">
        <f>Q8+2.5</f>
        <v>2.5</v>
      </c>
      <c r="T8" s="41">
        <f>ROW()-4</f>
        <v>4</v>
      </c>
      <c r="U8" s="41" t="s">
        <v>35</v>
      </c>
      <c r="V8" s="41" t="s">
        <v>34</v>
      </c>
      <c r="W8" s="41" t="s">
        <v>22</v>
      </c>
      <c r="X8" s="41" t="s">
        <v>23</v>
      </c>
      <c r="Y8" s="41" t="s">
        <v>36</v>
      </c>
      <c r="Z8" s="41" t="s">
        <v>50</v>
      </c>
      <c r="AA8" s="41" t="s">
        <v>30</v>
      </c>
      <c r="AB8" s="41">
        <v>128</v>
      </c>
      <c r="AC8" s="41">
        <v>64</v>
      </c>
      <c r="AD8" s="41">
        <v>64</v>
      </c>
      <c r="AE8" s="42">
        <f t="shared" ref="AE8:AG8" si="6">AE3</f>
        <v>0</v>
      </c>
      <c r="AF8" s="42">
        <f t="shared" si="6"/>
        <v>0</v>
      </c>
      <c r="AG8" s="42">
        <f t="shared" si="6"/>
        <v>0</v>
      </c>
      <c r="AH8" s="43">
        <f>AB8*AE8+AC8*AF8+AD8*AG8</f>
        <v>0</v>
      </c>
      <c r="AI8" s="50"/>
      <c r="AJ8" s="45">
        <f>AH8+AI8</f>
        <v>0</v>
      </c>
      <c r="AK8" s="45">
        <f>AJ8+2.5</f>
        <v>2.5</v>
      </c>
    </row>
    <row r="9" s="22" customFormat="1" ht="15" spans="1:1024 1025:16378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  <c r="M9" s="47"/>
      <c r="N9" s="47"/>
      <c r="O9" s="48"/>
      <c r="P9" s="51"/>
      <c r="Q9" s="45"/>
      <c r="R9" s="45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7"/>
      <c r="AF9" s="47"/>
      <c r="AG9" s="47"/>
      <c r="AH9" s="48"/>
      <c r="AI9" s="51"/>
      <c r="AJ9" s="45"/>
      <c r="AK9" s="45"/>
    </row>
    <row r="10" s="22" customFormat="1" ht="15" spans="1:1024 1025:16378">
      <c r="A10" s="41">
        <f t="shared" ref="A10:A12" si="7">ROW()-5</f>
        <v>5</v>
      </c>
      <c r="B10" s="41" t="s">
        <v>37</v>
      </c>
      <c r="C10" s="41" t="s">
        <v>32</v>
      </c>
      <c r="D10" s="41" t="s">
        <v>22</v>
      </c>
      <c r="E10" s="41" t="s">
        <v>23</v>
      </c>
      <c r="F10" s="41" t="s">
        <v>38</v>
      </c>
      <c r="G10" s="41" t="s">
        <v>50</v>
      </c>
      <c r="H10" s="41" t="s">
        <v>26</v>
      </c>
      <c r="I10" s="41">
        <v>256</v>
      </c>
      <c r="J10" s="41">
        <v>128</v>
      </c>
      <c r="K10" s="41"/>
      <c r="L10" s="42">
        <f t="shared" ref="L10:N10" si="8">L3</f>
        <v>0</v>
      </c>
      <c r="M10" s="42">
        <f t="shared" si="8"/>
        <v>0</v>
      </c>
      <c r="N10" s="42">
        <f t="shared" si="8"/>
        <v>0</v>
      </c>
      <c r="O10" s="43">
        <f t="shared" ref="O10:O12" si="9">I10*L10+J10*M10+K10*N10</f>
        <v>0</v>
      </c>
      <c r="P10" s="50"/>
      <c r="Q10" s="45">
        <f t="shared" ref="Q10:Q12" si="10">O10+P10</f>
        <v>0</v>
      </c>
      <c r="R10" s="45">
        <f t="shared" ref="R10:R12" si="11">Q10+3</f>
        <v>3</v>
      </c>
      <c r="T10" s="41">
        <f>ROW()-5</f>
        <v>5</v>
      </c>
      <c r="U10" s="41" t="s">
        <v>37</v>
      </c>
      <c r="V10" s="41" t="s">
        <v>32</v>
      </c>
      <c r="W10" s="41" t="s">
        <v>22</v>
      </c>
      <c r="X10" s="41" t="s">
        <v>23</v>
      </c>
      <c r="Y10" s="41" t="s">
        <v>38</v>
      </c>
      <c r="Z10" s="41" t="s">
        <v>50</v>
      </c>
      <c r="AA10" s="41" t="s">
        <v>26</v>
      </c>
      <c r="AB10" s="41">
        <v>256</v>
      </c>
      <c r="AC10" s="41">
        <v>128</v>
      </c>
      <c r="AD10" s="41"/>
      <c r="AE10" s="42">
        <f t="shared" ref="AE10:AG10" si="12">AE3</f>
        <v>0</v>
      </c>
      <c r="AF10" s="42">
        <f t="shared" si="12"/>
        <v>0</v>
      </c>
      <c r="AG10" s="42">
        <f t="shared" si="12"/>
        <v>0</v>
      </c>
      <c r="AH10" s="43">
        <f t="shared" ref="AH10:AH12" si="13">AB10*AE10+AC10*AF10+AD10*AG10</f>
        <v>0</v>
      </c>
      <c r="AI10" s="50"/>
      <c r="AJ10" s="45">
        <f t="shared" ref="AJ10:AJ12" si="14">AH10+AI10</f>
        <v>0</v>
      </c>
      <c r="AK10" s="45">
        <f t="shared" ref="AK10:AK12" si="15">AJ10+3</f>
        <v>3</v>
      </c>
    </row>
    <row r="11" s="22" customFormat="1" ht="15" spans="1:1024 1025:16378">
      <c r="A11" s="41">
        <f t="shared" si="7"/>
        <v>6</v>
      </c>
      <c r="B11" s="41" t="s">
        <v>37</v>
      </c>
      <c r="C11" s="41" t="s">
        <v>39</v>
      </c>
      <c r="D11" s="41" t="s">
        <v>22</v>
      </c>
      <c r="E11" s="41" t="s">
        <v>23</v>
      </c>
      <c r="F11" s="41" t="s">
        <v>38</v>
      </c>
      <c r="G11" s="41" t="s">
        <v>50</v>
      </c>
      <c r="H11" s="41" t="s">
        <v>30</v>
      </c>
      <c r="I11" s="41">
        <v>128</v>
      </c>
      <c r="J11" s="41">
        <v>128</v>
      </c>
      <c r="K11" s="41">
        <v>128</v>
      </c>
      <c r="L11" s="42">
        <f t="shared" ref="L11:N11" si="16">L3</f>
        <v>0</v>
      </c>
      <c r="M11" s="42">
        <f t="shared" si="16"/>
        <v>0</v>
      </c>
      <c r="N11" s="42">
        <f t="shared" si="16"/>
        <v>0</v>
      </c>
      <c r="O11" s="43">
        <f t="shared" si="9"/>
        <v>0</v>
      </c>
      <c r="P11" s="50"/>
      <c r="Q11" s="45">
        <f t="shared" si="10"/>
        <v>0</v>
      </c>
      <c r="R11" s="45">
        <f t="shared" si="11"/>
        <v>3</v>
      </c>
      <c r="T11" s="41">
        <f>ROW()-5</f>
        <v>6</v>
      </c>
      <c r="U11" s="41" t="s">
        <v>37</v>
      </c>
      <c r="V11" s="41" t="s">
        <v>39</v>
      </c>
      <c r="W11" s="41" t="s">
        <v>22</v>
      </c>
      <c r="X11" s="41" t="s">
        <v>23</v>
      </c>
      <c r="Y11" s="41" t="s">
        <v>38</v>
      </c>
      <c r="Z11" s="41" t="s">
        <v>50</v>
      </c>
      <c r="AA11" s="41" t="s">
        <v>30</v>
      </c>
      <c r="AB11" s="41">
        <v>128</v>
      </c>
      <c r="AC11" s="41">
        <v>128</v>
      </c>
      <c r="AD11" s="41">
        <v>128</v>
      </c>
      <c r="AE11" s="42">
        <f t="shared" ref="AE11:AG11" si="17">AE3</f>
        <v>0</v>
      </c>
      <c r="AF11" s="42">
        <f t="shared" si="17"/>
        <v>0</v>
      </c>
      <c r="AG11" s="42">
        <f t="shared" si="17"/>
        <v>0</v>
      </c>
      <c r="AH11" s="43">
        <f t="shared" si="13"/>
        <v>0</v>
      </c>
      <c r="AI11" s="50"/>
      <c r="AJ11" s="45">
        <f t="shared" si="14"/>
        <v>0</v>
      </c>
      <c r="AK11" s="45">
        <f t="shared" si="15"/>
        <v>3</v>
      </c>
    </row>
    <row r="12" s="22" customFormat="1" ht="15" spans="1:1024 1025:16378">
      <c r="A12" s="41">
        <f t="shared" si="7"/>
        <v>7</v>
      </c>
      <c r="B12" s="41" t="s">
        <v>37</v>
      </c>
      <c r="C12" s="41" t="s">
        <v>34</v>
      </c>
      <c r="D12" s="41" t="s">
        <v>22</v>
      </c>
      <c r="E12" s="41" t="s">
        <v>23</v>
      </c>
      <c r="F12" s="41" t="s">
        <v>38</v>
      </c>
      <c r="G12" s="41" t="s">
        <v>50</v>
      </c>
      <c r="H12" s="41" t="s">
        <v>30</v>
      </c>
      <c r="I12" s="41">
        <v>256</v>
      </c>
      <c r="J12" s="41">
        <v>128</v>
      </c>
      <c r="K12" s="41">
        <v>128</v>
      </c>
      <c r="L12" s="42">
        <f t="shared" ref="L12:N12" si="18">L3</f>
        <v>0</v>
      </c>
      <c r="M12" s="42">
        <f t="shared" si="18"/>
        <v>0</v>
      </c>
      <c r="N12" s="42">
        <f t="shared" si="18"/>
        <v>0</v>
      </c>
      <c r="O12" s="43">
        <f t="shared" si="9"/>
        <v>0</v>
      </c>
      <c r="P12" s="50"/>
      <c r="Q12" s="45">
        <f t="shared" si="10"/>
        <v>0</v>
      </c>
      <c r="R12" s="45">
        <f t="shared" si="11"/>
        <v>3</v>
      </c>
      <c r="T12" s="41">
        <f>ROW()-5</f>
        <v>7</v>
      </c>
      <c r="U12" s="41" t="s">
        <v>37</v>
      </c>
      <c r="V12" s="41" t="s">
        <v>34</v>
      </c>
      <c r="W12" s="41" t="s">
        <v>22</v>
      </c>
      <c r="X12" s="41" t="s">
        <v>23</v>
      </c>
      <c r="Y12" s="41" t="s">
        <v>38</v>
      </c>
      <c r="Z12" s="41" t="s">
        <v>50</v>
      </c>
      <c r="AA12" s="41" t="s">
        <v>30</v>
      </c>
      <c r="AB12" s="41">
        <v>256</v>
      </c>
      <c r="AC12" s="41">
        <v>128</v>
      </c>
      <c r="AD12" s="41">
        <v>128</v>
      </c>
      <c r="AE12" s="42">
        <f t="shared" ref="AE12:AG12" si="19">AE3</f>
        <v>0</v>
      </c>
      <c r="AF12" s="42">
        <f t="shared" si="19"/>
        <v>0</v>
      </c>
      <c r="AG12" s="42">
        <f t="shared" si="19"/>
        <v>0</v>
      </c>
      <c r="AH12" s="43">
        <f t="shared" si="13"/>
        <v>0</v>
      </c>
      <c r="AI12" s="50"/>
      <c r="AJ12" s="45">
        <f t="shared" si="14"/>
        <v>0</v>
      </c>
      <c r="AK12" s="45">
        <f t="shared" si="15"/>
        <v>3</v>
      </c>
    </row>
    <row r="13" s="22" customFormat="1" ht="15" spans="1:1024 1025:16378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  <c r="M13" s="47"/>
      <c r="N13" s="47"/>
      <c r="O13" s="48"/>
      <c r="P13" s="51"/>
      <c r="Q13" s="45"/>
      <c r="R13" s="45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7"/>
      <c r="AF13" s="47"/>
      <c r="AG13" s="47"/>
      <c r="AH13" s="48"/>
      <c r="AI13" s="51"/>
      <c r="AJ13" s="45"/>
      <c r="AK13" s="45"/>
    </row>
    <row r="14" s="22" customFormat="1" ht="15" spans="1:1024 1025:16378">
      <c r="A14" s="41">
        <f t="shared" ref="A14:A16" si="20">ROW()-6</f>
        <v>8</v>
      </c>
      <c r="B14" s="41" t="s">
        <v>40</v>
      </c>
      <c r="C14" s="41" t="s">
        <v>32</v>
      </c>
      <c r="D14" s="41" t="s">
        <v>22</v>
      </c>
      <c r="E14" s="41" t="s">
        <v>23</v>
      </c>
      <c r="F14" s="41" t="s">
        <v>41</v>
      </c>
      <c r="G14" s="41" t="s">
        <v>50</v>
      </c>
      <c r="H14" s="41" t="s">
        <v>26</v>
      </c>
      <c r="I14" s="41">
        <v>512</v>
      </c>
      <c r="J14" s="41">
        <v>256</v>
      </c>
      <c r="K14" s="41"/>
      <c r="L14" s="42">
        <f t="shared" ref="L14:N14" si="21">L3</f>
        <v>0</v>
      </c>
      <c r="M14" s="42">
        <f t="shared" si="21"/>
        <v>0</v>
      </c>
      <c r="N14" s="42">
        <f t="shared" si="21"/>
        <v>0</v>
      </c>
      <c r="O14" s="43">
        <f t="shared" ref="O14:O16" si="22">I14*L14+J14*M14+K14*N14</f>
        <v>0</v>
      </c>
      <c r="P14" s="50"/>
      <c r="Q14" s="45">
        <f t="shared" ref="Q14:Q16" si="23">O14+P14</f>
        <v>0</v>
      </c>
      <c r="R14" s="45">
        <f t="shared" ref="R14:R16" si="24">Q14+3.5</f>
        <v>3.5</v>
      </c>
      <c r="T14" s="41">
        <f>ROW()-6</f>
        <v>8</v>
      </c>
      <c r="U14" s="41" t="s">
        <v>40</v>
      </c>
      <c r="V14" s="41" t="s">
        <v>32</v>
      </c>
      <c r="W14" s="41" t="s">
        <v>22</v>
      </c>
      <c r="X14" s="41" t="s">
        <v>23</v>
      </c>
      <c r="Y14" s="41" t="s">
        <v>41</v>
      </c>
      <c r="Z14" s="41" t="s">
        <v>50</v>
      </c>
      <c r="AA14" s="41" t="s">
        <v>26</v>
      </c>
      <c r="AB14" s="41">
        <v>512</v>
      </c>
      <c r="AC14" s="41">
        <v>256</v>
      </c>
      <c r="AD14" s="41"/>
      <c r="AE14" s="42">
        <f t="shared" ref="AE14:AG14" si="25">AE3</f>
        <v>0</v>
      </c>
      <c r="AF14" s="42">
        <f t="shared" si="25"/>
        <v>0</v>
      </c>
      <c r="AG14" s="42">
        <f t="shared" si="25"/>
        <v>0</v>
      </c>
      <c r="AH14" s="43">
        <f t="shared" ref="AH14:AH16" si="26">AB14*AE14+AC14*AF14+AD14*AG14</f>
        <v>0</v>
      </c>
      <c r="AI14" s="50"/>
      <c r="AJ14" s="45">
        <f t="shared" ref="AJ14:AJ16" si="27">AH14+AI14</f>
        <v>0</v>
      </c>
      <c r="AK14" s="45">
        <f t="shared" ref="AK14:AK16" si="28">AJ14+3.5</f>
        <v>3.5</v>
      </c>
    </row>
    <row r="15" s="22" customFormat="1" ht="15" spans="1:1024 1025:16378">
      <c r="A15" s="41">
        <f t="shared" si="20"/>
        <v>9</v>
      </c>
      <c r="B15" s="41" t="s">
        <v>40</v>
      </c>
      <c r="C15" s="41" t="s">
        <v>39</v>
      </c>
      <c r="D15" s="41" t="s">
        <v>22</v>
      </c>
      <c r="E15" s="41" t="s">
        <v>23</v>
      </c>
      <c r="F15" s="41" t="s">
        <v>41</v>
      </c>
      <c r="G15" s="41" t="s">
        <v>50</v>
      </c>
      <c r="H15" s="41" t="s">
        <v>30</v>
      </c>
      <c r="I15" s="41">
        <v>256</v>
      </c>
      <c r="J15" s="41">
        <v>256</v>
      </c>
      <c r="K15" s="41">
        <v>256</v>
      </c>
      <c r="L15" s="42">
        <f t="shared" ref="L15:N15" si="29">L3</f>
        <v>0</v>
      </c>
      <c r="M15" s="42">
        <f t="shared" si="29"/>
        <v>0</v>
      </c>
      <c r="N15" s="42">
        <f t="shared" si="29"/>
        <v>0</v>
      </c>
      <c r="O15" s="43">
        <f t="shared" si="22"/>
        <v>0</v>
      </c>
      <c r="P15" s="50"/>
      <c r="Q15" s="45">
        <f t="shared" si="23"/>
        <v>0</v>
      </c>
      <c r="R15" s="45">
        <f t="shared" si="24"/>
        <v>3.5</v>
      </c>
      <c r="T15" s="41">
        <f>ROW()-6</f>
        <v>9</v>
      </c>
      <c r="U15" s="41" t="s">
        <v>40</v>
      </c>
      <c r="V15" s="41" t="s">
        <v>39</v>
      </c>
      <c r="W15" s="41" t="s">
        <v>22</v>
      </c>
      <c r="X15" s="41" t="s">
        <v>23</v>
      </c>
      <c r="Y15" s="41" t="s">
        <v>41</v>
      </c>
      <c r="Z15" s="41" t="s">
        <v>50</v>
      </c>
      <c r="AA15" s="41" t="s">
        <v>30</v>
      </c>
      <c r="AB15" s="41">
        <v>256</v>
      </c>
      <c r="AC15" s="41">
        <v>256</v>
      </c>
      <c r="AD15" s="41">
        <v>256</v>
      </c>
      <c r="AE15" s="42">
        <f t="shared" ref="AE15:AG15" si="30">AE3</f>
        <v>0</v>
      </c>
      <c r="AF15" s="42">
        <f t="shared" si="30"/>
        <v>0</v>
      </c>
      <c r="AG15" s="42">
        <f t="shared" si="30"/>
        <v>0</v>
      </c>
      <c r="AH15" s="43">
        <f t="shared" si="26"/>
        <v>0</v>
      </c>
      <c r="AI15" s="50"/>
      <c r="AJ15" s="45">
        <f t="shared" si="27"/>
        <v>0</v>
      </c>
      <c r="AK15" s="45">
        <f t="shared" si="28"/>
        <v>3.5</v>
      </c>
    </row>
    <row r="16" s="22" customFormat="1" ht="15" spans="1:1024 1025:16378">
      <c r="A16" s="41">
        <f t="shared" si="20"/>
        <v>10</v>
      </c>
      <c r="B16" s="41" t="s">
        <v>40</v>
      </c>
      <c r="C16" s="41" t="s">
        <v>34</v>
      </c>
      <c r="D16" s="41" t="s">
        <v>22</v>
      </c>
      <c r="E16" s="41" t="s">
        <v>23</v>
      </c>
      <c r="F16" s="41" t="s">
        <v>41</v>
      </c>
      <c r="G16" s="41" t="s">
        <v>50</v>
      </c>
      <c r="H16" s="41" t="s">
        <v>30</v>
      </c>
      <c r="I16" s="41">
        <v>512</v>
      </c>
      <c r="J16" s="41">
        <v>256</v>
      </c>
      <c r="K16" s="41">
        <v>256</v>
      </c>
      <c r="L16" s="42">
        <f t="shared" ref="L16:N16" si="31">L3</f>
        <v>0</v>
      </c>
      <c r="M16" s="42">
        <f t="shared" si="31"/>
        <v>0</v>
      </c>
      <c r="N16" s="42">
        <f t="shared" si="31"/>
        <v>0</v>
      </c>
      <c r="O16" s="43">
        <f t="shared" si="22"/>
        <v>0</v>
      </c>
      <c r="P16" s="50"/>
      <c r="Q16" s="45">
        <f t="shared" si="23"/>
        <v>0</v>
      </c>
      <c r="R16" s="45">
        <f t="shared" si="24"/>
        <v>3.5</v>
      </c>
      <c r="T16" s="41">
        <f>ROW()-6</f>
        <v>10</v>
      </c>
      <c r="U16" s="41" t="s">
        <v>40</v>
      </c>
      <c r="V16" s="41" t="s">
        <v>34</v>
      </c>
      <c r="W16" s="41" t="s">
        <v>22</v>
      </c>
      <c r="X16" s="41" t="s">
        <v>23</v>
      </c>
      <c r="Y16" s="41" t="s">
        <v>41</v>
      </c>
      <c r="Z16" s="41" t="s">
        <v>50</v>
      </c>
      <c r="AA16" s="41" t="s">
        <v>30</v>
      </c>
      <c r="AB16" s="41">
        <v>512</v>
      </c>
      <c r="AC16" s="41">
        <v>256</v>
      </c>
      <c r="AD16" s="41">
        <v>256</v>
      </c>
      <c r="AE16" s="42">
        <f t="shared" ref="AE16:AG16" si="32">AE3</f>
        <v>0</v>
      </c>
      <c r="AF16" s="42">
        <f t="shared" si="32"/>
        <v>0</v>
      </c>
      <c r="AG16" s="42">
        <f t="shared" si="32"/>
        <v>0</v>
      </c>
      <c r="AH16" s="43">
        <f t="shared" si="26"/>
        <v>0</v>
      </c>
      <c r="AI16" s="50"/>
      <c r="AJ16" s="45">
        <f t="shared" si="27"/>
        <v>0</v>
      </c>
      <c r="AK16" s="45">
        <f t="shared" si="28"/>
        <v>3.5</v>
      </c>
    </row>
    <row r="17" s="22" customFormat="1" ht="15" spans="1:37 16350:16379">
      <c r="A17" s="86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3"/>
      <c r="M17" s="23"/>
      <c r="N17" s="23"/>
      <c r="O17" s="24"/>
      <c r="P17" s="25"/>
      <c r="Q17" s="26"/>
      <c r="R17" s="26"/>
      <c r="T17" s="46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8"/>
      <c r="AF17" s="88"/>
      <c r="AG17" s="88"/>
      <c r="AH17" s="89"/>
      <c r="AI17" s="90"/>
      <c r="AJ17" s="91"/>
      <c r="AK17" s="91"/>
    </row>
    <row r="18" s="22" customFormat="1" ht="15" spans="1:37 16350:16379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92"/>
      <c r="M18" s="92"/>
      <c r="N18" s="92"/>
      <c r="O18" s="93"/>
      <c r="P18" s="94"/>
      <c r="Q18" s="95"/>
      <c r="R18" s="95"/>
      <c r="T18" s="41">
        <f>ROW()-7</f>
        <v>11</v>
      </c>
      <c r="U18" s="41" t="s">
        <v>44</v>
      </c>
      <c r="V18" s="41" t="s">
        <v>32</v>
      </c>
      <c r="W18" s="41" t="s">
        <v>22</v>
      </c>
      <c r="X18" s="41" t="s">
        <v>23</v>
      </c>
      <c r="Y18" s="41" t="s">
        <v>45</v>
      </c>
      <c r="Z18" s="41">
        <v>16289</v>
      </c>
      <c r="AA18" s="41" t="s">
        <v>30</v>
      </c>
      <c r="AB18" s="41">
        <f>16*32*2</f>
        <v>1024</v>
      </c>
      <c r="AC18" s="41">
        <f t="shared" ref="AC18:AC20" si="33">16*32*1</f>
        <v>512</v>
      </c>
      <c r="AD18" s="41"/>
      <c r="AE18" s="42">
        <f t="shared" ref="AE18:AG18" si="34">AE3</f>
        <v>0</v>
      </c>
      <c r="AF18" s="42">
        <f t="shared" si="34"/>
        <v>0</v>
      </c>
      <c r="AG18" s="42">
        <f t="shared" si="34"/>
        <v>0</v>
      </c>
      <c r="AH18" s="43">
        <f t="shared" ref="AH18:AH20" si="35">AB18*AE18+AC18*AF18+AD18*AG18</f>
        <v>0</v>
      </c>
      <c r="AI18" s="50"/>
      <c r="AJ18" s="45">
        <f t="shared" ref="AJ18:AJ20" si="36">AH18+AI18</f>
        <v>0</v>
      </c>
      <c r="AK18" s="45">
        <f>AJ18+3</f>
        <v>3</v>
      </c>
    </row>
    <row r="19" s="22" customFormat="1" ht="15" spans="1:37 16350:16379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92"/>
      <c r="M19" s="92"/>
      <c r="N19" s="92"/>
      <c r="O19" s="93"/>
      <c r="P19" s="94"/>
      <c r="Q19" s="95"/>
      <c r="R19" s="95"/>
      <c r="T19" s="41">
        <f>ROW()-7</f>
        <v>12</v>
      </c>
      <c r="U19" s="41" t="s">
        <v>44</v>
      </c>
      <c r="V19" s="41" t="s">
        <v>46</v>
      </c>
      <c r="W19" s="41" t="s">
        <v>22</v>
      </c>
      <c r="X19" s="41" t="s">
        <v>23</v>
      </c>
      <c r="Y19" s="41" t="s">
        <v>45</v>
      </c>
      <c r="Z19" s="41">
        <v>16289</v>
      </c>
      <c r="AA19" s="41" t="s">
        <v>26</v>
      </c>
      <c r="AB19" s="41">
        <f>16*32*1</f>
        <v>512</v>
      </c>
      <c r="AC19" s="41">
        <f t="shared" si="33"/>
        <v>512</v>
      </c>
      <c r="AD19" s="41"/>
      <c r="AE19" s="42">
        <f t="shared" ref="AE19:AG19" si="37">AE3</f>
        <v>0</v>
      </c>
      <c r="AF19" s="42">
        <f t="shared" si="37"/>
        <v>0</v>
      </c>
      <c r="AG19" s="42">
        <f t="shared" si="37"/>
        <v>0</v>
      </c>
      <c r="AH19" s="43">
        <f t="shared" si="35"/>
        <v>0</v>
      </c>
      <c r="AI19" s="50"/>
      <c r="AJ19" s="45">
        <f t="shared" si="36"/>
        <v>0</v>
      </c>
      <c r="AK19" s="45">
        <f>AJ19+3</f>
        <v>3</v>
      </c>
    </row>
    <row r="20" s="22" customFormat="1" ht="15" spans="1:37 16350:16379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92"/>
      <c r="M20" s="92"/>
      <c r="N20" s="92"/>
      <c r="O20" s="93"/>
      <c r="P20" s="94"/>
      <c r="Q20" s="95"/>
      <c r="R20" s="95"/>
      <c r="T20" s="41">
        <f>ROW()-7</f>
        <v>13</v>
      </c>
      <c r="U20" s="41" t="s">
        <v>44</v>
      </c>
      <c r="V20" s="41" t="s">
        <v>39</v>
      </c>
      <c r="W20" s="41" t="s">
        <v>22</v>
      </c>
      <c r="X20" s="41" t="s">
        <v>23</v>
      </c>
      <c r="Y20" s="41" t="s">
        <v>45</v>
      </c>
      <c r="Z20" s="41">
        <v>16289</v>
      </c>
      <c r="AA20" s="41" t="s">
        <v>30</v>
      </c>
      <c r="AB20" s="41">
        <f>16*32*1</f>
        <v>512</v>
      </c>
      <c r="AC20" s="41">
        <f t="shared" si="33"/>
        <v>512</v>
      </c>
      <c r="AD20" s="41">
        <f>16*32*1</f>
        <v>512</v>
      </c>
      <c r="AE20" s="42">
        <f t="shared" ref="AE20:AG20" si="38">AE3</f>
        <v>0</v>
      </c>
      <c r="AF20" s="42">
        <f t="shared" si="38"/>
        <v>0</v>
      </c>
      <c r="AG20" s="42">
        <f t="shared" si="38"/>
        <v>0</v>
      </c>
      <c r="AH20" s="43">
        <f t="shared" si="35"/>
        <v>0</v>
      </c>
      <c r="AI20" s="50"/>
      <c r="AJ20" s="45">
        <f t="shared" si="36"/>
        <v>0</v>
      </c>
      <c r="AK20" s="45">
        <f>AJ20+3</f>
        <v>3</v>
      </c>
    </row>
    <row r="22" s="19" customFormat="1" spans="1:37 16350:16379">
      <c r="A22" s="2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3"/>
      <c r="M22" s="23"/>
      <c r="N22" s="23"/>
      <c r="O22" s="24"/>
      <c r="P22" s="25"/>
      <c r="Q22" s="26"/>
      <c r="R22" s="26"/>
      <c r="XDV22"/>
      <c r="XDW22"/>
      <c r="XDX22"/>
      <c r="XDY22"/>
      <c r="XDZ22"/>
      <c r="XEA22"/>
      <c r="XEB22"/>
      <c r="XEC22"/>
      <c r="XED22"/>
      <c r="XEE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</row>
    <row r="23" s="19" customFormat="1" spans="1:37 16350:16379">
      <c r="A23" s="2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23"/>
      <c r="M23" s="23"/>
      <c r="N23" s="23"/>
      <c r="O23" s="24"/>
      <c r="P23" s="25"/>
      <c r="Q23" s="26"/>
      <c r="R23" s="26"/>
      <c r="XDV23"/>
      <c r="XDW23"/>
      <c r="XDX23"/>
      <c r="XDY23"/>
      <c r="XDZ23"/>
      <c r="XEA23"/>
      <c r="XEB23"/>
      <c r="XEC23"/>
      <c r="XED23"/>
      <c r="XEE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</row>
    <row r="24" s="19" customFormat="1" spans="1:37 16350:16379">
      <c r="A24" s="2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3"/>
      <c r="M24" s="23"/>
      <c r="N24" s="23"/>
      <c r="O24" s="24"/>
      <c r="P24" s="25"/>
      <c r="Q24" s="26"/>
      <c r="R24" s="26"/>
      <c r="XDV24"/>
      <c r="XDW24"/>
      <c r="XDX24"/>
      <c r="XDY24"/>
      <c r="XDZ24"/>
      <c r="XEA24"/>
      <c r="XEB24"/>
      <c r="XEC24"/>
      <c r="XED24"/>
      <c r="XEE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</row>
    <row r="25" s="19" customFormat="1" spans="1:37 16350:16379">
      <c r="A25" s="2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3"/>
      <c r="M25" s="23"/>
      <c r="N25" s="23"/>
      <c r="O25" s="24"/>
      <c r="P25" s="25"/>
      <c r="Q25" s="26"/>
      <c r="R25" s="26"/>
      <c r="XDV25"/>
      <c r="XDW25"/>
      <c r="XDX25"/>
      <c r="XDY25"/>
      <c r="XDZ25"/>
      <c r="XEA25"/>
      <c r="XEB25"/>
      <c r="XEC25"/>
      <c r="XED25"/>
      <c r="XEE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</row>
    <row r="26" s="19" customFormat="1" spans="1:37 16350:16379">
      <c r="A26" s="2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3"/>
      <c r="M26" s="23"/>
      <c r="N26" s="23"/>
      <c r="O26" s="24"/>
      <c r="P26" s="25"/>
      <c r="Q26" s="26"/>
      <c r="R26" s="26"/>
      <c r="XDV26"/>
      <c r="XDW26"/>
      <c r="XDX26"/>
      <c r="XDY26"/>
      <c r="XDZ26"/>
      <c r="XEA26"/>
      <c r="XEB26"/>
      <c r="XEC26"/>
      <c r="XED26"/>
      <c r="XEE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</row>
    <row r="27" s="19" customFormat="1" spans="1:37 16350:16379">
      <c r="A27" s="2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3"/>
      <c r="M27" s="23"/>
      <c r="N27" s="23"/>
      <c r="O27" s="24"/>
      <c r="P27" s="25"/>
      <c r="Q27" s="26"/>
      <c r="R27" s="26"/>
      <c r="XDV27"/>
      <c r="XDW27"/>
      <c r="XDX27"/>
      <c r="XDY27"/>
      <c r="XDZ27"/>
      <c r="XEA27"/>
      <c r="XEB27"/>
      <c r="XEC27"/>
      <c r="XED27"/>
      <c r="XEE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</row>
    <row r="28" s="19" customFormat="1" spans="1:37 16350:16379">
      <c r="A28" s="2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23"/>
      <c r="M28" s="23"/>
      <c r="N28" s="23"/>
      <c r="O28" s="24"/>
      <c r="P28" s="25"/>
      <c r="Q28" s="26"/>
      <c r="R28" s="26"/>
      <c r="XDV28"/>
      <c r="XDW28"/>
      <c r="XDX28"/>
      <c r="XDY28"/>
      <c r="XDZ28"/>
      <c r="XEA28"/>
      <c r="XEB28"/>
      <c r="XEC28"/>
      <c r="XED28"/>
      <c r="XEE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</row>
    <row r="29" s="19" customFormat="1" spans="1:37 16350:16379">
      <c r="A29" s="2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3"/>
      <c r="M29" s="23"/>
      <c r="N29" s="23"/>
      <c r="O29" s="24"/>
      <c r="P29" s="25"/>
      <c r="Q29" s="26"/>
      <c r="R29" s="26"/>
      <c r="XDV29"/>
      <c r="XDW29"/>
      <c r="XDX29"/>
      <c r="XDY29"/>
      <c r="XDZ29"/>
      <c r="XEA29"/>
      <c r="XEB29"/>
      <c r="XEC29"/>
      <c r="XED29"/>
      <c r="XEE29"/>
      <c r="XEM29"/>
      <c r="XEN29"/>
      <c r="XEO29"/>
      <c r="XEP29"/>
      <c r="XEQ29"/>
      <c r="XER29"/>
      <c r="XES29"/>
      <c r="XET29"/>
      <c r="XEU29"/>
      <c r="XEV29"/>
      <c r="XEW29"/>
      <c r="XEX29"/>
      <c r="XEY29"/>
    </row>
    <row r="30" s="19" customFormat="1" spans="1:37 16350:16379">
      <c r="A30" s="2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23"/>
      <c r="M30" s="23"/>
      <c r="N30" s="23"/>
      <c r="O30" s="24"/>
      <c r="P30" s="25"/>
      <c r="Q30" s="26"/>
      <c r="R30" s="26"/>
      <c r="XDV30"/>
      <c r="XDW30"/>
      <c r="XDX30"/>
      <c r="XDY30"/>
      <c r="XDZ30"/>
      <c r="XEA30"/>
      <c r="XEB30"/>
      <c r="XEC30"/>
      <c r="XED30"/>
      <c r="XEE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</row>
    <row r="31" s="19" customFormat="1" spans="1:37 16350:16379">
      <c r="A31" s="2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3"/>
      <c r="M31" s="23"/>
      <c r="N31" s="23"/>
      <c r="O31" s="24"/>
      <c r="P31" s="25"/>
      <c r="Q31" s="26"/>
      <c r="R31" s="26"/>
      <c r="XDV31"/>
      <c r="XDW31"/>
      <c r="XDX31"/>
      <c r="XDY31"/>
      <c r="XDZ31"/>
      <c r="XEA31"/>
      <c r="XEB31"/>
      <c r="XEC31"/>
      <c r="XED31"/>
      <c r="XEE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</row>
    <row r="32" s="19" customFormat="1" spans="1:37 16350:16379">
      <c r="A32" s="2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3"/>
      <c r="M32" s="23"/>
      <c r="N32" s="23"/>
      <c r="O32" s="24"/>
      <c r="P32" s="25"/>
      <c r="Q32" s="26"/>
      <c r="R32" s="26"/>
      <c r="XDV32"/>
      <c r="XDW32"/>
      <c r="XDX32"/>
      <c r="XDY32"/>
      <c r="XDZ32"/>
      <c r="XEA32"/>
      <c r="XEB32"/>
      <c r="XEC32"/>
      <c r="XED32"/>
      <c r="XEE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</row>
    <row r="33" s="19" customFormat="1" spans="1:18 16350:16379">
      <c r="A33" s="2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3"/>
      <c r="M33" s="23"/>
      <c r="N33" s="23"/>
      <c r="O33" s="24"/>
      <c r="P33" s="25"/>
      <c r="Q33" s="26"/>
      <c r="R33" s="26"/>
      <c r="XDV33"/>
      <c r="XDW33"/>
      <c r="XDX33"/>
      <c r="XDY33"/>
      <c r="XDZ33"/>
      <c r="XEA33"/>
      <c r="XEB33"/>
      <c r="XEC33"/>
      <c r="XED33"/>
      <c r="XEE33"/>
      <c r="XEM33"/>
      <c r="XEN33"/>
      <c r="XEO33"/>
      <c r="XEP33"/>
      <c r="XEQ33"/>
      <c r="XER33"/>
      <c r="XES33"/>
      <c r="XET33"/>
      <c r="XEU33"/>
      <c r="XEV33"/>
      <c r="XEW33"/>
      <c r="XEX33"/>
      <c r="XEY33"/>
    </row>
    <row r="34" s="19" customFormat="1" spans="1:18 16350:16379">
      <c r="A34" s="2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3"/>
      <c r="M34" s="23"/>
      <c r="N34" s="23"/>
      <c r="O34" s="24"/>
      <c r="P34" s="25"/>
      <c r="Q34" s="26"/>
      <c r="R34" s="26"/>
      <c r="XDV34"/>
      <c r="XDW34"/>
      <c r="XDX34"/>
      <c r="XDY34"/>
      <c r="XDZ34"/>
      <c r="XEA34"/>
      <c r="XEB34"/>
      <c r="XEC34"/>
      <c r="XED34"/>
      <c r="XEE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</row>
    <row r="35" s="19" customFormat="1" spans="1:18 16350:16379">
      <c r="A35" s="2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3"/>
      <c r="M35" s="23"/>
      <c r="N35" s="23"/>
      <c r="O35" s="24"/>
      <c r="P35" s="25"/>
      <c r="Q35" s="26"/>
      <c r="R35" s="26"/>
      <c r="XDV35"/>
      <c r="XDW35"/>
      <c r="XDX35"/>
      <c r="XDY35"/>
      <c r="XDZ35"/>
      <c r="XEA35"/>
      <c r="XEB35"/>
      <c r="XEC35"/>
      <c r="XED35"/>
      <c r="XEE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</row>
    <row r="36" s="19" customFormat="1" spans="1:18 16350:16379">
      <c r="A36" s="2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3"/>
      <c r="M36" s="23"/>
      <c r="N36" s="23"/>
      <c r="O36" s="24"/>
      <c r="P36" s="25"/>
      <c r="Q36" s="26"/>
      <c r="R36" s="26"/>
      <c r="XDV36"/>
      <c r="XDW36"/>
      <c r="XDX36"/>
      <c r="XDY36"/>
      <c r="XDZ36"/>
      <c r="XEA36"/>
      <c r="XEB36"/>
      <c r="XEC36"/>
      <c r="XED36"/>
      <c r="XEE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</row>
    <row r="37" s="19" customFormat="1" spans="1:18 16350:16379">
      <c r="A37" s="2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3"/>
      <c r="M37" s="23"/>
      <c r="N37" s="23"/>
      <c r="O37" s="24"/>
      <c r="P37" s="25"/>
      <c r="Q37" s="26"/>
      <c r="R37" s="26"/>
      <c r="XDV37"/>
      <c r="XDW37"/>
      <c r="XDX37"/>
      <c r="XDY37"/>
      <c r="XDZ37"/>
      <c r="XEA37"/>
      <c r="XEB37"/>
      <c r="XEC37"/>
      <c r="XED37"/>
      <c r="XEE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</row>
    <row r="38" s="19" customFormat="1" spans="1:18 16350:16379">
      <c r="A38" s="2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3"/>
      <c r="M38" s="23"/>
      <c r="N38" s="23"/>
      <c r="O38" s="24"/>
      <c r="P38" s="25"/>
      <c r="Q38" s="26"/>
      <c r="R38" s="26"/>
      <c r="XDV38"/>
      <c r="XDW38"/>
      <c r="XDX38"/>
      <c r="XDY38"/>
      <c r="XDZ38"/>
      <c r="XEA38"/>
      <c r="XEB38"/>
      <c r="XEC38"/>
      <c r="XED38"/>
      <c r="XEE38"/>
      <c r="XEM38"/>
      <c r="XEN38"/>
      <c r="XEO38"/>
      <c r="XEP38"/>
      <c r="XEQ38"/>
      <c r="XER38"/>
      <c r="XES38"/>
      <c r="XET38"/>
      <c r="XEU38"/>
      <c r="XEV38"/>
      <c r="XEW38"/>
      <c r="XEX38"/>
      <c r="XEY38"/>
    </row>
    <row r="39" s="19" customFormat="1" spans="1:18 16350:16379">
      <c r="A39" s="2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3"/>
      <c r="M39" s="23"/>
      <c r="N39" s="23"/>
      <c r="O39" s="24"/>
      <c r="P39" s="25"/>
      <c r="Q39" s="26"/>
      <c r="R39" s="26"/>
      <c r="XDV39"/>
      <c r="XDW39"/>
      <c r="XDX39"/>
      <c r="XDY39"/>
      <c r="XDZ39"/>
      <c r="XEA39"/>
      <c r="XEB39"/>
      <c r="XEC39"/>
      <c r="XED39"/>
      <c r="XEE39"/>
      <c r="XEM39"/>
      <c r="XEN39"/>
      <c r="XEO39"/>
      <c r="XEP39"/>
      <c r="XEQ39"/>
      <c r="XER39"/>
      <c r="XES39"/>
      <c r="XET39"/>
      <c r="XEU39"/>
      <c r="XEV39"/>
      <c r="XEW39"/>
      <c r="XEX39"/>
      <c r="XEY39"/>
    </row>
    <row r="40" s="19" customFormat="1" spans="1:18 16350:16379">
      <c r="A40" s="2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3"/>
      <c r="M40" s="23"/>
      <c r="N40" s="23"/>
      <c r="O40" s="24"/>
      <c r="P40" s="25"/>
      <c r="Q40" s="26"/>
      <c r="R40" s="26"/>
      <c r="XDV40"/>
      <c r="XDW40"/>
      <c r="XDX40"/>
      <c r="XDY40"/>
      <c r="XDZ40"/>
      <c r="XEA40"/>
      <c r="XEB40"/>
      <c r="XEC40"/>
      <c r="XED40"/>
      <c r="XEE40"/>
      <c r="XEM40"/>
      <c r="XEN40"/>
      <c r="XEO40"/>
      <c r="XEP40"/>
      <c r="XEQ40"/>
      <c r="XER40"/>
      <c r="XES40"/>
      <c r="XET40"/>
      <c r="XEU40"/>
      <c r="XEV40"/>
      <c r="XEW40"/>
      <c r="XEX40"/>
      <c r="XEY40"/>
    </row>
    <row r="41" s="19" customFormat="1" spans="1:18 16350:16379">
      <c r="A41" s="2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3"/>
      <c r="M41" s="23"/>
      <c r="N41" s="23"/>
      <c r="O41" s="24"/>
      <c r="P41" s="25"/>
      <c r="Q41" s="26"/>
      <c r="R41" s="26"/>
      <c r="XDV41"/>
      <c r="XDW41"/>
      <c r="XDX41"/>
      <c r="XDY41"/>
      <c r="XDZ41"/>
      <c r="XEA41"/>
      <c r="XEB41"/>
      <c r="XEC41"/>
      <c r="XED41"/>
      <c r="XEE41"/>
      <c r="XEM41"/>
      <c r="XEN41"/>
      <c r="XEO41"/>
      <c r="XEP41"/>
      <c r="XEQ41"/>
      <c r="XER41"/>
      <c r="XES41"/>
      <c r="XET41"/>
      <c r="XEU41"/>
      <c r="XEV41"/>
      <c r="XEW41"/>
      <c r="XEX41"/>
      <c r="XEY41"/>
    </row>
    <row r="42" s="19" customFormat="1" spans="1:18 16350:16379">
      <c r="A42" s="2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3"/>
      <c r="M42" s="23"/>
      <c r="N42" s="23"/>
      <c r="O42" s="24"/>
      <c r="P42" s="25"/>
      <c r="Q42" s="26"/>
      <c r="R42" s="26"/>
      <c r="XDV42"/>
      <c r="XDW42"/>
      <c r="XDX42"/>
      <c r="XDY42"/>
      <c r="XDZ42"/>
      <c r="XEA42"/>
      <c r="XEB42"/>
      <c r="XEC42"/>
      <c r="XED42"/>
      <c r="XEE42"/>
      <c r="XEM42"/>
      <c r="XEN42"/>
      <c r="XEO42"/>
      <c r="XEP42"/>
      <c r="XEQ42"/>
      <c r="XER42"/>
      <c r="XES42"/>
      <c r="XET42"/>
      <c r="XEU42"/>
      <c r="XEV42"/>
      <c r="XEW42"/>
      <c r="XEX42"/>
      <c r="XEY42"/>
    </row>
    <row r="43" s="19" customFormat="1" spans="1:18 16350:16379">
      <c r="A43" s="2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3"/>
      <c r="M43" s="23"/>
      <c r="N43" s="23"/>
      <c r="O43" s="24"/>
      <c r="P43" s="25"/>
      <c r="Q43" s="26"/>
      <c r="R43" s="26"/>
      <c r="XDV43"/>
      <c r="XDW43"/>
      <c r="XDX43"/>
      <c r="XDY43"/>
      <c r="XDZ43"/>
      <c r="XEA43"/>
      <c r="XEB43"/>
      <c r="XEC43"/>
      <c r="XED43"/>
      <c r="XEE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</row>
    <row r="44" s="19" customFormat="1" spans="1:18 16350:16379">
      <c r="A44" s="2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3"/>
      <c r="M44" s="23"/>
      <c r="N44" s="23"/>
      <c r="O44" s="24"/>
      <c r="P44" s="25"/>
      <c r="Q44" s="26"/>
      <c r="R44" s="26"/>
      <c r="XDV44"/>
      <c r="XDW44"/>
      <c r="XDX44"/>
      <c r="XDY44"/>
      <c r="XDZ44"/>
      <c r="XEA44"/>
      <c r="XEB44"/>
      <c r="XEC44"/>
      <c r="XED44"/>
      <c r="XEE44"/>
      <c r="XEM44"/>
      <c r="XEN44"/>
      <c r="XEO44"/>
      <c r="XEP44"/>
      <c r="XEQ44"/>
      <c r="XER44"/>
      <c r="XES44"/>
      <c r="XET44"/>
      <c r="XEU44"/>
      <c r="XEV44"/>
      <c r="XEW44"/>
      <c r="XEX44"/>
      <c r="XEY44"/>
    </row>
    <row r="45" s="19" customFormat="1" spans="1:18 16350:16379">
      <c r="A45" s="2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3"/>
      <c r="M45" s="23"/>
      <c r="N45" s="23"/>
      <c r="O45" s="24"/>
      <c r="P45" s="25"/>
      <c r="Q45" s="26"/>
      <c r="R45" s="26"/>
      <c r="XDV45"/>
      <c r="XDW45"/>
      <c r="XDX45"/>
      <c r="XDY45"/>
      <c r="XDZ45"/>
      <c r="XEA45"/>
      <c r="XEB45"/>
      <c r="XEC45"/>
      <c r="XED45"/>
      <c r="XEE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</row>
    <row r="46" s="19" customFormat="1" spans="1:18 16350:16379">
      <c r="A46" s="2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3"/>
      <c r="M46" s="23"/>
      <c r="N46" s="23"/>
      <c r="O46" s="24"/>
      <c r="P46" s="25"/>
      <c r="Q46" s="26"/>
      <c r="R46" s="26"/>
      <c r="XDV46"/>
      <c r="XDW46"/>
      <c r="XDX46"/>
      <c r="XDY46"/>
      <c r="XDZ46"/>
      <c r="XEA46"/>
      <c r="XEB46"/>
      <c r="XEC46"/>
      <c r="XED46"/>
      <c r="XEE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</row>
    <row r="47" s="19" customFormat="1" spans="1:18 16350:16379">
      <c r="A47" s="2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3"/>
      <c r="M47" s="23"/>
      <c r="N47" s="23"/>
      <c r="O47" s="24"/>
      <c r="P47" s="25"/>
      <c r="Q47" s="26"/>
      <c r="R47" s="26"/>
      <c r="XDV47"/>
      <c r="XDW47"/>
      <c r="XDX47"/>
      <c r="XDY47"/>
      <c r="XDZ47"/>
      <c r="XEA47"/>
      <c r="XEB47"/>
      <c r="XEC47"/>
      <c r="XED47"/>
      <c r="XEE47"/>
      <c r="XEM47"/>
      <c r="XEN47"/>
      <c r="XEO47"/>
      <c r="XEP47"/>
      <c r="XEQ47"/>
      <c r="XER47"/>
      <c r="XES47"/>
      <c r="XET47"/>
      <c r="XEU47"/>
      <c r="XEV47"/>
      <c r="XEW47"/>
      <c r="XEX47"/>
      <c r="XEY47"/>
    </row>
    <row r="48" s="19" customFormat="1" ht="12" spans="1:18 16350:16379">
      <c r="A48" s="2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3"/>
      <c r="M48" s="23"/>
      <c r="N48" s="23"/>
      <c r="O48" s="24"/>
      <c r="P48" s="25"/>
      <c r="Q48" s="26"/>
      <c r="R48" s="26"/>
    </row>
    <row r="49" s="19" customFormat="1" spans="1:18 16350:16379">
      <c r="A49" s="2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3"/>
      <c r="M49" s="23"/>
      <c r="N49" s="23"/>
      <c r="O49" s="24"/>
      <c r="P49" s="25"/>
      <c r="Q49" s="26"/>
      <c r="R49" s="26"/>
      <c r="XDV49"/>
      <c r="XDW49"/>
      <c r="XDX49"/>
      <c r="XDY49"/>
      <c r="XDZ49"/>
      <c r="XEA49"/>
      <c r="XEB49"/>
      <c r="XEC49"/>
      <c r="XED49"/>
      <c r="XEE49"/>
      <c r="XEF49" s="19"/>
      <c r="XEG49" s="19"/>
      <c r="XEH49" s="19"/>
      <c r="XEI49" s="19"/>
      <c r="XEJ49" s="19"/>
      <c r="XEK49" s="19"/>
      <c r="XEL49" s="19"/>
      <c r="XEM49"/>
      <c r="XEN49"/>
      <c r="XEO49"/>
      <c r="XEP49"/>
      <c r="XEQ49"/>
      <c r="XER49"/>
      <c r="XES49"/>
      <c r="XET49"/>
      <c r="XEU49"/>
      <c r="XEV49"/>
      <c r="XEW49"/>
      <c r="XEX49"/>
      <c r="XEY49"/>
    </row>
    <row r="50" s="19" customFormat="1" spans="1:18 16350:16379">
      <c r="A50" s="2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3"/>
      <c r="M50" s="23"/>
      <c r="N50" s="23"/>
      <c r="O50" s="24"/>
      <c r="P50" s="25"/>
      <c r="Q50" s="26"/>
      <c r="R50" s="26"/>
      <c r="XDV50"/>
      <c r="XDW50"/>
      <c r="XDX50"/>
      <c r="XDY50"/>
      <c r="XDZ50"/>
      <c r="XEA50"/>
      <c r="XEB50"/>
      <c r="XEC50"/>
      <c r="XED50"/>
      <c r="XEE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</row>
    <row r="51" s="19" customFormat="1" spans="1:18 16350:16379">
      <c r="A51" s="2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3"/>
      <c r="M51" s="23"/>
      <c r="N51" s="23"/>
      <c r="O51" s="24"/>
      <c r="P51" s="25"/>
      <c r="Q51" s="26"/>
      <c r="R51" s="26"/>
      <c r="XDV51"/>
      <c r="XDW51"/>
      <c r="XDX51"/>
      <c r="XDY51"/>
      <c r="XDZ51"/>
      <c r="XEA51"/>
      <c r="XEB51"/>
      <c r="XEC51"/>
      <c r="XED51"/>
      <c r="XEE51"/>
      <c r="XEM51"/>
      <c r="XEN51"/>
      <c r="XEO51"/>
      <c r="XEP51"/>
      <c r="XEQ51"/>
      <c r="XER51"/>
      <c r="XES51"/>
      <c r="XET51"/>
      <c r="XEU51"/>
      <c r="XEV51"/>
      <c r="XEW51"/>
      <c r="XEX51"/>
      <c r="XEY51"/>
    </row>
    <row r="52" s="19" customFormat="1" spans="1:18 16350:16379">
      <c r="A52" s="2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3"/>
      <c r="M52" s="23"/>
      <c r="N52" s="23"/>
      <c r="O52" s="24"/>
      <c r="P52" s="25"/>
      <c r="Q52" s="26"/>
      <c r="R52" s="26"/>
      <c r="XDV52"/>
      <c r="XDW52"/>
      <c r="XDX52"/>
      <c r="XDY52"/>
      <c r="XDZ52"/>
      <c r="XEA52"/>
      <c r="XEB52"/>
      <c r="XEC52"/>
      <c r="XED52"/>
      <c r="XEE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</row>
    <row r="53" s="19" customFormat="1" spans="1:18 16350:16379">
      <c r="A53" s="2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3"/>
      <c r="M53" s="23"/>
      <c r="N53" s="23"/>
      <c r="O53" s="24"/>
      <c r="P53" s="25"/>
      <c r="Q53" s="26"/>
      <c r="R53" s="26"/>
      <c r="XDV53"/>
      <c r="XDW53"/>
      <c r="XDX53"/>
      <c r="XDY53"/>
      <c r="XDZ53"/>
      <c r="XEA53"/>
      <c r="XEB53"/>
      <c r="XEC53"/>
      <c r="XED53"/>
      <c r="XEE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</row>
    <row r="54" s="19" customFormat="1" spans="1:18 16350:16379">
      <c r="A54" s="2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3"/>
      <c r="M54" s="23"/>
      <c r="N54" s="23"/>
      <c r="O54" s="24"/>
      <c r="P54" s="25"/>
      <c r="Q54" s="26"/>
      <c r="R54" s="26"/>
      <c r="XDV54"/>
      <c r="XDW54"/>
      <c r="XDX54"/>
      <c r="XDY54"/>
      <c r="XDZ54"/>
      <c r="XEA54"/>
      <c r="XEB54"/>
      <c r="XEC54"/>
      <c r="XED54"/>
      <c r="XEE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</row>
    <row r="55" s="19" customFormat="1" spans="1:18 16350:16379">
      <c r="A55" s="2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3"/>
      <c r="M55" s="23"/>
      <c r="N55" s="23"/>
      <c r="O55" s="24"/>
      <c r="P55" s="25"/>
      <c r="Q55" s="26"/>
      <c r="R55" s="26"/>
      <c r="XDV55"/>
      <c r="XDW55"/>
      <c r="XDX55"/>
      <c r="XDY55"/>
      <c r="XDZ55"/>
      <c r="XEA55"/>
      <c r="XEB55"/>
      <c r="XEC55"/>
      <c r="XED55"/>
      <c r="XEE55"/>
      <c r="XEM55"/>
      <c r="XEN55"/>
      <c r="XEO55"/>
      <c r="XEP55"/>
      <c r="XEQ55"/>
      <c r="XER55"/>
      <c r="XES55"/>
      <c r="XET55"/>
      <c r="XEU55"/>
      <c r="XEV55"/>
      <c r="XEW55"/>
      <c r="XEX55"/>
      <c r="XEY55"/>
    </row>
    <row r="56" s="19" customFormat="1" spans="1:18 16350:16379">
      <c r="A56" s="2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3"/>
      <c r="M56" s="23"/>
      <c r="N56" s="23"/>
      <c r="O56" s="24"/>
      <c r="P56" s="25"/>
      <c r="Q56" s="26"/>
      <c r="R56" s="26"/>
      <c r="XDV56"/>
      <c r="XDW56"/>
      <c r="XDX56"/>
      <c r="XDY56"/>
      <c r="XDZ56"/>
      <c r="XEA56"/>
      <c r="XEB56"/>
      <c r="XEC56"/>
      <c r="XED56"/>
      <c r="XEE56"/>
      <c r="XEM56"/>
      <c r="XEN56"/>
      <c r="XEO56"/>
      <c r="XEP56"/>
      <c r="XEQ56"/>
      <c r="XER56"/>
      <c r="XES56"/>
      <c r="XET56"/>
      <c r="XEU56"/>
      <c r="XEV56"/>
      <c r="XEW56"/>
      <c r="XEX56"/>
      <c r="XEY56"/>
    </row>
    <row r="57" s="19" customFormat="1" spans="1:18 16350:16379">
      <c r="A57" s="2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3"/>
      <c r="M57" s="23"/>
      <c r="N57" s="23"/>
      <c r="O57" s="24"/>
      <c r="P57" s="25"/>
      <c r="Q57" s="26"/>
      <c r="R57" s="26"/>
      <c r="XDV57"/>
      <c r="XDW57"/>
      <c r="XDX57"/>
      <c r="XDY57"/>
      <c r="XDZ57"/>
      <c r="XEA57"/>
      <c r="XEB57"/>
      <c r="XEC57"/>
      <c r="XED57"/>
      <c r="XEE57"/>
      <c r="XEM57"/>
      <c r="XEN57"/>
      <c r="XEO57"/>
      <c r="XEP57"/>
      <c r="XEQ57"/>
      <c r="XER57"/>
      <c r="XES57"/>
      <c r="XET57"/>
      <c r="XEU57"/>
      <c r="XEV57"/>
      <c r="XEW57"/>
      <c r="XEX57"/>
      <c r="XEY57"/>
    </row>
    <row r="58" s="19" customFormat="1" spans="1:18 16350:16379">
      <c r="A58" s="2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3"/>
      <c r="M58" s="23"/>
      <c r="N58" s="23"/>
      <c r="O58" s="24"/>
      <c r="P58" s="25"/>
      <c r="Q58" s="26"/>
      <c r="R58" s="26"/>
      <c r="XDV58"/>
      <c r="XDW58"/>
      <c r="XDX58"/>
      <c r="XDY58"/>
      <c r="XDZ58"/>
      <c r="XEA58"/>
      <c r="XEB58"/>
      <c r="XEC58"/>
      <c r="XED58"/>
      <c r="XEE58"/>
      <c r="XEM58"/>
      <c r="XEN58"/>
      <c r="XEO58"/>
      <c r="XEP58"/>
      <c r="XEQ58"/>
      <c r="XER58"/>
      <c r="XES58"/>
      <c r="XET58"/>
      <c r="XEU58"/>
      <c r="XEV58"/>
      <c r="XEW58"/>
      <c r="XEX58"/>
      <c r="XEY58"/>
    </row>
    <row r="59" s="19" customFormat="1" spans="1:18 16350:16379">
      <c r="A59" s="2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3"/>
      <c r="M59" s="23"/>
      <c r="N59" s="23"/>
      <c r="O59" s="24"/>
      <c r="P59" s="25"/>
      <c r="Q59" s="26"/>
      <c r="R59" s="26"/>
      <c r="XDV59"/>
      <c r="XDW59"/>
      <c r="XDX59"/>
      <c r="XDY59"/>
      <c r="XDZ59"/>
      <c r="XEA59"/>
      <c r="XEB59"/>
      <c r="XEC59"/>
      <c r="XED59"/>
      <c r="XEE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</row>
    <row r="60" s="19" customFormat="1" spans="1:18 16350:16379">
      <c r="A60" s="2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3"/>
      <c r="M60" s="23"/>
      <c r="N60" s="23"/>
      <c r="O60" s="24"/>
      <c r="P60" s="25"/>
      <c r="Q60" s="26"/>
      <c r="R60" s="26"/>
      <c r="XDV60"/>
      <c r="XDW60"/>
      <c r="XDX60"/>
      <c r="XDY60"/>
      <c r="XDZ60"/>
      <c r="XEA60"/>
      <c r="XEB60"/>
      <c r="XEC60"/>
      <c r="XED60"/>
      <c r="XEE60"/>
      <c r="XEM60"/>
      <c r="XEN60"/>
      <c r="XEO60"/>
      <c r="XEP60"/>
      <c r="XEQ60"/>
      <c r="XER60"/>
      <c r="XES60"/>
      <c r="XET60"/>
      <c r="XEU60"/>
      <c r="XEV60"/>
      <c r="XEW60"/>
      <c r="XEX60"/>
      <c r="XEY60"/>
    </row>
    <row r="61" s="19" customFormat="1" spans="1:18 16350:16379">
      <c r="A61" s="2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3"/>
      <c r="M61" s="23"/>
      <c r="N61" s="23"/>
      <c r="O61" s="24"/>
      <c r="P61" s="25"/>
      <c r="Q61" s="26"/>
      <c r="R61" s="26"/>
      <c r="XDV61"/>
      <c r="XDW61"/>
      <c r="XDX61"/>
      <c r="XDY61"/>
      <c r="XDZ61"/>
      <c r="XEA61"/>
      <c r="XEB61"/>
      <c r="XEC61"/>
      <c r="XED61"/>
      <c r="XEE61"/>
      <c r="XEM61"/>
      <c r="XEN61"/>
      <c r="XEO61"/>
      <c r="XEP61"/>
      <c r="XEQ61"/>
      <c r="XER61"/>
      <c r="XES61"/>
      <c r="XET61"/>
      <c r="XEU61"/>
      <c r="XEV61"/>
      <c r="XEW61"/>
      <c r="XEX61"/>
      <c r="XEY61"/>
    </row>
    <row r="62" s="19" customFormat="1" spans="1:18 16350:16379">
      <c r="A62" s="2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3"/>
      <c r="M62" s="23"/>
      <c r="N62" s="23"/>
      <c r="O62" s="24"/>
      <c r="P62" s="25"/>
      <c r="Q62" s="26"/>
      <c r="R62" s="26"/>
      <c r="XDV62"/>
      <c r="XDW62"/>
      <c r="XDX62"/>
      <c r="XDY62"/>
      <c r="XDZ62"/>
      <c r="XEA62"/>
      <c r="XEB62"/>
      <c r="XEC62"/>
      <c r="XED62"/>
      <c r="XEE62"/>
      <c r="XEM62"/>
      <c r="XEN62"/>
      <c r="XEO62"/>
      <c r="XEP62"/>
      <c r="XEQ62"/>
      <c r="XER62"/>
      <c r="XES62"/>
      <c r="XET62"/>
      <c r="XEU62"/>
      <c r="XEV62"/>
      <c r="XEW62"/>
      <c r="XEX62"/>
      <c r="XEY62"/>
    </row>
    <row r="63" s="19" customFormat="1" spans="1:18 16350:16379">
      <c r="A63" s="2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3"/>
      <c r="M63" s="23"/>
      <c r="N63" s="23"/>
      <c r="O63" s="24"/>
      <c r="P63" s="25"/>
      <c r="Q63" s="26"/>
      <c r="R63" s="26"/>
      <c r="XDV63"/>
      <c r="XDW63"/>
      <c r="XDX63"/>
      <c r="XDY63"/>
      <c r="XDZ63"/>
      <c r="XEA63"/>
      <c r="XEB63"/>
      <c r="XEC63"/>
      <c r="XED63"/>
      <c r="XEE63"/>
      <c r="XEM63"/>
      <c r="XEN63"/>
      <c r="XEO63"/>
      <c r="XEP63"/>
      <c r="XEQ63"/>
      <c r="XER63"/>
      <c r="XES63"/>
      <c r="XET63"/>
      <c r="XEU63"/>
      <c r="XEV63"/>
      <c r="XEW63"/>
      <c r="XEX63"/>
      <c r="XEY63"/>
    </row>
    <row r="64" s="19" customFormat="1" spans="1:18 16350:16379">
      <c r="A64" s="2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3"/>
      <c r="M64" s="23"/>
      <c r="N64" s="23"/>
      <c r="O64" s="24"/>
      <c r="P64" s="25"/>
      <c r="Q64" s="26"/>
      <c r="R64" s="26"/>
      <c r="XDV64"/>
      <c r="XDW64"/>
      <c r="XDX64"/>
      <c r="XDY64"/>
      <c r="XDZ64"/>
      <c r="XEA64"/>
      <c r="XEB64"/>
      <c r="XEC64"/>
      <c r="XED64"/>
      <c r="XEE64"/>
      <c r="XEM64"/>
      <c r="XEN64"/>
      <c r="XEO64"/>
      <c r="XEP64"/>
      <c r="XEQ64"/>
      <c r="XER64"/>
      <c r="XES64"/>
      <c r="XET64"/>
      <c r="XEU64"/>
      <c r="XEV64"/>
      <c r="XEW64"/>
      <c r="XEX64"/>
      <c r="XEY64"/>
    </row>
    <row r="65" s="19" customFormat="1" spans="1:18 16350:16379">
      <c r="A65" s="2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3"/>
      <c r="M65" s="23"/>
      <c r="N65" s="23"/>
      <c r="O65" s="24"/>
      <c r="P65" s="25"/>
      <c r="Q65" s="26"/>
      <c r="R65" s="26"/>
      <c r="XDV65"/>
      <c r="XDW65"/>
      <c r="XDX65"/>
      <c r="XDY65"/>
      <c r="XDZ65"/>
      <c r="XEA65"/>
      <c r="XEB65"/>
      <c r="XEC65"/>
      <c r="XED65"/>
      <c r="XEE65"/>
      <c r="XEM65"/>
      <c r="XEN65"/>
      <c r="XEO65"/>
      <c r="XEP65"/>
      <c r="XEQ65"/>
      <c r="XER65"/>
      <c r="XES65"/>
      <c r="XET65"/>
      <c r="XEU65"/>
      <c r="XEV65"/>
      <c r="XEW65"/>
      <c r="XEX65"/>
      <c r="XEY65"/>
    </row>
    <row r="66" s="19" customFormat="1" spans="1:18 16350:16379">
      <c r="A66" s="2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3"/>
      <c r="M66" s="23"/>
      <c r="N66" s="23"/>
      <c r="O66" s="24"/>
      <c r="P66" s="25"/>
      <c r="Q66" s="26"/>
      <c r="R66" s="26"/>
      <c r="XDV66"/>
      <c r="XDW66"/>
      <c r="XDX66"/>
      <c r="XDY66"/>
      <c r="XDZ66"/>
      <c r="XEA66"/>
      <c r="XEB66"/>
      <c r="XEC66"/>
      <c r="XED66"/>
      <c r="XEE66"/>
      <c r="XEM66"/>
      <c r="XEN66"/>
      <c r="XEO66"/>
      <c r="XEP66"/>
      <c r="XEQ66"/>
      <c r="XER66"/>
      <c r="XES66"/>
      <c r="XET66"/>
      <c r="XEU66"/>
      <c r="XEV66"/>
      <c r="XEW66"/>
      <c r="XEX66"/>
      <c r="XEY66"/>
    </row>
    <row r="67" s="19" customFormat="1" spans="1:18 16350:16379">
      <c r="A67" s="2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3"/>
      <c r="M67" s="23"/>
      <c r="N67" s="23"/>
      <c r="O67" s="24"/>
      <c r="P67" s="25"/>
      <c r="Q67" s="26"/>
      <c r="R67" s="26"/>
      <c r="XDV67"/>
      <c r="XDW67"/>
      <c r="XDX67"/>
      <c r="XDY67"/>
      <c r="XDZ67"/>
      <c r="XEA67"/>
      <c r="XEB67"/>
      <c r="XEC67"/>
      <c r="XED67"/>
      <c r="XEE67"/>
      <c r="XEM67"/>
      <c r="XEN67"/>
      <c r="XEO67"/>
      <c r="XEP67"/>
      <c r="XEQ67"/>
      <c r="XER67"/>
      <c r="XES67"/>
      <c r="XET67"/>
      <c r="XEU67"/>
      <c r="XEV67"/>
      <c r="XEW67"/>
      <c r="XEX67"/>
      <c r="XEY67"/>
    </row>
    <row r="68" s="19" customFormat="1" spans="1:18 16350:16379">
      <c r="A68" s="2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3"/>
      <c r="M68" s="23"/>
      <c r="N68" s="23"/>
      <c r="O68" s="24"/>
      <c r="P68" s="25"/>
      <c r="Q68" s="26"/>
      <c r="R68" s="26"/>
      <c r="XDV68"/>
      <c r="XDW68"/>
      <c r="XDX68"/>
      <c r="XDY68"/>
      <c r="XDZ68"/>
      <c r="XEA68"/>
      <c r="XEB68"/>
      <c r="XEC68"/>
      <c r="XED68"/>
      <c r="XEE68"/>
      <c r="XEM68"/>
      <c r="XEN68"/>
      <c r="XEO68"/>
      <c r="XEP68"/>
      <c r="XEQ68"/>
      <c r="XER68"/>
      <c r="XES68"/>
      <c r="XET68"/>
      <c r="XEU68"/>
      <c r="XEV68"/>
      <c r="XEW68"/>
      <c r="XEX68"/>
      <c r="XEY68"/>
    </row>
    <row r="69" s="19" customFormat="1" spans="1:18 16350:16379">
      <c r="A69" s="2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3"/>
      <c r="M69" s="23"/>
      <c r="N69" s="23"/>
      <c r="O69" s="24"/>
      <c r="P69" s="25"/>
      <c r="Q69" s="26"/>
      <c r="R69" s="26"/>
      <c r="XDV69"/>
      <c r="XDW69"/>
      <c r="XDX69"/>
      <c r="XDY69"/>
      <c r="XDZ69"/>
      <c r="XEA69"/>
      <c r="XEB69"/>
      <c r="XEC69"/>
      <c r="XED69"/>
      <c r="XEE69"/>
      <c r="XEM69"/>
      <c r="XEN69"/>
      <c r="XEO69"/>
      <c r="XEP69"/>
      <c r="XEQ69"/>
      <c r="XER69"/>
      <c r="XES69"/>
      <c r="XET69"/>
      <c r="XEU69"/>
      <c r="XEV69"/>
      <c r="XEW69"/>
      <c r="XEX69"/>
      <c r="XEY69"/>
    </row>
    <row r="70" s="19" customFormat="1" spans="1:18 16350:16379">
      <c r="A70" s="2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3"/>
      <c r="M70" s="23"/>
      <c r="N70" s="23"/>
      <c r="O70" s="24"/>
      <c r="P70" s="25"/>
      <c r="Q70" s="26"/>
      <c r="R70" s="26"/>
      <c r="XDV70"/>
      <c r="XDW70"/>
      <c r="XDX70"/>
      <c r="XDY70"/>
      <c r="XDZ70"/>
      <c r="XEA70"/>
      <c r="XEB70"/>
      <c r="XEC70"/>
      <c r="XED70"/>
      <c r="XEE70"/>
      <c r="XEM70"/>
      <c r="XEN70"/>
      <c r="XEO70"/>
      <c r="XEP70"/>
      <c r="XEQ70"/>
      <c r="XER70"/>
      <c r="XES70"/>
      <c r="XET70"/>
      <c r="XEU70"/>
      <c r="XEV70"/>
      <c r="XEW70"/>
      <c r="XEX70"/>
      <c r="XEY70"/>
    </row>
    <row r="71" s="19" customFormat="1" spans="1:18 16350:16379">
      <c r="A71" s="2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3"/>
      <c r="M71" s="23"/>
      <c r="N71" s="23"/>
      <c r="O71" s="24"/>
      <c r="P71" s="25"/>
      <c r="Q71" s="26"/>
      <c r="R71" s="26"/>
      <c r="XDV71"/>
      <c r="XDW71"/>
      <c r="XDX71"/>
      <c r="XDY71"/>
      <c r="XDZ71"/>
      <c r="XEA71"/>
      <c r="XEB71"/>
      <c r="XEC71"/>
      <c r="XED71"/>
      <c r="XEE71"/>
      <c r="XEM71"/>
      <c r="XEN71"/>
      <c r="XEO71"/>
      <c r="XEP71"/>
      <c r="XEQ71"/>
      <c r="XER71"/>
      <c r="XES71"/>
      <c r="XET71"/>
      <c r="XEU71"/>
      <c r="XEV71"/>
      <c r="XEW71"/>
      <c r="XEX71"/>
      <c r="XEY71"/>
    </row>
    <row r="73" s="19" customFormat="1" spans="1:18 16350:16379">
      <c r="A73" s="2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3"/>
      <c r="M73" s="23"/>
      <c r="N73" s="23"/>
      <c r="O73" s="24"/>
      <c r="P73" s="25"/>
      <c r="Q73" s="26"/>
      <c r="R73" s="26"/>
      <c r="XDV73"/>
      <c r="XDW73"/>
      <c r="XDX73"/>
      <c r="XDY73"/>
      <c r="XDZ73"/>
      <c r="XEA73"/>
      <c r="XEB73"/>
      <c r="XEC73"/>
      <c r="XED73"/>
      <c r="XEE73"/>
      <c r="XEM73"/>
      <c r="XEN73"/>
      <c r="XEO73"/>
      <c r="XEP73"/>
      <c r="XEQ73"/>
      <c r="XER73"/>
      <c r="XES73"/>
      <c r="XET73"/>
      <c r="XEU73"/>
      <c r="XEV73"/>
      <c r="XEW73"/>
      <c r="XEX73"/>
      <c r="XEY73"/>
    </row>
    <row r="74" s="19" customFormat="1" spans="1:18 16350:16379">
      <c r="A74" s="2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3"/>
      <c r="M74" s="23"/>
      <c r="N74" s="23"/>
      <c r="O74" s="24"/>
      <c r="P74" s="25"/>
      <c r="Q74" s="26"/>
      <c r="R74" s="26"/>
      <c r="XDV74"/>
      <c r="XDW74"/>
      <c r="XDX74"/>
      <c r="XDY74"/>
      <c r="XDZ74"/>
      <c r="XEA74"/>
      <c r="XEB74"/>
      <c r="XEC74"/>
      <c r="XED74"/>
      <c r="XEE74"/>
      <c r="XEM74"/>
      <c r="XEN74"/>
      <c r="XEO74"/>
      <c r="XEP74"/>
      <c r="XEQ74"/>
      <c r="XER74"/>
      <c r="XES74"/>
      <c r="XET74"/>
      <c r="XEU74"/>
      <c r="XEV74"/>
      <c r="XEW74"/>
      <c r="XEX74"/>
      <c r="XEY74"/>
    </row>
    <row r="75" s="19" customFormat="1" spans="1:18 16350:16379">
      <c r="A75" s="2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3"/>
      <c r="M75" s="23"/>
      <c r="N75" s="23"/>
      <c r="O75" s="24"/>
      <c r="P75" s="25"/>
      <c r="Q75" s="26"/>
      <c r="R75" s="26"/>
      <c r="XDV75"/>
      <c r="XDW75"/>
      <c r="XDX75"/>
      <c r="XDY75"/>
      <c r="XDZ75"/>
      <c r="XEA75"/>
      <c r="XEB75"/>
      <c r="XEC75"/>
      <c r="XED75"/>
      <c r="XEE75"/>
      <c r="XEM75"/>
      <c r="XEN75"/>
      <c r="XEO75"/>
      <c r="XEP75"/>
      <c r="XEQ75"/>
      <c r="XER75"/>
      <c r="XES75"/>
      <c r="XET75"/>
      <c r="XEU75"/>
      <c r="XEV75"/>
      <c r="XEW75"/>
      <c r="XEX75"/>
      <c r="XEY75"/>
    </row>
    <row r="77" s="19" customFormat="1" ht="12" spans="1:18 16350:16379">
      <c r="A77" s="2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3"/>
      <c r="M77" s="23"/>
      <c r="N77" s="23"/>
      <c r="O77" s="24"/>
      <c r="P77" s="25"/>
      <c r="Q77" s="26"/>
      <c r="R77" s="26"/>
    </row>
    <row r="78" s="19" customFormat="1" spans="1:18 16350:16379">
      <c r="A78" s="2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3"/>
      <c r="M78" s="23"/>
      <c r="N78" s="23"/>
      <c r="O78" s="24"/>
      <c r="P78" s="25"/>
      <c r="Q78" s="26"/>
      <c r="R78" s="26"/>
      <c r="XDV78"/>
      <c r="XDW78"/>
      <c r="XDX78"/>
      <c r="XDY78"/>
      <c r="XDZ78"/>
      <c r="XEA78"/>
      <c r="XEB78"/>
      <c r="XEC78"/>
      <c r="XED78"/>
      <c r="XEE78"/>
      <c r="XEF78" s="19"/>
      <c r="XEG78" s="19"/>
      <c r="XEH78" s="19"/>
      <c r="XEI78" s="19"/>
      <c r="XEJ78" s="19"/>
      <c r="XEK78" s="19"/>
      <c r="XEL78" s="19"/>
      <c r="XEM78"/>
      <c r="XEN78"/>
      <c r="XEO78"/>
      <c r="XEP78"/>
      <c r="XEQ78"/>
      <c r="XER78"/>
      <c r="XES78"/>
      <c r="XET78"/>
      <c r="XEU78"/>
      <c r="XEV78"/>
      <c r="XEW78"/>
      <c r="XEX78"/>
      <c r="XEY78"/>
    </row>
    <row r="79" s="19" customFormat="1" spans="1:18 16350:16379">
      <c r="A79" s="2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3"/>
      <c r="M79" s="23"/>
      <c r="N79" s="23"/>
      <c r="O79" s="24"/>
      <c r="P79" s="25"/>
      <c r="Q79" s="26"/>
      <c r="R79" s="26"/>
      <c r="XDV79"/>
      <c r="XDW79"/>
      <c r="XDX79"/>
      <c r="XDY79"/>
      <c r="XDZ79"/>
      <c r="XEA79"/>
      <c r="XEB79"/>
      <c r="XEC79"/>
      <c r="XED79"/>
      <c r="XEE79"/>
      <c r="XEM79"/>
      <c r="XEN79"/>
      <c r="XEO79"/>
      <c r="XEP79"/>
      <c r="XEQ79"/>
      <c r="XER79"/>
      <c r="XES79"/>
      <c r="XET79"/>
      <c r="XEU79"/>
      <c r="XEV79"/>
      <c r="XEW79"/>
      <c r="XEX79"/>
      <c r="XEY79"/>
    </row>
    <row r="80" s="19" customFormat="1" spans="1:18 16350:16379">
      <c r="A80" s="2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3"/>
      <c r="M80" s="23"/>
      <c r="N80" s="23"/>
      <c r="O80" s="24"/>
      <c r="P80" s="25"/>
      <c r="Q80" s="26"/>
      <c r="R80" s="26"/>
      <c r="XDV80"/>
      <c r="XDW80"/>
      <c r="XDX80"/>
      <c r="XDY80"/>
      <c r="XDZ80"/>
      <c r="XEA80"/>
      <c r="XEB80"/>
      <c r="XEC80"/>
      <c r="XED80"/>
      <c r="XEE80"/>
      <c r="XEM80"/>
      <c r="XEN80"/>
      <c r="XEO80"/>
      <c r="XEP80"/>
      <c r="XEQ80"/>
      <c r="XER80"/>
      <c r="XES80"/>
      <c r="XET80"/>
      <c r="XEU80"/>
      <c r="XEV80"/>
      <c r="XEW80"/>
      <c r="XEX80"/>
      <c r="XEY80"/>
    </row>
    <row r="81" s="19" customFormat="1" spans="1:18 16350:16379">
      <c r="A81" s="2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3"/>
      <c r="M81" s="23"/>
      <c r="N81" s="23"/>
      <c r="O81" s="24"/>
      <c r="P81" s="25"/>
      <c r="Q81" s="26"/>
      <c r="R81" s="26"/>
      <c r="XDV81"/>
      <c r="XDW81"/>
      <c r="XDX81"/>
      <c r="XDY81"/>
      <c r="XDZ81"/>
      <c r="XEA81"/>
      <c r="XEB81"/>
      <c r="XEC81"/>
      <c r="XED81"/>
      <c r="XEE81"/>
      <c r="XEM81"/>
      <c r="XEN81"/>
      <c r="XEO81"/>
      <c r="XEP81"/>
      <c r="XEQ81"/>
      <c r="XER81"/>
      <c r="XES81"/>
      <c r="XET81"/>
      <c r="XEU81"/>
      <c r="XEV81"/>
      <c r="XEW81"/>
      <c r="XEX81"/>
      <c r="XEY81"/>
    </row>
    <row r="82" s="19" customFormat="1" spans="1:18 16350:16379">
      <c r="A82" s="2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3"/>
      <c r="M82" s="23"/>
      <c r="N82" s="23"/>
      <c r="O82" s="24"/>
      <c r="P82" s="25"/>
      <c r="Q82" s="26"/>
      <c r="R82" s="26"/>
      <c r="XDV82"/>
      <c r="XDW82"/>
      <c r="XDX82"/>
      <c r="XDY82"/>
      <c r="XDZ82"/>
      <c r="XEA82"/>
      <c r="XEB82"/>
      <c r="XEC82"/>
      <c r="XED82"/>
      <c r="XEE82"/>
      <c r="XEM82"/>
      <c r="XEN82"/>
      <c r="XEO82"/>
      <c r="XEP82"/>
      <c r="XEQ82"/>
      <c r="XER82"/>
      <c r="XES82"/>
      <c r="XET82"/>
      <c r="XEU82"/>
      <c r="XEV82"/>
      <c r="XEW82"/>
      <c r="XEX82"/>
      <c r="XEY82"/>
    </row>
    <row r="83" s="19" customFormat="1" spans="1:18 16350:16379">
      <c r="A83" s="2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3"/>
      <c r="M83" s="23"/>
      <c r="N83" s="23"/>
      <c r="O83" s="24"/>
      <c r="P83" s="25"/>
      <c r="Q83" s="26"/>
      <c r="R83" s="26"/>
      <c r="XDV83"/>
      <c r="XDW83"/>
      <c r="XDX83"/>
      <c r="XDY83"/>
      <c r="XDZ83"/>
      <c r="XEA83"/>
      <c r="XEB83"/>
      <c r="XEC83"/>
      <c r="XED83"/>
      <c r="XEE83"/>
      <c r="XEM83"/>
      <c r="XEN83"/>
      <c r="XEO83"/>
      <c r="XEP83"/>
      <c r="XEQ83"/>
      <c r="XER83"/>
      <c r="XES83"/>
      <c r="XET83"/>
      <c r="XEU83"/>
      <c r="XEV83"/>
      <c r="XEW83"/>
      <c r="XEX83"/>
      <c r="XEY83"/>
    </row>
    <row r="84" s="19" customFormat="1" spans="1:18 16350:16379">
      <c r="A84" s="2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3"/>
      <c r="M84" s="23"/>
      <c r="N84" s="23"/>
      <c r="O84" s="24"/>
      <c r="P84" s="25"/>
      <c r="Q84" s="26"/>
      <c r="R84" s="26"/>
      <c r="XDV84"/>
      <c r="XDW84"/>
      <c r="XDX84"/>
      <c r="XDY84"/>
      <c r="XDZ84"/>
      <c r="XEA84"/>
      <c r="XEB84"/>
      <c r="XEC84"/>
      <c r="XED84"/>
      <c r="XEE84"/>
      <c r="XEM84"/>
      <c r="XEN84"/>
      <c r="XEO84"/>
      <c r="XEP84"/>
      <c r="XEQ84"/>
      <c r="XER84"/>
      <c r="XES84"/>
      <c r="XET84"/>
      <c r="XEU84"/>
      <c r="XEV84"/>
      <c r="XEW84"/>
      <c r="XEX84"/>
      <c r="XEY84"/>
    </row>
    <row r="85" s="19" customFormat="1" spans="1:18 16350:16379">
      <c r="A85" s="2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3"/>
      <c r="M85" s="23"/>
      <c r="N85" s="23"/>
      <c r="O85" s="24"/>
      <c r="P85" s="25"/>
      <c r="Q85" s="26"/>
      <c r="R85" s="26"/>
      <c r="XDV85"/>
      <c r="XDW85"/>
      <c r="XDX85"/>
      <c r="XDY85"/>
      <c r="XDZ85"/>
      <c r="XEA85"/>
      <c r="XEB85"/>
      <c r="XEC85"/>
      <c r="XED85"/>
      <c r="XEE85"/>
      <c r="XEM85"/>
      <c r="XEN85"/>
      <c r="XEO85"/>
      <c r="XEP85"/>
      <c r="XEQ85"/>
      <c r="XER85"/>
      <c r="XES85"/>
      <c r="XET85"/>
      <c r="XEU85"/>
      <c r="XEV85"/>
      <c r="XEW85"/>
      <c r="XEX85"/>
      <c r="XEY85"/>
    </row>
    <row r="86" s="19" customFormat="1" spans="1:18 16350:16379">
      <c r="A86" s="2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3"/>
      <c r="M86" s="23"/>
      <c r="N86" s="23"/>
      <c r="O86" s="24"/>
      <c r="P86" s="25"/>
      <c r="Q86" s="26"/>
      <c r="R86" s="26"/>
      <c r="XDV86"/>
      <c r="XDW86"/>
      <c r="XDX86"/>
      <c r="XDY86"/>
      <c r="XDZ86"/>
      <c r="XEA86"/>
      <c r="XEB86"/>
      <c r="XEC86"/>
      <c r="XED86"/>
      <c r="XEE86"/>
      <c r="XEM86"/>
      <c r="XEN86"/>
      <c r="XEO86"/>
      <c r="XEP86"/>
      <c r="XEQ86"/>
      <c r="XER86"/>
      <c r="XES86"/>
      <c r="XET86"/>
      <c r="XEU86"/>
      <c r="XEV86"/>
      <c r="XEW86"/>
      <c r="XEX86"/>
      <c r="XEY86"/>
    </row>
    <row r="87" s="19" customFormat="1" spans="1:18 16350:16379">
      <c r="A87" s="2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3"/>
      <c r="M87" s="23"/>
      <c r="N87" s="23"/>
      <c r="O87" s="24"/>
      <c r="P87" s="25"/>
      <c r="Q87" s="26"/>
      <c r="R87" s="26"/>
      <c r="XDV87"/>
      <c r="XDW87"/>
      <c r="XDX87"/>
      <c r="XDY87"/>
      <c r="XDZ87"/>
      <c r="XEA87"/>
      <c r="XEB87"/>
      <c r="XEC87"/>
      <c r="XED87"/>
      <c r="XEE87"/>
      <c r="XEM87"/>
      <c r="XEN87"/>
      <c r="XEO87"/>
      <c r="XEP87"/>
      <c r="XEQ87"/>
      <c r="XER87"/>
      <c r="XES87"/>
      <c r="XET87"/>
      <c r="XEU87"/>
      <c r="XEV87"/>
      <c r="XEW87"/>
      <c r="XEX87"/>
      <c r="XEY87"/>
    </row>
    <row r="88" s="19" customFormat="1" spans="1:18 16350:16379">
      <c r="A88" s="2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3"/>
      <c r="M88" s="23"/>
      <c r="N88" s="23"/>
      <c r="O88" s="24"/>
      <c r="P88" s="25"/>
      <c r="Q88" s="26"/>
      <c r="R88" s="26"/>
      <c r="XDV88"/>
      <c r="XDW88"/>
      <c r="XDX88"/>
      <c r="XDY88"/>
      <c r="XDZ88"/>
      <c r="XEA88"/>
      <c r="XEB88"/>
      <c r="XEC88"/>
      <c r="XED88"/>
      <c r="XEE88"/>
      <c r="XEM88"/>
      <c r="XEN88"/>
      <c r="XEO88"/>
      <c r="XEP88"/>
      <c r="XEQ88"/>
      <c r="XER88"/>
      <c r="XES88"/>
      <c r="XET88"/>
      <c r="XEU88"/>
      <c r="XEV88"/>
      <c r="XEW88"/>
      <c r="XEX88"/>
      <c r="XEY88"/>
    </row>
    <row r="89" s="19" customFormat="1" spans="1:18 16350:16379">
      <c r="A89" s="2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3"/>
      <c r="M89" s="23"/>
      <c r="N89" s="23"/>
      <c r="O89" s="24"/>
      <c r="P89" s="25"/>
      <c r="Q89" s="26"/>
      <c r="R89" s="26"/>
      <c r="XDV89"/>
      <c r="XDW89"/>
      <c r="XDX89"/>
      <c r="XDY89"/>
      <c r="XDZ89"/>
      <c r="XEA89"/>
      <c r="XEB89"/>
      <c r="XEC89"/>
      <c r="XED89"/>
      <c r="XEE89"/>
      <c r="XEM89"/>
      <c r="XEN89"/>
      <c r="XEO89"/>
      <c r="XEP89"/>
      <c r="XEQ89"/>
      <c r="XER89"/>
      <c r="XES89"/>
      <c r="XET89"/>
      <c r="XEU89"/>
      <c r="XEV89"/>
      <c r="XEW89"/>
      <c r="XEX89"/>
      <c r="XEY89"/>
    </row>
    <row r="90" s="19" customFormat="1" spans="1:18 16350:16379">
      <c r="A90" s="2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3"/>
      <c r="M90" s="23"/>
      <c r="N90" s="23"/>
      <c r="O90" s="24"/>
      <c r="P90" s="25"/>
      <c r="Q90" s="26"/>
      <c r="R90" s="26"/>
      <c r="XDV90"/>
      <c r="XDW90"/>
      <c r="XDX90"/>
      <c r="XDY90"/>
      <c r="XDZ90"/>
      <c r="XEA90"/>
      <c r="XEB90"/>
      <c r="XEC90"/>
      <c r="XED90"/>
      <c r="XEE90"/>
      <c r="XEM90"/>
      <c r="XEN90"/>
      <c r="XEO90"/>
      <c r="XEP90"/>
      <c r="XEQ90"/>
      <c r="XER90"/>
      <c r="XES90"/>
      <c r="XET90"/>
      <c r="XEU90"/>
      <c r="XEV90"/>
      <c r="XEW90"/>
      <c r="XEX90"/>
      <c r="XEY90"/>
    </row>
    <row r="91" s="19" customFormat="1" spans="1:18 16350:16379">
      <c r="A91" s="2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3"/>
      <c r="M91" s="23"/>
      <c r="N91" s="23"/>
      <c r="O91" s="24"/>
      <c r="P91" s="25"/>
      <c r="Q91" s="26"/>
      <c r="R91" s="26"/>
      <c r="XDV91"/>
      <c r="XDW91"/>
      <c r="XDX91"/>
      <c r="XDY91"/>
      <c r="XDZ91"/>
      <c r="XEA91"/>
      <c r="XEB91"/>
      <c r="XEC91"/>
      <c r="XED91"/>
      <c r="XEE91"/>
      <c r="XEM91"/>
      <c r="XEN91"/>
      <c r="XEO91"/>
      <c r="XEP91"/>
      <c r="XEQ91"/>
      <c r="XER91"/>
      <c r="XES91"/>
      <c r="XET91"/>
      <c r="XEU91"/>
      <c r="XEV91"/>
      <c r="XEW91"/>
      <c r="XEX91"/>
      <c r="XEY91"/>
    </row>
    <row r="92" s="19" customFormat="1" spans="1:18 16350:16379">
      <c r="A92" s="2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3"/>
      <c r="M92" s="23"/>
      <c r="N92" s="23"/>
      <c r="O92" s="24"/>
      <c r="P92" s="25"/>
      <c r="Q92" s="26"/>
      <c r="R92" s="26"/>
      <c r="XDV92"/>
      <c r="XDW92"/>
      <c r="XDX92"/>
      <c r="XDY92"/>
      <c r="XDZ92"/>
      <c r="XEA92"/>
      <c r="XEB92"/>
      <c r="XEC92"/>
      <c r="XED92"/>
      <c r="XEE92"/>
      <c r="XEM92"/>
      <c r="XEN92"/>
      <c r="XEO92"/>
      <c r="XEP92"/>
      <c r="XEQ92"/>
      <c r="XER92"/>
      <c r="XES92"/>
      <c r="XET92"/>
      <c r="XEU92"/>
      <c r="XEV92"/>
      <c r="XEW92"/>
      <c r="XEX92"/>
      <c r="XEY92"/>
    </row>
    <row r="93" s="19" customFormat="1" spans="1:18 16350:16379">
      <c r="A93" s="2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3"/>
      <c r="M93" s="23"/>
      <c r="N93" s="23"/>
      <c r="O93" s="24"/>
      <c r="P93" s="25"/>
      <c r="Q93" s="26"/>
      <c r="R93" s="26"/>
      <c r="XDV93"/>
      <c r="XDW93"/>
      <c r="XDX93"/>
      <c r="XDY93"/>
      <c r="XDZ93"/>
      <c r="XEA93"/>
      <c r="XEB93"/>
      <c r="XEC93"/>
      <c r="XED93"/>
      <c r="XEE93"/>
      <c r="XEM93"/>
      <c r="XEN93"/>
      <c r="XEO93"/>
      <c r="XEP93"/>
      <c r="XEQ93"/>
      <c r="XER93"/>
      <c r="XES93"/>
      <c r="XET93"/>
      <c r="XEU93"/>
      <c r="XEV93"/>
      <c r="XEW93"/>
      <c r="XEX93"/>
      <c r="XEY93"/>
    </row>
    <row r="95" s="19" customFormat="1" spans="1:18 16350:16379">
      <c r="A95" s="2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3"/>
      <c r="M95" s="23"/>
      <c r="N95" s="23"/>
      <c r="O95" s="24"/>
      <c r="P95" s="25"/>
      <c r="Q95" s="26"/>
      <c r="R95" s="26"/>
      <c r="XDV95"/>
      <c r="XDW95"/>
      <c r="XDX95"/>
      <c r="XDY95"/>
      <c r="XDZ95"/>
      <c r="XEA95"/>
      <c r="XEB95"/>
      <c r="XEC95"/>
      <c r="XED95"/>
      <c r="XEE95"/>
      <c r="XEM95"/>
      <c r="XEN95"/>
      <c r="XEO95"/>
      <c r="XEP95"/>
      <c r="XEQ95"/>
      <c r="XER95"/>
      <c r="XES95"/>
      <c r="XET95"/>
      <c r="XEU95"/>
      <c r="XEV95"/>
      <c r="XEW95"/>
      <c r="XEX95"/>
      <c r="XEY95"/>
    </row>
    <row r="96" s="19" customFormat="1" spans="1:18 16350:16379">
      <c r="A96" s="2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3"/>
      <c r="M96" s="23"/>
      <c r="N96" s="23"/>
      <c r="O96" s="24"/>
      <c r="P96" s="25"/>
      <c r="Q96" s="26"/>
      <c r="R96" s="26"/>
      <c r="XDV96"/>
      <c r="XDW96"/>
      <c r="XDX96"/>
      <c r="XDY96"/>
      <c r="XDZ96"/>
      <c r="XEA96"/>
      <c r="XEB96"/>
      <c r="XEC96"/>
      <c r="XED96"/>
      <c r="XEE96"/>
      <c r="XEM96"/>
      <c r="XEN96"/>
      <c r="XEO96"/>
      <c r="XEP96"/>
      <c r="XEQ96"/>
      <c r="XER96"/>
      <c r="XES96"/>
      <c r="XET96"/>
      <c r="XEU96"/>
      <c r="XEV96"/>
      <c r="XEW96"/>
      <c r="XEX96"/>
      <c r="XEY96"/>
    </row>
    <row r="97" s="19" customFormat="1" spans="1:18 16350:16379">
      <c r="A97" s="21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3"/>
      <c r="M97" s="23"/>
      <c r="N97" s="23"/>
      <c r="O97" s="24"/>
      <c r="P97" s="25"/>
      <c r="Q97" s="26"/>
      <c r="R97" s="26"/>
      <c r="XDV97"/>
      <c r="XDW97"/>
      <c r="XDX97"/>
      <c r="XDY97"/>
      <c r="XDZ97"/>
      <c r="XEA97"/>
      <c r="XEB97"/>
      <c r="XEC97"/>
      <c r="XED97"/>
      <c r="XEE97"/>
      <c r="XEM97"/>
      <c r="XEN97"/>
      <c r="XEO97"/>
      <c r="XEP97"/>
      <c r="XEQ97"/>
      <c r="XER97"/>
      <c r="XES97"/>
      <c r="XET97"/>
      <c r="XEU97"/>
      <c r="XEV97"/>
      <c r="XEW97"/>
      <c r="XEX97"/>
      <c r="XEY97"/>
    </row>
    <row r="99" s="19" customFormat="1" ht="12" spans="1:18 16350:16379">
      <c r="A99" s="21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3"/>
      <c r="M99" s="23"/>
      <c r="N99" s="23"/>
      <c r="O99" s="24"/>
      <c r="P99" s="25"/>
      <c r="Q99" s="26"/>
      <c r="R99" s="26"/>
    </row>
    <row r="100" s="19" customFormat="1" spans="1:18 16350:16379">
      <c r="A100" s="21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3"/>
      <c r="M100" s="23"/>
      <c r="N100" s="23"/>
      <c r="O100" s="24"/>
      <c r="P100" s="25"/>
      <c r="Q100" s="26"/>
      <c r="R100" s="26"/>
      <c r="XDV100"/>
      <c r="XDW100"/>
      <c r="XDX100"/>
      <c r="XDY100"/>
      <c r="XDZ100"/>
      <c r="XEA100"/>
      <c r="XEB100"/>
      <c r="XEC100"/>
      <c r="XED100"/>
      <c r="XEE100"/>
      <c r="XEF100" s="19"/>
      <c r="XEG100" s="19"/>
      <c r="XEH100" s="19"/>
      <c r="XEI100" s="19"/>
      <c r="XEJ100" s="19"/>
      <c r="XEK100" s="19"/>
      <c r="XEL100" s="19"/>
      <c r="XEM100"/>
      <c r="XEN100"/>
      <c r="XEO100"/>
      <c r="XEP100"/>
      <c r="XEQ100"/>
      <c r="XER100"/>
      <c r="XES100"/>
      <c r="XET100"/>
      <c r="XEU100"/>
      <c r="XEV100"/>
      <c r="XEW100"/>
      <c r="XEX100"/>
      <c r="XEY100"/>
    </row>
    <row r="101" s="19" customFormat="1" spans="1:18 16350:16379">
      <c r="A101" s="21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3"/>
      <c r="M101" s="23"/>
      <c r="N101" s="23"/>
      <c r="O101" s="24"/>
      <c r="P101" s="25"/>
      <c r="Q101" s="26"/>
      <c r="R101" s="26"/>
      <c r="XDV101"/>
      <c r="XDW101"/>
      <c r="XDX101"/>
      <c r="XDY101"/>
      <c r="XDZ101"/>
      <c r="XEA101"/>
      <c r="XEB101"/>
      <c r="XEC101"/>
      <c r="XED101"/>
      <c r="XEE101"/>
      <c r="XEM101"/>
      <c r="XEN101"/>
      <c r="XEO101"/>
      <c r="XEP101"/>
      <c r="XEQ101"/>
      <c r="XER101"/>
      <c r="XES101"/>
      <c r="XET101"/>
      <c r="XEU101"/>
      <c r="XEV101"/>
      <c r="XEW101"/>
      <c r="XEX101"/>
      <c r="XEY101"/>
    </row>
    <row r="102" s="19" customFormat="1" spans="1:18 16350:16379">
      <c r="A102" s="21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3"/>
      <c r="M102" s="23"/>
      <c r="N102" s="23"/>
      <c r="O102" s="24"/>
      <c r="P102" s="25"/>
      <c r="Q102" s="26"/>
      <c r="R102" s="26"/>
      <c r="XDV102"/>
      <c r="XDW102"/>
      <c r="XDX102"/>
      <c r="XDY102"/>
      <c r="XDZ102"/>
      <c r="XEA102"/>
      <c r="XEB102"/>
      <c r="XEC102"/>
      <c r="XED102"/>
      <c r="XEE102"/>
      <c r="XEM102"/>
      <c r="XEN102"/>
      <c r="XEO102"/>
      <c r="XEP102"/>
      <c r="XEQ102"/>
      <c r="XER102"/>
      <c r="XES102"/>
      <c r="XET102"/>
      <c r="XEU102"/>
      <c r="XEV102"/>
      <c r="XEW102"/>
      <c r="XEX102"/>
      <c r="XEY102"/>
    </row>
    <row r="103" s="19" customFormat="1" spans="1:18 16350:16379">
      <c r="A103" s="2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3"/>
      <c r="M103" s="23"/>
      <c r="N103" s="23"/>
      <c r="O103" s="24"/>
      <c r="P103" s="25"/>
      <c r="Q103" s="26"/>
      <c r="R103" s="26"/>
      <c r="XDV103"/>
      <c r="XDW103"/>
      <c r="XDX103"/>
      <c r="XDY103"/>
      <c r="XDZ103"/>
      <c r="XEA103"/>
      <c r="XEB103"/>
      <c r="XEC103"/>
      <c r="XED103"/>
      <c r="XEE103"/>
      <c r="XEM103"/>
      <c r="XEN103"/>
      <c r="XEO103"/>
      <c r="XEP103"/>
      <c r="XEQ103"/>
      <c r="XER103"/>
      <c r="XES103"/>
      <c r="XET103"/>
      <c r="XEU103"/>
      <c r="XEV103"/>
      <c r="XEW103"/>
      <c r="XEX103"/>
      <c r="XEY103"/>
    </row>
    <row r="104" s="19" customFormat="1" spans="1:18 16350:16379">
      <c r="A104" s="2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3"/>
      <c r="M104" s="23"/>
      <c r="N104" s="23"/>
      <c r="O104" s="24"/>
      <c r="P104" s="25"/>
      <c r="Q104" s="26"/>
      <c r="R104" s="26"/>
      <c r="XDV104"/>
      <c r="XDW104"/>
      <c r="XDX104"/>
      <c r="XDY104"/>
      <c r="XDZ104"/>
      <c r="XEA104"/>
      <c r="XEB104"/>
      <c r="XEC104"/>
      <c r="XED104"/>
      <c r="XEE104"/>
      <c r="XEM104"/>
      <c r="XEN104"/>
      <c r="XEO104"/>
      <c r="XEP104"/>
      <c r="XEQ104"/>
      <c r="XER104"/>
      <c r="XES104"/>
      <c r="XET104"/>
      <c r="XEU104"/>
      <c r="XEV104"/>
      <c r="XEW104"/>
      <c r="XEX104"/>
      <c r="XEY104"/>
    </row>
    <row r="105" s="19" customFormat="1" spans="1:18 16350:16379">
      <c r="A105" s="2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3"/>
      <c r="M105" s="23"/>
      <c r="N105" s="23"/>
      <c r="O105" s="24"/>
      <c r="P105" s="25"/>
      <c r="Q105" s="26"/>
      <c r="R105" s="26"/>
      <c r="XDV105"/>
      <c r="XDW105"/>
      <c r="XDX105"/>
      <c r="XDY105"/>
      <c r="XDZ105"/>
      <c r="XEA105"/>
      <c r="XEB105"/>
      <c r="XEC105"/>
      <c r="XED105"/>
      <c r="XEE105"/>
      <c r="XEM105"/>
      <c r="XEN105"/>
      <c r="XEO105"/>
      <c r="XEP105"/>
      <c r="XEQ105"/>
      <c r="XER105"/>
      <c r="XES105"/>
      <c r="XET105"/>
      <c r="XEU105"/>
      <c r="XEV105"/>
      <c r="XEW105"/>
      <c r="XEX105"/>
      <c r="XEY105"/>
    </row>
    <row r="106" s="19" customFormat="1" spans="1:18 16350:16379">
      <c r="A106" s="2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3"/>
      <c r="M106" s="23"/>
      <c r="N106" s="23"/>
      <c r="O106" s="24"/>
      <c r="P106" s="25"/>
      <c r="Q106" s="26"/>
      <c r="R106" s="26"/>
      <c r="XDV106"/>
      <c r="XDW106"/>
      <c r="XDX106"/>
      <c r="XDY106"/>
      <c r="XDZ106"/>
      <c r="XEA106"/>
      <c r="XEB106"/>
      <c r="XEC106"/>
      <c r="XED106"/>
      <c r="XEE106"/>
      <c r="XEM106"/>
      <c r="XEN106"/>
      <c r="XEO106"/>
      <c r="XEP106"/>
      <c r="XEQ106"/>
      <c r="XER106"/>
      <c r="XES106"/>
      <c r="XET106"/>
      <c r="XEU106"/>
      <c r="XEV106"/>
      <c r="XEW106"/>
      <c r="XEX106"/>
      <c r="XEY106"/>
    </row>
    <row r="107" s="19" customFormat="1" spans="1:18 16350:16379">
      <c r="A107" s="2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3"/>
      <c r="M107" s="23"/>
      <c r="N107" s="23"/>
      <c r="O107" s="24"/>
      <c r="P107" s="25"/>
      <c r="Q107" s="26"/>
      <c r="R107" s="26"/>
      <c r="XDV107"/>
      <c r="XDW107"/>
      <c r="XDX107"/>
      <c r="XDY107"/>
      <c r="XDZ107"/>
      <c r="XEA107"/>
      <c r="XEB107"/>
      <c r="XEC107"/>
      <c r="XED107"/>
      <c r="XEE107"/>
      <c r="XEM107"/>
      <c r="XEN107"/>
      <c r="XEO107"/>
      <c r="XEP107"/>
      <c r="XEQ107"/>
      <c r="XER107"/>
      <c r="XES107"/>
      <c r="XET107"/>
      <c r="XEU107"/>
      <c r="XEV107"/>
      <c r="XEW107"/>
      <c r="XEX107"/>
      <c r="XEY107"/>
    </row>
    <row r="108" s="19" customFormat="1" spans="1:18 16350:16379">
      <c r="A108" s="2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3"/>
      <c r="M108" s="23"/>
      <c r="N108" s="23"/>
      <c r="O108" s="24"/>
      <c r="P108" s="25"/>
      <c r="Q108" s="26"/>
      <c r="R108" s="26"/>
      <c r="XDV108"/>
      <c r="XDW108"/>
      <c r="XDX108"/>
      <c r="XDY108"/>
      <c r="XDZ108"/>
      <c r="XEA108"/>
      <c r="XEB108"/>
      <c r="XEC108"/>
      <c r="XED108"/>
      <c r="XEE108"/>
      <c r="XEM108"/>
      <c r="XEN108"/>
      <c r="XEO108"/>
      <c r="XEP108"/>
      <c r="XEQ108"/>
      <c r="XER108"/>
      <c r="XES108"/>
      <c r="XET108"/>
      <c r="XEU108"/>
      <c r="XEV108"/>
      <c r="XEW108"/>
      <c r="XEX108"/>
      <c r="XEY108"/>
    </row>
    <row r="109" s="19" customFormat="1" spans="1:18 16350:16379">
      <c r="A109" s="2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3"/>
      <c r="M109" s="23"/>
      <c r="N109" s="23"/>
      <c r="O109" s="24"/>
      <c r="P109" s="25"/>
      <c r="Q109" s="26"/>
      <c r="R109" s="26"/>
      <c r="XDV109"/>
      <c r="XDW109"/>
      <c r="XDX109"/>
      <c r="XDY109"/>
      <c r="XDZ109"/>
      <c r="XEA109"/>
      <c r="XEB109"/>
      <c r="XEC109"/>
      <c r="XED109"/>
      <c r="XEE109"/>
      <c r="XEM109"/>
      <c r="XEN109"/>
      <c r="XEO109"/>
      <c r="XEP109"/>
      <c r="XEQ109"/>
      <c r="XER109"/>
      <c r="XES109"/>
      <c r="XET109"/>
      <c r="XEU109"/>
      <c r="XEV109"/>
      <c r="XEW109"/>
      <c r="XEX109"/>
      <c r="XEY109"/>
    </row>
    <row r="110" s="19" customFormat="1" spans="1:18 16350:16379">
      <c r="A110" s="2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3"/>
      <c r="M110" s="23"/>
      <c r="N110" s="23"/>
      <c r="O110" s="24"/>
      <c r="P110" s="25"/>
      <c r="Q110" s="26"/>
      <c r="R110" s="26"/>
      <c r="XDV110"/>
      <c r="XDW110"/>
      <c r="XDX110"/>
      <c r="XDY110"/>
      <c r="XDZ110"/>
      <c r="XEA110"/>
      <c r="XEB110"/>
      <c r="XEC110"/>
      <c r="XED110"/>
      <c r="XEE110"/>
      <c r="XEM110"/>
      <c r="XEN110"/>
      <c r="XEO110"/>
      <c r="XEP110"/>
      <c r="XEQ110"/>
      <c r="XER110"/>
      <c r="XES110"/>
      <c r="XET110"/>
      <c r="XEU110"/>
      <c r="XEV110"/>
      <c r="XEW110"/>
      <c r="XEX110"/>
      <c r="XEY110"/>
    </row>
    <row r="111" s="19" customFormat="1" spans="1:18 16350:16379">
      <c r="A111" s="2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3"/>
      <c r="M111" s="23"/>
      <c r="N111" s="23"/>
      <c r="O111" s="24"/>
      <c r="P111" s="25"/>
      <c r="Q111" s="26"/>
      <c r="R111" s="26"/>
      <c r="XDV111"/>
      <c r="XDW111"/>
      <c r="XDX111"/>
      <c r="XDY111"/>
      <c r="XDZ111"/>
      <c r="XEA111"/>
      <c r="XEB111"/>
      <c r="XEC111"/>
      <c r="XED111"/>
      <c r="XEE111"/>
      <c r="XEM111"/>
      <c r="XEN111"/>
      <c r="XEO111"/>
      <c r="XEP111"/>
      <c r="XEQ111"/>
      <c r="XER111"/>
      <c r="XES111"/>
      <c r="XET111"/>
      <c r="XEU111"/>
      <c r="XEV111"/>
      <c r="XEW111"/>
      <c r="XEX111"/>
      <c r="XEY111"/>
    </row>
    <row r="112" s="19" customFormat="1" spans="1:18 16350:16379">
      <c r="A112" s="2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3"/>
      <c r="M112" s="23"/>
      <c r="N112" s="23"/>
      <c r="O112" s="24"/>
      <c r="P112" s="25"/>
      <c r="Q112" s="26"/>
      <c r="R112" s="26"/>
      <c r="XDV112"/>
      <c r="XDW112"/>
      <c r="XDX112"/>
      <c r="XDY112"/>
      <c r="XDZ112"/>
      <c r="XEA112"/>
      <c r="XEB112"/>
      <c r="XEC112"/>
      <c r="XED112"/>
      <c r="XEE112"/>
      <c r="XEM112"/>
      <c r="XEN112"/>
      <c r="XEO112"/>
      <c r="XEP112"/>
      <c r="XEQ112"/>
      <c r="XER112"/>
      <c r="XES112"/>
      <c r="XET112"/>
      <c r="XEU112"/>
      <c r="XEV112"/>
      <c r="XEW112"/>
      <c r="XEX112"/>
      <c r="XEY112"/>
    </row>
    <row r="113" s="19" customFormat="1" spans="1:18 16350:16379">
      <c r="A113" s="2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3"/>
      <c r="M113" s="23"/>
      <c r="N113" s="23"/>
      <c r="O113" s="24"/>
      <c r="P113" s="25"/>
      <c r="Q113" s="26"/>
      <c r="R113" s="26"/>
      <c r="XDV113"/>
      <c r="XDW113"/>
      <c r="XDX113"/>
      <c r="XDY113"/>
      <c r="XDZ113"/>
      <c r="XEA113"/>
      <c r="XEB113"/>
      <c r="XEC113"/>
      <c r="XED113"/>
      <c r="XEE113"/>
      <c r="XEM113"/>
      <c r="XEN113"/>
      <c r="XEO113"/>
      <c r="XEP113"/>
      <c r="XEQ113"/>
      <c r="XER113"/>
      <c r="XES113"/>
      <c r="XET113"/>
      <c r="XEU113"/>
      <c r="XEV113"/>
      <c r="XEW113"/>
      <c r="XEX113"/>
      <c r="XEY113"/>
    </row>
    <row r="114" s="19" customFormat="1" spans="1:18 16350:16379">
      <c r="A114" s="2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3"/>
      <c r="M114" s="23"/>
      <c r="N114" s="23"/>
      <c r="O114" s="24"/>
      <c r="P114" s="25"/>
      <c r="Q114" s="26"/>
      <c r="R114" s="26"/>
      <c r="XDV114"/>
      <c r="XDW114"/>
      <c r="XDX114"/>
      <c r="XDY114"/>
      <c r="XDZ114"/>
      <c r="XEA114"/>
      <c r="XEB114"/>
      <c r="XEC114"/>
      <c r="XED114"/>
      <c r="XEE114"/>
      <c r="XEM114"/>
      <c r="XEN114"/>
      <c r="XEO114"/>
      <c r="XEP114"/>
      <c r="XEQ114"/>
      <c r="XER114"/>
      <c r="XES114"/>
      <c r="XET114"/>
      <c r="XEU114"/>
      <c r="XEV114"/>
      <c r="XEW114"/>
      <c r="XEX114"/>
      <c r="XEY114"/>
    </row>
    <row r="115" s="19" customFormat="1" spans="1:18 16350:16379">
      <c r="A115" s="2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3"/>
      <c r="M115" s="23"/>
      <c r="N115" s="23"/>
      <c r="O115" s="24"/>
      <c r="P115" s="25"/>
      <c r="Q115" s="26"/>
      <c r="R115" s="26"/>
      <c r="XDV115"/>
      <c r="XDW115"/>
      <c r="XDX115"/>
      <c r="XDY115"/>
      <c r="XDZ115"/>
      <c r="XEA115"/>
      <c r="XEB115"/>
      <c r="XEC115"/>
      <c r="XED115"/>
      <c r="XEE115"/>
      <c r="XEM115"/>
      <c r="XEN115"/>
      <c r="XEO115"/>
      <c r="XEP115"/>
      <c r="XEQ115"/>
      <c r="XER115"/>
      <c r="XES115"/>
      <c r="XET115"/>
      <c r="XEU115"/>
      <c r="XEV115"/>
      <c r="XEW115"/>
      <c r="XEX115"/>
      <c r="XEY115"/>
    </row>
    <row r="117" s="19" customFormat="1" spans="1:18 16350:16379">
      <c r="A117" s="2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3"/>
      <c r="M117" s="23"/>
      <c r="N117" s="23"/>
      <c r="O117" s="24"/>
      <c r="P117" s="25"/>
      <c r="Q117" s="26"/>
      <c r="R117" s="26"/>
      <c r="XDV117"/>
      <c r="XDW117"/>
      <c r="XDX117"/>
      <c r="XDY117"/>
      <c r="XDZ117"/>
      <c r="XEA117"/>
      <c r="XEB117"/>
      <c r="XEC117"/>
      <c r="XED117"/>
      <c r="XEE117"/>
      <c r="XEM117"/>
      <c r="XEN117"/>
      <c r="XEO117"/>
      <c r="XEP117"/>
      <c r="XEQ117"/>
      <c r="XER117"/>
      <c r="XES117"/>
      <c r="XET117"/>
      <c r="XEU117"/>
      <c r="XEV117"/>
      <c r="XEW117"/>
      <c r="XEX117"/>
      <c r="XEY117"/>
    </row>
    <row r="118" s="19" customFormat="1" spans="1:18 16350:16379">
      <c r="A118" s="2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3"/>
      <c r="M118" s="23"/>
      <c r="N118" s="23"/>
      <c r="O118" s="24"/>
      <c r="P118" s="25"/>
      <c r="Q118" s="26"/>
      <c r="R118" s="26"/>
      <c r="XDV118"/>
      <c r="XDW118"/>
      <c r="XDX118"/>
      <c r="XDY118"/>
      <c r="XDZ118"/>
      <c r="XEA118"/>
      <c r="XEB118"/>
      <c r="XEC118"/>
      <c r="XED118"/>
      <c r="XEE118"/>
      <c r="XEM118"/>
      <c r="XEN118"/>
      <c r="XEO118"/>
      <c r="XEP118"/>
      <c r="XEQ118"/>
      <c r="XER118"/>
      <c r="XES118"/>
      <c r="XET118"/>
      <c r="XEU118"/>
      <c r="XEV118"/>
      <c r="XEW118"/>
      <c r="XEX118"/>
      <c r="XEY118"/>
    </row>
    <row r="119" s="19" customFormat="1" spans="1:18 16350:16379">
      <c r="A119" s="2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3"/>
      <c r="M119" s="23"/>
      <c r="N119" s="23"/>
      <c r="O119" s="24"/>
      <c r="P119" s="25"/>
      <c r="Q119" s="26"/>
      <c r="R119" s="26"/>
      <c r="XDV119"/>
      <c r="XDW119"/>
      <c r="XDX119"/>
      <c r="XDY119"/>
      <c r="XDZ119"/>
      <c r="XEA119"/>
      <c r="XEB119"/>
      <c r="XEC119"/>
      <c r="XED119"/>
      <c r="XEE119"/>
      <c r="XEM119"/>
      <c r="XEN119"/>
      <c r="XEO119"/>
      <c r="XEP119"/>
      <c r="XEQ119"/>
      <c r="XER119"/>
      <c r="XES119"/>
      <c r="XET119"/>
      <c r="XEU119"/>
      <c r="XEV119"/>
      <c r="XEW119"/>
      <c r="XEX119"/>
      <c r="XEY119"/>
    </row>
    <row r="122" s="19" customFormat="1" spans="1:18 16350:16379">
      <c r="A122" s="2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3"/>
      <c r="M122" s="23"/>
      <c r="N122" s="23"/>
      <c r="O122" s="24"/>
      <c r="P122" s="25"/>
      <c r="Q122" s="26"/>
      <c r="R122" s="26"/>
      <c r="XDV122"/>
      <c r="XDW122"/>
      <c r="XDX122"/>
      <c r="XDY122"/>
      <c r="XDZ122"/>
      <c r="XEA122"/>
      <c r="XEB122"/>
      <c r="XEC122"/>
      <c r="XED122"/>
      <c r="XEE122"/>
      <c r="XEM122"/>
      <c r="XEN122"/>
      <c r="XEO122"/>
      <c r="XEP122"/>
      <c r="XEQ122"/>
      <c r="XER122"/>
      <c r="XES122"/>
      <c r="XET122"/>
      <c r="XEU122"/>
      <c r="XEV122"/>
      <c r="XEW122"/>
      <c r="XEX122"/>
      <c r="XEY122"/>
    </row>
  </sheetData>
  <mergeCells count="2">
    <mergeCell ref="A1:R1"/>
    <mergeCell ref="T1:A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N32"/>
  <sheetViews>
    <sheetView workbookViewId="0">
      <pane ySplit="3" topLeftCell="A27" activePane="bottomLeft" state="frozen"/>
      <selection/>
      <selection pane="bottomLeft" activeCell="Q30" sqref="Q30:Q32"/>
    </sheetView>
  </sheetViews>
  <sheetFormatPr defaultColWidth="9" defaultRowHeight="14"/>
  <cols>
    <col min="1" max="1" width="6.72727272727273" style="21" customWidth="1"/>
    <col min="2" max="2" width="11.0909090909091" style="19" customWidth="1"/>
    <col min="3" max="3" width="11.8090909090909" style="19" customWidth="1"/>
    <col min="4" max="7" width="11.8090909090909" style="19" hidden="1" customWidth="1"/>
    <col min="8" max="8" width="25.3636363636364" style="19" hidden="1" customWidth="1"/>
    <col min="9" max="11" width="7.12727272727273" style="19" customWidth="1"/>
    <col min="12" max="14" width="8.25454545454545" style="23" customWidth="1"/>
    <col min="15" max="15" width="14.0363636363636" style="24" customWidth="1"/>
    <col min="16" max="16" width="7.27272727272727" style="24" customWidth="1"/>
    <col min="17" max="17" width="11.2545454545455" style="25" customWidth="1"/>
    <col min="18" max="18" width="15.7909090909091" style="26" customWidth="1"/>
    <col min="19" max="19" width="16.7727272727273" style="26" customWidth="1"/>
    <col min="20" max="20" width="14" style="19" hidden="1" customWidth="1"/>
    <col min="21" max="21" width="14.0090909090909" style="19" hidden="1" customWidth="1"/>
    <col min="22" max="25" width="9" style="19"/>
    <col min="26" max="26" width="10.9454545454545" style="19" customWidth="1"/>
    <col min="27" max="16312" width="9" style="19"/>
    <col min="16323" max="16329" width="9" style="19"/>
  </cols>
  <sheetData>
    <row r="1" s="19" customFormat="1" ht="27.5" spans="1:1024 1025:16342">
      <c r="A1" s="27" t="s">
        <v>51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8"/>
      <c r="N1" s="28"/>
      <c r="O1" s="27"/>
      <c r="P1" s="27"/>
      <c r="Q1" s="29"/>
      <c r="R1" s="27"/>
      <c r="S1" s="27"/>
      <c r="T1" s="27"/>
    </row>
    <row r="2" s="62" customFormat="1" ht="30" spans="1:1024 1025:16342">
      <c r="A2" s="63" t="s">
        <v>2</v>
      </c>
      <c r="B2" s="63" t="s">
        <v>3</v>
      </c>
      <c r="C2" s="63" t="s">
        <v>4</v>
      </c>
      <c r="D2" s="63" t="s">
        <v>5</v>
      </c>
      <c r="E2" s="63" t="s">
        <v>6</v>
      </c>
      <c r="F2" s="63" t="s">
        <v>7</v>
      </c>
      <c r="G2" s="63" t="s">
        <v>8</v>
      </c>
      <c r="H2" s="63" t="s">
        <v>9</v>
      </c>
      <c r="I2" s="63" t="s">
        <v>10</v>
      </c>
      <c r="J2" s="63" t="s">
        <v>11</v>
      </c>
      <c r="K2" s="63" t="s">
        <v>12</v>
      </c>
      <c r="L2" s="13" t="s">
        <v>13</v>
      </c>
      <c r="M2" s="13" t="s">
        <v>14</v>
      </c>
      <c r="N2" s="13" t="s">
        <v>15</v>
      </c>
      <c r="O2" s="36" t="s">
        <v>16</v>
      </c>
      <c r="P2" s="36" t="s">
        <v>52</v>
      </c>
      <c r="Q2" s="64" t="s">
        <v>17</v>
      </c>
      <c r="R2" s="36" t="s">
        <v>18</v>
      </c>
      <c r="S2" s="36" t="s">
        <v>19</v>
      </c>
      <c r="T2" s="63" t="s">
        <v>53</v>
      </c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  <c r="IY2" s="65"/>
      <c r="IZ2" s="65"/>
      <c r="JA2" s="65"/>
      <c r="JB2" s="65"/>
      <c r="JC2" s="65"/>
      <c r="JD2" s="65"/>
      <c r="JE2" s="65"/>
      <c r="JF2" s="65"/>
      <c r="JG2" s="65"/>
      <c r="JH2" s="65"/>
      <c r="JI2" s="65"/>
      <c r="JJ2" s="65"/>
      <c r="JK2" s="65"/>
      <c r="JL2" s="65"/>
      <c r="JM2" s="65"/>
      <c r="JN2" s="65"/>
      <c r="JO2" s="65"/>
      <c r="JP2" s="65"/>
      <c r="JQ2" s="65"/>
      <c r="JR2" s="65"/>
      <c r="JS2" s="65"/>
      <c r="JT2" s="65"/>
      <c r="JU2" s="65"/>
      <c r="JV2" s="65"/>
      <c r="JW2" s="65"/>
      <c r="JX2" s="65"/>
      <c r="JY2" s="65"/>
      <c r="JZ2" s="65"/>
      <c r="KA2" s="65"/>
      <c r="KB2" s="65"/>
      <c r="KC2" s="65"/>
      <c r="KD2" s="65"/>
      <c r="KE2" s="65"/>
      <c r="KF2" s="65"/>
      <c r="KG2" s="65"/>
      <c r="KH2" s="65"/>
      <c r="KI2" s="65"/>
      <c r="KJ2" s="65"/>
      <c r="KK2" s="65"/>
      <c r="KL2" s="65"/>
      <c r="KM2" s="65"/>
      <c r="KN2" s="65"/>
      <c r="KO2" s="65"/>
      <c r="KP2" s="65"/>
      <c r="KQ2" s="65"/>
      <c r="KR2" s="65"/>
      <c r="KS2" s="65"/>
      <c r="KT2" s="65"/>
      <c r="KU2" s="65"/>
      <c r="KV2" s="65"/>
      <c r="KW2" s="65"/>
      <c r="KX2" s="65"/>
      <c r="KY2" s="65"/>
      <c r="KZ2" s="65"/>
      <c r="LA2" s="65"/>
      <c r="LB2" s="65"/>
      <c r="LC2" s="65"/>
      <c r="LD2" s="65"/>
      <c r="LE2" s="65"/>
      <c r="LF2" s="65"/>
      <c r="LG2" s="65"/>
      <c r="LH2" s="65"/>
      <c r="LI2" s="65"/>
      <c r="LJ2" s="65"/>
      <c r="LK2" s="65"/>
      <c r="LL2" s="65"/>
      <c r="LM2" s="65"/>
      <c r="LN2" s="65"/>
      <c r="LO2" s="65"/>
      <c r="LP2" s="65"/>
      <c r="LQ2" s="65"/>
      <c r="LR2" s="65"/>
      <c r="LS2" s="65"/>
      <c r="LT2" s="65"/>
      <c r="LU2" s="65"/>
      <c r="LV2" s="65"/>
      <c r="LW2" s="65"/>
      <c r="LX2" s="65"/>
      <c r="LY2" s="65"/>
      <c r="LZ2" s="65"/>
      <c r="MA2" s="65"/>
      <c r="MB2" s="65"/>
      <c r="MC2" s="65"/>
      <c r="MD2" s="65"/>
      <c r="ME2" s="65"/>
      <c r="MF2" s="65"/>
      <c r="MG2" s="65"/>
      <c r="MH2" s="65"/>
      <c r="MI2" s="65"/>
      <c r="MJ2" s="65"/>
      <c r="MK2" s="65"/>
      <c r="ML2" s="65"/>
      <c r="MM2" s="65"/>
      <c r="MN2" s="65"/>
      <c r="MO2" s="65"/>
      <c r="MP2" s="65"/>
      <c r="MQ2" s="65"/>
      <c r="MR2" s="65"/>
      <c r="MS2" s="65"/>
      <c r="MT2" s="65"/>
      <c r="MU2" s="65"/>
      <c r="MV2" s="65"/>
      <c r="MW2" s="65"/>
      <c r="MX2" s="65"/>
      <c r="MY2" s="65"/>
      <c r="MZ2" s="65"/>
      <c r="NA2" s="65"/>
      <c r="NB2" s="65"/>
      <c r="NC2" s="65"/>
      <c r="ND2" s="65"/>
      <c r="NE2" s="65"/>
      <c r="NF2" s="65"/>
      <c r="NG2" s="65"/>
      <c r="NH2" s="65"/>
      <c r="NI2" s="65"/>
      <c r="NJ2" s="65"/>
      <c r="NK2" s="65"/>
      <c r="NL2" s="65"/>
      <c r="NM2" s="65"/>
      <c r="NN2" s="65"/>
      <c r="NO2" s="65"/>
      <c r="NP2" s="65"/>
      <c r="NQ2" s="65"/>
      <c r="NR2" s="65"/>
      <c r="NS2" s="65"/>
      <c r="NT2" s="65"/>
      <c r="NU2" s="65"/>
      <c r="NV2" s="65"/>
      <c r="NW2" s="65"/>
      <c r="NX2" s="65"/>
      <c r="NY2" s="65"/>
      <c r="NZ2" s="65"/>
      <c r="OA2" s="65"/>
      <c r="OB2" s="65"/>
      <c r="OC2" s="65"/>
      <c r="OD2" s="65"/>
      <c r="OE2" s="65"/>
      <c r="OF2" s="65"/>
      <c r="OG2" s="65"/>
      <c r="OH2" s="65"/>
      <c r="OI2" s="65"/>
      <c r="OJ2" s="65"/>
      <c r="OK2" s="65"/>
      <c r="OL2" s="65"/>
      <c r="OM2" s="65"/>
      <c r="ON2" s="65"/>
      <c r="OO2" s="65"/>
      <c r="OP2" s="65"/>
      <c r="OQ2" s="65"/>
      <c r="OR2" s="65"/>
      <c r="OS2" s="65"/>
      <c r="OT2" s="65"/>
      <c r="OU2" s="65"/>
      <c r="OV2" s="65"/>
      <c r="OW2" s="65"/>
      <c r="OX2" s="65"/>
      <c r="OY2" s="65"/>
      <c r="OZ2" s="65"/>
      <c r="PA2" s="65"/>
      <c r="PB2" s="65"/>
      <c r="PC2" s="65"/>
      <c r="PD2" s="65"/>
      <c r="PE2" s="65"/>
      <c r="PF2" s="65"/>
      <c r="PG2" s="65"/>
      <c r="PH2" s="65"/>
      <c r="PI2" s="65"/>
      <c r="PJ2" s="65"/>
      <c r="PK2" s="65"/>
      <c r="PL2" s="65"/>
      <c r="PM2" s="65"/>
      <c r="PN2" s="65"/>
      <c r="PO2" s="65"/>
      <c r="PP2" s="65"/>
      <c r="PQ2" s="65"/>
      <c r="PR2" s="65"/>
      <c r="PS2" s="65"/>
      <c r="PT2" s="65"/>
      <c r="PU2" s="65"/>
      <c r="PV2" s="65"/>
      <c r="PW2" s="65"/>
      <c r="PX2" s="65"/>
      <c r="PY2" s="65"/>
      <c r="PZ2" s="65"/>
      <c r="QA2" s="65"/>
      <c r="QB2" s="65"/>
      <c r="QC2" s="65"/>
      <c r="QD2" s="65"/>
      <c r="QE2" s="65"/>
      <c r="QF2" s="65"/>
      <c r="QG2" s="65"/>
      <c r="QH2" s="65"/>
      <c r="QI2" s="65"/>
      <c r="QJ2" s="65"/>
      <c r="QK2" s="65"/>
      <c r="QL2" s="65"/>
      <c r="QM2" s="65"/>
      <c r="QN2" s="65"/>
      <c r="QO2" s="65"/>
      <c r="QP2" s="65"/>
      <c r="QQ2" s="65"/>
      <c r="QR2" s="65"/>
      <c r="QS2" s="65"/>
      <c r="QT2" s="65"/>
      <c r="QU2" s="65"/>
      <c r="QV2" s="65"/>
      <c r="QW2" s="65"/>
      <c r="QX2" s="65"/>
      <c r="QY2" s="65"/>
      <c r="QZ2" s="65"/>
      <c r="RA2" s="65"/>
      <c r="RB2" s="65"/>
      <c r="RC2" s="65"/>
      <c r="RD2" s="65"/>
      <c r="RE2" s="65"/>
      <c r="RF2" s="65"/>
      <c r="RG2" s="65"/>
      <c r="RH2" s="65"/>
      <c r="RI2" s="65"/>
      <c r="RJ2" s="65"/>
      <c r="RK2" s="65"/>
      <c r="RL2" s="65"/>
      <c r="RM2" s="65"/>
      <c r="RN2" s="65"/>
      <c r="RO2" s="65"/>
      <c r="RP2" s="65"/>
      <c r="RQ2" s="65"/>
      <c r="RR2" s="65"/>
      <c r="RS2" s="65"/>
      <c r="RT2" s="65"/>
      <c r="RU2" s="65"/>
      <c r="RV2" s="65"/>
      <c r="RW2" s="65"/>
      <c r="RX2" s="65"/>
      <c r="RY2" s="65"/>
      <c r="RZ2" s="65"/>
      <c r="SA2" s="65"/>
      <c r="SB2" s="65"/>
      <c r="SC2" s="65"/>
      <c r="SD2" s="65"/>
      <c r="SE2" s="65"/>
      <c r="SF2" s="65"/>
      <c r="SG2" s="65"/>
      <c r="SH2" s="65"/>
      <c r="SI2" s="65"/>
      <c r="SJ2" s="65"/>
      <c r="SK2" s="65"/>
      <c r="SL2" s="65"/>
      <c r="SM2" s="65"/>
      <c r="SN2" s="65"/>
      <c r="SO2" s="65"/>
      <c r="SP2" s="65"/>
      <c r="SQ2" s="65"/>
      <c r="SR2" s="65"/>
      <c r="SS2" s="65"/>
      <c r="ST2" s="65"/>
      <c r="SU2" s="65"/>
      <c r="SV2" s="65"/>
      <c r="SW2" s="65"/>
      <c r="SX2" s="65"/>
      <c r="SY2" s="65"/>
      <c r="SZ2" s="65"/>
      <c r="TA2" s="65"/>
      <c r="TB2" s="65"/>
      <c r="TC2" s="65"/>
      <c r="TD2" s="65"/>
      <c r="TE2" s="65"/>
      <c r="TF2" s="65"/>
      <c r="TG2" s="65"/>
      <c r="TH2" s="65"/>
      <c r="TI2" s="65"/>
      <c r="TJ2" s="65"/>
      <c r="TK2" s="65"/>
      <c r="TL2" s="65"/>
      <c r="TM2" s="65"/>
      <c r="TN2" s="65"/>
      <c r="TO2" s="65"/>
      <c r="TP2" s="65"/>
      <c r="TQ2" s="65"/>
      <c r="TR2" s="65"/>
      <c r="TS2" s="65"/>
      <c r="TT2" s="65"/>
      <c r="TU2" s="65"/>
      <c r="TV2" s="65"/>
      <c r="TW2" s="65"/>
      <c r="TX2" s="65"/>
      <c r="TY2" s="65"/>
      <c r="TZ2" s="65"/>
      <c r="UA2" s="65"/>
      <c r="UB2" s="65"/>
      <c r="UC2" s="65"/>
      <c r="UD2" s="65"/>
      <c r="UE2" s="65"/>
      <c r="UF2" s="65"/>
      <c r="UG2" s="65"/>
      <c r="UH2" s="65"/>
      <c r="UI2" s="65"/>
      <c r="UJ2" s="65"/>
      <c r="UK2" s="65"/>
      <c r="UL2" s="65"/>
      <c r="UM2" s="65"/>
      <c r="UN2" s="65"/>
      <c r="UO2" s="65"/>
      <c r="UP2" s="65"/>
      <c r="UQ2" s="65"/>
      <c r="UR2" s="65"/>
      <c r="US2" s="65"/>
      <c r="UT2" s="65"/>
      <c r="UU2" s="65"/>
      <c r="UV2" s="65"/>
      <c r="UW2" s="65"/>
      <c r="UX2" s="65"/>
      <c r="UY2" s="65"/>
      <c r="UZ2" s="65"/>
      <c r="VA2" s="65"/>
      <c r="VB2" s="65"/>
      <c r="VC2" s="65"/>
      <c r="VD2" s="65"/>
      <c r="VE2" s="65"/>
      <c r="VF2" s="65"/>
      <c r="VG2" s="65"/>
      <c r="VH2" s="65"/>
      <c r="VI2" s="65"/>
      <c r="VJ2" s="65"/>
      <c r="VK2" s="65"/>
      <c r="VL2" s="65"/>
      <c r="VM2" s="65"/>
      <c r="VN2" s="65"/>
      <c r="VO2" s="65"/>
      <c r="VP2" s="65"/>
      <c r="VQ2" s="65"/>
      <c r="VR2" s="65"/>
      <c r="VS2" s="65"/>
      <c r="VT2" s="65"/>
      <c r="VU2" s="65"/>
      <c r="VV2" s="65"/>
      <c r="VW2" s="65"/>
      <c r="VX2" s="65"/>
      <c r="VY2" s="65"/>
      <c r="VZ2" s="65"/>
      <c r="WA2" s="65"/>
      <c r="WB2" s="65"/>
      <c r="WC2" s="65"/>
      <c r="WD2" s="65"/>
      <c r="WE2" s="65"/>
      <c r="WF2" s="65"/>
      <c r="WG2" s="65"/>
      <c r="WH2" s="65"/>
      <c r="WI2" s="65"/>
      <c r="WJ2" s="65"/>
      <c r="WK2" s="65"/>
      <c r="WL2" s="65"/>
      <c r="WM2" s="65"/>
      <c r="WN2" s="65"/>
      <c r="WO2" s="65"/>
      <c r="WP2" s="65"/>
      <c r="WQ2" s="65"/>
      <c r="WR2" s="65"/>
      <c r="WS2" s="65"/>
      <c r="WT2" s="65"/>
      <c r="WU2" s="65"/>
      <c r="WV2" s="65"/>
      <c r="WW2" s="65"/>
      <c r="WX2" s="65"/>
      <c r="WY2" s="65"/>
      <c r="WZ2" s="65"/>
      <c r="XA2" s="65"/>
      <c r="XB2" s="65"/>
      <c r="XC2" s="65"/>
      <c r="XD2" s="65"/>
      <c r="XE2" s="65"/>
      <c r="XF2" s="65"/>
      <c r="XG2" s="65"/>
      <c r="XH2" s="65"/>
      <c r="XI2" s="65"/>
      <c r="XJ2" s="65"/>
      <c r="XK2" s="65"/>
      <c r="XL2" s="65"/>
      <c r="XM2" s="65"/>
      <c r="XN2" s="65"/>
      <c r="XO2" s="65"/>
      <c r="XP2" s="65"/>
      <c r="XQ2" s="65"/>
      <c r="XR2" s="65"/>
      <c r="XS2" s="65"/>
      <c r="XT2" s="65"/>
      <c r="XU2" s="65"/>
      <c r="XV2" s="65"/>
      <c r="XW2" s="65"/>
      <c r="XX2" s="65"/>
      <c r="XY2" s="65"/>
      <c r="XZ2" s="65"/>
      <c r="YA2" s="65"/>
      <c r="YB2" s="65"/>
      <c r="YC2" s="65"/>
      <c r="YD2" s="65"/>
      <c r="YE2" s="65"/>
      <c r="YF2" s="65"/>
      <c r="YG2" s="65"/>
      <c r="YH2" s="65"/>
      <c r="YI2" s="65"/>
      <c r="YJ2" s="65"/>
      <c r="YK2" s="65"/>
      <c r="YL2" s="65"/>
      <c r="YM2" s="65"/>
      <c r="YN2" s="65"/>
      <c r="YO2" s="65"/>
      <c r="YP2" s="65"/>
      <c r="YQ2" s="65"/>
      <c r="YR2" s="65"/>
      <c r="YS2" s="65"/>
      <c r="YT2" s="65"/>
      <c r="YU2" s="65"/>
      <c r="YV2" s="65"/>
      <c r="YW2" s="65"/>
      <c r="YX2" s="65"/>
      <c r="YY2" s="65"/>
      <c r="YZ2" s="65"/>
      <c r="ZA2" s="65"/>
      <c r="ZB2" s="65"/>
      <c r="ZC2" s="65"/>
      <c r="ZD2" s="65"/>
      <c r="ZE2" s="65"/>
      <c r="ZF2" s="65"/>
      <c r="ZG2" s="65"/>
      <c r="ZH2" s="65"/>
      <c r="ZI2" s="65"/>
      <c r="ZJ2" s="65"/>
      <c r="ZK2" s="65"/>
      <c r="ZL2" s="65"/>
      <c r="ZM2" s="65"/>
      <c r="ZN2" s="65"/>
      <c r="ZO2" s="65"/>
      <c r="ZP2" s="65"/>
      <c r="ZQ2" s="65"/>
      <c r="ZR2" s="65"/>
      <c r="ZS2" s="65"/>
      <c r="ZT2" s="65"/>
      <c r="ZU2" s="65"/>
      <c r="ZV2" s="65"/>
      <c r="ZW2" s="65"/>
      <c r="ZX2" s="65"/>
      <c r="ZY2" s="65"/>
      <c r="ZZ2" s="65"/>
      <c r="AAA2" s="65"/>
      <c r="AAB2" s="65"/>
      <c r="AAC2" s="65"/>
      <c r="AAD2" s="65"/>
      <c r="AAE2" s="65"/>
      <c r="AAF2" s="65"/>
      <c r="AAG2" s="65"/>
      <c r="AAH2" s="65"/>
      <c r="AAI2" s="65"/>
      <c r="AAJ2" s="65"/>
      <c r="AAK2" s="65"/>
      <c r="AAL2" s="65"/>
      <c r="AAM2" s="65"/>
      <c r="AAN2" s="65"/>
      <c r="AAO2" s="65"/>
      <c r="AAP2" s="65"/>
      <c r="AAQ2" s="65"/>
      <c r="AAR2" s="65"/>
      <c r="AAS2" s="65"/>
      <c r="AAT2" s="65"/>
      <c r="AAU2" s="65"/>
      <c r="AAV2" s="65"/>
      <c r="AAW2" s="65"/>
      <c r="AAX2" s="65"/>
      <c r="AAY2" s="65"/>
      <c r="AAZ2" s="65"/>
      <c r="ABA2" s="65"/>
      <c r="ABB2" s="65"/>
      <c r="ABC2" s="65"/>
      <c r="ABD2" s="65"/>
      <c r="ABE2" s="65"/>
      <c r="ABF2" s="65"/>
      <c r="ABG2" s="65"/>
      <c r="ABH2" s="65"/>
      <c r="ABI2" s="65"/>
      <c r="ABJ2" s="65"/>
      <c r="ABK2" s="65"/>
      <c r="ABL2" s="65"/>
      <c r="ABM2" s="65"/>
      <c r="ABN2" s="65"/>
      <c r="ABO2" s="65"/>
      <c r="ABP2" s="65"/>
      <c r="ABQ2" s="65"/>
      <c r="ABR2" s="65"/>
      <c r="ABS2" s="65"/>
      <c r="ABT2" s="65"/>
      <c r="ABU2" s="65"/>
      <c r="ABV2" s="65"/>
      <c r="ABW2" s="65"/>
      <c r="ABX2" s="65"/>
      <c r="ABY2" s="65"/>
      <c r="ABZ2" s="65"/>
      <c r="ACA2" s="65"/>
      <c r="ACB2" s="65"/>
      <c r="ACC2" s="65"/>
      <c r="ACD2" s="65"/>
      <c r="ACE2" s="65"/>
      <c r="ACF2" s="65"/>
      <c r="ACG2" s="65"/>
      <c r="ACH2" s="65"/>
      <c r="ACI2" s="65"/>
      <c r="ACJ2" s="65"/>
      <c r="ACK2" s="65"/>
      <c r="ACL2" s="65"/>
      <c r="ACM2" s="65"/>
      <c r="ACN2" s="65"/>
      <c r="ACO2" s="65"/>
      <c r="ACP2" s="65"/>
      <c r="ACQ2" s="65"/>
      <c r="ACR2" s="65"/>
      <c r="ACS2" s="65"/>
      <c r="ACT2" s="65"/>
      <c r="ACU2" s="65"/>
      <c r="ACV2" s="65"/>
      <c r="ACW2" s="65"/>
      <c r="ACX2" s="65"/>
      <c r="ACY2" s="65"/>
      <c r="ACZ2" s="65"/>
      <c r="ADA2" s="65"/>
      <c r="ADB2" s="65"/>
      <c r="ADC2" s="65"/>
      <c r="ADD2" s="65"/>
      <c r="ADE2" s="65"/>
      <c r="ADF2" s="65"/>
      <c r="ADG2" s="65"/>
      <c r="ADH2" s="65"/>
      <c r="ADI2" s="65"/>
      <c r="ADJ2" s="65"/>
      <c r="ADK2" s="65"/>
      <c r="ADL2" s="65"/>
      <c r="ADM2" s="65"/>
      <c r="ADN2" s="65"/>
      <c r="ADO2" s="65"/>
      <c r="ADP2" s="65"/>
      <c r="ADQ2" s="65"/>
      <c r="ADR2" s="65"/>
      <c r="ADS2" s="65"/>
      <c r="ADT2" s="65"/>
      <c r="ADU2" s="65"/>
      <c r="ADV2" s="65"/>
      <c r="ADW2" s="65"/>
      <c r="ADX2" s="65"/>
      <c r="ADY2" s="65"/>
      <c r="ADZ2" s="65"/>
      <c r="AEA2" s="65"/>
      <c r="AEB2" s="65"/>
      <c r="AEC2" s="65"/>
      <c r="AED2" s="65"/>
      <c r="AEE2" s="65"/>
      <c r="AEF2" s="65"/>
      <c r="AEG2" s="65"/>
      <c r="AEH2" s="65"/>
      <c r="AEI2" s="65"/>
      <c r="AEJ2" s="65"/>
      <c r="AEK2" s="65"/>
      <c r="AEL2" s="65"/>
      <c r="AEM2" s="65"/>
      <c r="AEN2" s="65"/>
      <c r="AEO2" s="65"/>
      <c r="AEP2" s="65"/>
      <c r="AEQ2" s="65"/>
      <c r="AER2" s="65"/>
      <c r="AES2" s="65"/>
      <c r="AET2" s="65"/>
      <c r="AEU2" s="65"/>
      <c r="AEV2" s="65"/>
      <c r="AEW2" s="65"/>
      <c r="AEX2" s="65"/>
      <c r="AEY2" s="65"/>
      <c r="AEZ2" s="65"/>
      <c r="AFA2" s="65"/>
      <c r="AFB2" s="65"/>
      <c r="AFC2" s="65"/>
      <c r="AFD2" s="65"/>
      <c r="AFE2" s="65"/>
      <c r="AFF2" s="65"/>
      <c r="AFG2" s="65"/>
      <c r="AFH2" s="65"/>
      <c r="AFI2" s="65"/>
      <c r="AFJ2" s="65"/>
      <c r="AFK2" s="65"/>
      <c r="AFL2" s="65"/>
      <c r="AFM2" s="65"/>
      <c r="AFN2" s="65"/>
      <c r="AFO2" s="65"/>
      <c r="AFP2" s="65"/>
      <c r="AFQ2" s="65"/>
      <c r="AFR2" s="65"/>
      <c r="AFS2" s="65"/>
      <c r="AFT2" s="65"/>
      <c r="AFU2" s="65"/>
      <c r="AFV2" s="65"/>
      <c r="AFW2" s="65"/>
      <c r="AFX2" s="65"/>
      <c r="AFY2" s="65"/>
      <c r="AFZ2" s="65"/>
      <c r="AGA2" s="65"/>
      <c r="AGB2" s="65"/>
      <c r="AGC2" s="65"/>
      <c r="AGD2" s="65"/>
      <c r="AGE2" s="65"/>
      <c r="AGF2" s="65"/>
      <c r="AGG2" s="65"/>
      <c r="AGH2" s="65"/>
      <c r="AGI2" s="65"/>
      <c r="AGJ2" s="65"/>
      <c r="AGK2" s="65"/>
      <c r="AGL2" s="65"/>
      <c r="AGM2" s="65"/>
      <c r="AGN2" s="65"/>
      <c r="AGO2" s="65"/>
      <c r="AGP2" s="65"/>
      <c r="AGQ2" s="65"/>
      <c r="AGR2" s="65"/>
      <c r="AGS2" s="65"/>
      <c r="AGT2" s="65"/>
      <c r="AGU2" s="65"/>
      <c r="AGV2" s="65"/>
      <c r="AGW2" s="65"/>
      <c r="AGX2" s="65"/>
      <c r="AGY2" s="65"/>
      <c r="AGZ2" s="65"/>
      <c r="AHA2" s="65"/>
      <c r="AHB2" s="65"/>
      <c r="AHC2" s="65"/>
      <c r="AHD2" s="65"/>
      <c r="AHE2" s="65"/>
      <c r="AHF2" s="65"/>
      <c r="AHG2" s="65"/>
      <c r="AHH2" s="65"/>
      <c r="AHI2" s="65"/>
      <c r="AHJ2" s="65"/>
      <c r="AHK2" s="65"/>
      <c r="AHL2" s="65"/>
      <c r="AHM2" s="65"/>
      <c r="AHN2" s="65"/>
      <c r="AHO2" s="65"/>
      <c r="AHP2" s="65"/>
      <c r="AHQ2" s="65"/>
      <c r="AHR2" s="65"/>
      <c r="AHS2" s="65"/>
      <c r="AHT2" s="65"/>
      <c r="AHU2" s="65"/>
      <c r="AHV2" s="65"/>
      <c r="AHW2" s="65"/>
      <c r="AHX2" s="65"/>
      <c r="AHY2" s="65"/>
      <c r="AHZ2" s="65"/>
      <c r="AIA2" s="65"/>
      <c r="AIB2" s="65"/>
      <c r="AIC2" s="65"/>
      <c r="AID2" s="65"/>
      <c r="AIE2" s="65"/>
      <c r="AIF2" s="65"/>
      <c r="AIG2" s="65"/>
      <c r="AIH2" s="65"/>
      <c r="AII2" s="65"/>
      <c r="AIJ2" s="65"/>
      <c r="AIK2" s="65"/>
      <c r="AIL2" s="65"/>
      <c r="AIM2" s="65"/>
      <c r="AIN2" s="65"/>
      <c r="AIO2" s="65"/>
      <c r="AIP2" s="65"/>
      <c r="AIQ2" s="65"/>
      <c r="AIR2" s="65"/>
      <c r="AIS2" s="65"/>
      <c r="AIT2" s="65"/>
      <c r="AIU2" s="65"/>
      <c r="AIV2" s="65"/>
      <c r="AIW2" s="65"/>
      <c r="AIX2" s="65"/>
      <c r="AIY2" s="65"/>
      <c r="AIZ2" s="65"/>
      <c r="AJA2" s="65"/>
      <c r="AJB2" s="65"/>
      <c r="AJC2" s="65"/>
      <c r="AJD2" s="65"/>
      <c r="AJE2" s="65"/>
      <c r="AJF2" s="65"/>
      <c r="AJG2" s="65"/>
      <c r="AJH2" s="65"/>
      <c r="AJI2" s="65"/>
      <c r="AJJ2" s="65"/>
      <c r="AJK2" s="65"/>
      <c r="AJL2" s="65"/>
      <c r="AJM2" s="65"/>
      <c r="AJN2" s="65"/>
      <c r="AJO2" s="65"/>
      <c r="AJP2" s="65"/>
      <c r="AJQ2" s="65"/>
      <c r="AJR2" s="65"/>
      <c r="AJS2" s="65"/>
      <c r="AJT2" s="65"/>
      <c r="AJU2" s="65"/>
      <c r="AJV2" s="65"/>
      <c r="AJW2" s="65"/>
      <c r="AJX2" s="65"/>
      <c r="AJY2" s="65"/>
      <c r="AJZ2" s="65"/>
      <c r="AKA2" s="65"/>
      <c r="AKB2" s="65"/>
      <c r="AKC2" s="65"/>
      <c r="AKD2" s="65"/>
      <c r="AKE2" s="65"/>
      <c r="AKF2" s="65"/>
      <c r="AKG2" s="65"/>
      <c r="AKH2" s="65"/>
      <c r="AKI2" s="65"/>
      <c r="AKJ2" s="65"/>
      <c r="AKK2" s="65"/>
      <c r="AKL2" s="65"/>
      <c r="AKM2" s="65"/>
      <c r="AKN2" s="65"/>
      <c r="AKO2" s="65"/>
      <c r="AKP2" s="65"/>
      <c r="AKQ2" s="65"/>
      <c r="AKR2" s="65"/>
      <c r="AKS2" s="65"/>
      <c r="AKT2" s="65"/>
      <c r="AKU2" s="65"/>
      <c r="AKV2" s="65"/>
      <c r="AKW2" s="65"/>
      <c r="AKX2" s="65"/>
      <c r="AKY2" s="65"/>
      <c r="AKZ2" s="65"/>
      <c r="ALA2" s="65"/>
      <c r="ALB2" s="65"/>
      <c r="ALC2" s="65"/>
      <c r="ALD2" s="65"/>
      <c r="ALE2" s="65"/>
      <c r="ALF2" s="65"/>
      <c r="ALG2" s="65"/>
      <c r="ALH2" s="65"/>
      <c r="ALI2" s="65"/>
      <c r="ALJ2" s="65"/>
      <c r="ALK2" s="65"/>
      <c r="ALL2" s="65"/>
      <c r="ALM2" s="65"/>
      <c r="ALN2" s="65"/>
      <c r="ALO2" s="65"/>
      <c r="ALP2" s="65"/>
      <c r="ALQ2" s="65"/>
      <c r="ALR2" s="65"/>
      <c r="ALS2" s="65"/>
      <c r="ALT2" s="65"/>
      <c r="ALU2" s="65"/>
      <c r="ALV2" s="65"/>
      <c r="ALW2" s="65"/>
      <c r="ALX2" s="65"/>
      <c r="ALY2" s="65"/>
      <c r="ALZ2" s="65"/>
      <c r="AMA2" s="65"/>
      <c r="AMB2" s="65"/>
      <c r="AMC2" s="65"/>
      <c r="AMD2" s="65"/>
      <c r="AME2" s="65"/>
      <c r="AMF2" s="65"/>
      <c r="AMG2" s="65"/>
      <c r="AMH2" s="65"/>
      <c r="AMI2" s="65"/>
      <c r="AMJ2" s="65"/>
      <c r="AMK2" s="65"/>
      <c r="AML2" s="65"/>
      <c r="AMM2" s="65"/>
      <c r="AMN2" s="65"/>
      <c r="AMO2" s="65"/>
      <c r="AMP2" s="65"/>
      <c r="AMQ2" s="65"/>
      <c r="AMR2" s="65"/>
      <c r="AMS2" s="65"/>
      <c r="AMT2" s="65"/>
      <c r="AMU2" s="65"/>
      <c r="AMV2" s="65"/>
      <c r="AMW2" s="65"/>
      <c r="AMX2" s="65"/>
      <c r="AMY2" s="65"/>
      <c r="AMZ2" s="65"/>
      <c r="ANA2" s="65"/>
      <c r="ANB2" s="65"/>
      <c r="ANC2" s="65"/>
      <c r="AND2" s="65"/>
      <c r="ANE2" s="65"/>
      <c r="ANF2" s="65"/>
      <c r="ANG2" s="65"/>
      <c r="ANH2" s="65"/>
      <c r="ANI2" s="65"/>
      <c r="ANJ2" s="65"/>
      <c r="ANK2" s="65"/>
      <c r="ANL2" s="65"/>
      <c r="ANM2" s="65"/>
      <c r="ANN2" s="65"/>
      <c r="ANO2" s="65"/>
      <c r="ANP2" s="65"/>
      <c r="ANQ2" s="65"/>
      <c r="ANR2" s="65"/>
      <c r="ANS2" s="65"/>
      <c r="ANT2" s="65"/>
      <c r="ANU2" s="65"/>
      <c r="ANV2" s="65"/>
      <c r="ANW2" s="65"/>
      <c r="ANX2" s="65"/>
      <c r="ANY2" s="65"/>
      <c r="ANZ2" s="65"/>
      <c r="AOA2" s="65"/>
      <c r="AOB2" s="65"/>
      <c r="AOC2" s="65"/>
      <c r="AOD2" s="65"/>
      <c r="AOE2" s="65"/>
      <c r="AOF2" s="65"/>
      <c r="AOG2" s="65"/>
      <c r="AOH2" s="65"/>
      <c r="AOI2" s="65"/>
      <c r="AOJ2" s="65"/>
      <c r="AOK2" s="65"/>
      <c r="AOL2" s="65"/>
      <c r="AOM2" s="65"/>
      <c r="AON2" s="65"/>
      <c r="AOO2" s="65"/>
      <c r="AOP2" s="65"/>
      <c r="AOQ2" s="65"/>
      <c r="AOR2" s="65"/>
      <c r="AOS2" s="65"/>
      <c r="AOT2" s="65"/>
      <c r="AOU2" s="65"/>
      <c r="AOV2" s="65"/>
      <c r="AOW2" s="65"/>
      <c r="AOX2" s="65"/>
      <c r="AOY2" s="65"/>
      <c r="AOZ2" s="65"/>
      <c r="APA2" s="65"/>
      <c r="APB2" s="65"/>
      <c r="APC2" s="65"/>
      <c r="APD2" s="65"/>
      <c r="APE2" s="65"/>
      <c r="APF2" s="65"/>
      <c r="APG2" s="65"/>
      <c r="APH2" s="65"/>
      <c r="API2" s="65"/>
      <c r="APJ2" s="65"/>
      <c r="APK2" s="65"/>
      <c r="APL2" s="65"/>
      <c r="APM2" s="65"/>
      <c r="APN2" s="65"/>
      <c r="APO2" s="65"/>
      <c r="APP2" s="65"/>
      <c r="APQ2" s="65"/>
      <c r="APR2" s="65"/>
      <c r="APS2" s="65"/>
      <c r="APT2" s="65"/>
      <c r="APU2" s="65"/>
      <c r="APV2" s="65"/>
      <c r="APW2" s="65"/>
      <c r="APX2" s="65"/>
      <c r="APY2" s="65"/>
      <c r="APZ2" s="65"/>
      <c r="AQA2" s="65"/>
      <c r="AQB2" s="65"/>
      <c r="AQC2" s="65"/>
      <c r="AQD2" s="65"/>
      <c r="AQE2" s="65"/>
      <c r="AQF2" s="65"/>
      <c r="AQG2" s="65"/>
      <c r="AQH2" s="65"/>
      <c r="AQI2" s="65"/>
      <c r="AQJ2" s="65"/>
      <c r="AQK2" s="65"/>
      <c r="AQL2" s="65"/>
      <c r="AQM2" s="65"/>
      <c r="AQN2" s="65"/>
      <c r="AQO2" s="65"/>
      <c r="AQP2" s="65"/>
      <c r="AQQ2" s="65"/>
      <c r="AQR2" s="65"/>
      <c r="AQS2" s="65"/>
      <c r="AQT2" s="65"/>
      <c r="AQU2" s="65"/>
      <c r="AQV2" s="65"/>
      <c r="AQW2" s="65"/>
      <c r="AQX2" s="65"/>
      <c r="AQY2" s="65"/>
      <c r="AQZ2" s="65"/>
      <c r="ARA2" s="65"/>
      <c r="ARB2" s="65"/>
      <c r="ARC2" s="65"/>
      <c r="ARD2" s="65"/>
      <c r="ARE2" s="65"/>
      <c r="ARF2" s="65"/>
      <c r="ARG2" s="65"/>
      <c r="ARH2" s="65"/>
      <c r="ARI2" s="65"/>
      <c r="ARJ2" s="65"/>
      <c r="ARK2" s="65"/>
      <c r="ARL2" s="65"/>
      <c r="ARM2" s="65"/>
      <c r="ARN2" s="65"/>
      <c r="ARO2" s="65"/>
      <c r="ARP2" s="65"/>
      <c r="ARQ2" s="65"/>
      <c r="ARR2" s="65"/>
      <c r="ARS2" s="65"/>
      <c r="ART2" s="65"/>
      <c r="ARU2" s="65"/>
      <c r="ARV2" s="65"/>
      <c r="ARW2" s="65"/>
      <c r="ARX2" s="65"/>
      <c r="ARY2" s="65"/>
      <c r="ARZ2" s="65"/>
      <c r="ASA2" s="65"/>
      <c r="ASB2" s="65"/>
      <c r="ASC2" s="65"/>
      <c r="ASD2" s="65"/>
      <c r="ASE2" s="65"/>
      <c r="ASF2" s="65"/>
      <c r="ASG2" s="65"/>
      <c r="ASH2" s="65"/>
      <c r="ASI2" s="65"/>
      <c r="ASJ2" s="65"/>
      <c r="ASK2" s="65"/>
      <c r="ASL2" s="65"/>
      <c r="ASM2" s="65"/>
      <c r="ASN2" s="65"/>
      <c r="ASO2" s="65"/>
      <c r="ASP2" s="65"/>
      <c r="ASQ2" s="65"/>
      <c r="ASR2" s="65"/>
      <c r="ASS2" s="65"/>
      <c r="AST2" s="65"/>
      <c r="ASU2" s="65"/>
      <c r="ASV2" s="65"/>
      <c r="ASW2" s="65"/>
      <c r="ASX2" s="65"/>
      <c r="ASY2" s="65"/>
      <c r="ASZ2" s="65"/>
      <c r="ATA2" s="65"/>
      <c r="ATB2" s="65"/>
      <c r="ATC2" s="65"/>
      <c r="ATD2" s="65"/>
      <c r="ATE2" s="65"/>
      <c r="ATF2" s="65"/>
      <c r="ATG2" s="65"/>
      <c r="ATH2" s="65"/>
      <c r="ATI2" s="65"/>
      <c r="ATJ2" s="65"/>
      <c r="ATK2" s="65"/>
      <c r="ATL2" s="65"/>
      <c r="ATM2" s="65"/>
      <c r="ATN2" s="65"/>
      <c r="ATO2" s="65"/>
      <c r="ATP2" s="65"/>
      <c r="ATQ2" s="65"/>
      <c r="ATR2" s="65"/>
      <c r="ATS2" s="65"/>
      <c r="ATT2" s="65"/>
      <c r="ATU2" s="65"/>
      <c r="ATV2" s="65"/>
      <c r="ATW2" s="65"/>
      <c r="ATX2" s="65"/>
      <c r="ATY2" s="65"/>
      <c r="ATZ2" s="65"/>
      <c r="AUA2" s="65"/>
      <c r="AUB2" s="65"/>
      <c r="AUC2" s="65"/>
      <c r="AUD2" s="65"/>
      <c r="AUE2" s="65"/>
      <c r="AUF2" s="65"/>
      <c r="AUG2" s="65"/>
      <c r="AUH2" s="65"/>
      <c r="AUI2" s="65"/>
      <c r="AUJ2" s="65"/>
      <c r="AUK2" s="65"/>
      <c r="AUL2" s="65"/>
      <c r="AUM2" s="65"/>
      <c r="AUN2" s="65"/>
      <c r="AUO2" s="65"/>
      <c r="AUP2" s="65"/>
      <c r="AUQ2" s="65"/>
      <c r="AUR2" s="65"/>
      <c r="AUS2" s="65"/>
      <c r="AUT2" s="65"/>
      <c r="AUU2" s="65"/>
      <c r="AUV2" s="65"/>
      <c r="AUW2" s="65"/>
      <c r="AUX2" s="65"/>
      <c r="AUY2" s="65"/>
      <c r="AUZ2" s="65"/>
      <c r="AVA2" s="65"/>
      <c r="AVB2" s="65"/>
      <c r="AVC2" s="65"/>
      <c r="AVD2" s="65"/>
      <c r="AVE2" s="65"/>
      <c r="AVF2" s="65"/>
      <c r="AVG2" s="65"/>
      <c r="AVH2" s="65"/>
      <c r="AVI2" s="65"/>
      <c r="AVJ2" s="65"/>
      <c r="AVK2" s="65"/>
      <c r="AVL2" s="65"/>
      <c r="AVM2" s="65"/>
      <c r="AVN2" s="65"/>
      <c r="AVO2" s="65"/>
      <c r="AVP2" s="65"/>
      <c r="AVQ2" s="65"/>
      <c r="AVR2" s="65"/>
      <c r="AVS2" s="65"/>
      <c r="AVT2" s="65"/>
      <c r="AVU2" s="65"/>
      <c r="AVV2" s="65"/>
      <c r="AVW2" s="65"/>
      <c r="AVX2" s="65"/>
      <c r="AVY2" s="65"/>
      <c r="AVZ2" s="65"/>
      <c r="AWA2" s="65"/>
      <c r="AWB2" s="65"/>
      <c r="AWC2" s="65"/>
      <c r="AWD2" s="65"/>
      <c r="AWE2" s="65"/>
      <c r="AWF2" s="65"/>
      <c r="AWG2" s="65"/>
      <c r="AWH2" s="65"/>
      <c r="AWI2" s="65"/>
      <c r="AWJ2" s="65"/>
      <c r="AWK2" s="65"/>
      <c r="AWL2" s="65"/>
      <c r="AWM2" s="65"/>
      <c r="AWN2" s="65"/>
      <c r="AWO2" s="65"/>
      <c r="AWP2" s="65"/>
      <c r="AWQ2" s="65"/>
      <c r="AWR2" s="65"/>
      <c r="AWS2" s="65"/>
      <c r="AWT2" s="65"/>
      <c r="AWU2" s="65"/>
      <c r="AWV2" s="65"/>
      <c r="AWW2" s="65"/>
      <c r="AWX2" s="65"/>
      <c r="AWY2" s="65"/>
      <c r="AWZ2" s="65"/>
      <c r="AXA2" s="65"/>
      <c r="AXB2" s="65"/>
      <c r="AXC2" s="65"/>
      <c r="AXD2" s="65"/>
      <c r="AXE2" s="65"/>
      <c r="AXF2" s="65"/>
      <c r="AXG2" s="65"/>
      <c r="AXH2" s="65"/>
      <c r="AXI2" s="65"/>
      <c r="AXJ2" s="65"/>
      <c r="AXK2" s="65"/>
      <c r="AXL2" s="65"/>
      <c r="AXM2" s="65"/>
      <c r="AXN2" s="65"/>
      <c r="AXO2" s="65"/>
      <c r="AXP2" s="65"/>
      <c r="AXQ2" s="65"/>
      <c r="AXR2" s="65"/>
      <c r="AXS2" s="65"/>
      <c r="AXT2" s="65"/>
      <c r="AXU2" s="65"/>
      <c r="AXV2" s="65"/>
      <c r="AXW2" s="65"/>
      <c r="AXX2" s="65"/>
      <c r="AXY2" s="65"/>
      <c r="AXZ2" s="65"/>
      <c r="AYA2" s="65"/>
      <c r="AYB2" s="65"/>
      <c r="AYC2" s="65"/>
      <c r="AYD2" s="65"/>
      <c r="AYE2" s="65"/>
      <c r="AYF2" s="65"/>
      <c r="AYG2" s="65"/>
      <c r="AYH2" s="65"/>
      <c r="AYI2" s="65"/>
      <c r="AYJ2" s="65"/>
      <c r="AYK2" s="65"/>
      <c r="AYL2" s="65"/>
      <c r="AYM2" s="65"/>
      <c r="AYN2" s="65"/>
      <c r="AYO2" s="65"/>
      <c r="AYP2" s="65"/>
      <c r="AYQ2" s="65"/>
      <c r="AYR2" s="65"/>
      <c r="AYS2" s="65"/>
      <c r="AYT2" s="65"/>
      <c r="AYU2" s="65"/>
      <c r="AYV2" s="65"/>
      <c r="AYW2" s="65"/>
      <c r="AYX2" s="65"/>
      <c r="AYY2" s="65"/>
      <c r="AYZ2" s="65"/>
      <c r="AZA2" s="65"/>
      <c r="AZB2" s="65"/>
      <c r="AZC2" s="65"/>
      <c r="AZD2" s="65"/>
      <c r="AZE2" s="65"/>
      <c r="AZF2" s="65"/>
      <c r="AZG2" s="65"/>
      <c r="AZH2" s="65"/>
      <c r="AZI2" s="65"/>
      <c r="AZJ2" s="65"/>
      <c r="AZK2" s="65"/>
      <c r="AZL2" s="65"/>
      <c r="AZM2" s="65"/>
      <c r="AZN2" s="65"/>
      <c r="AZO2" s="65"/>
      <c r="AZP2" s="65"/>
      <c r="AZQ2" s="65"/>
      <c r="AZR2" s="65"/>
      <c r="AZS2" s="65"/>
      <c r="AZT2" s="65"/>
      <c r="AZU2" s="65"/>
      <c r="AZV2" s="65"/>
      <c r="AZW2" s="65"/>
      <c r="AZX2" s="65"/>
      <c r="AZY2" s="65"/>
      <c r="AZZ2" s="65"/>
      <c r="BAA2" s="65"/>
      <c r="BAB2" s="65"/>
      <c r="BAC2" s="65"/>
      <c r="BAD2" s="65"/>
      <c r="BAE2" s="65"/>
      <c r="BAF2" s="65"/>
      <c r="BAG2" s="65"/>
      <c r="BAH2" s="65"/>
      <c r="BAI2" s="65"/>
      <c r="BAJ2" s="65"/>
      <c r="BAK2" s="65"/>
      <c r="BAL2" s="65"/>
      <c r="BAM2" s="65"/>
      <c r="BAN2" s="65"/>
      <c r="BAO2" s="65"/>
      <c r="BAP2" s="65"/>
      <c r="BAQ2" s="65"/>
      <c r="BAR2" s="65"/>
      <c r="BAS2" s="65"/>
      <c r="BAT2" s="65"/>
      <c r="BAU2" s="65"/>
      <c r="BAV2" s="65"/>
      <c r="BAW2" s="65"/>
      <c r="BAX2" s="65"/>
      <c r="BAY2" s="65"/>
      <c r="BAZ2" s="65"/>
      <c r="BBA2" s="65"/>
      <c r="BBB2" s="65"/>
      <c r="BBC2" s="65"/>
      <c r="BBD2" s="65"/>
      <c r="BBE2" s="65"/>
      <c r="BBF2" s="65"/>
      <c r="BBG2" s="65"/>
      <c r="BBH2" s="65"/>
      <c r="BBI2" s="65"/>
      <c r="BBJ2" s="65"/>
      <c r="BBK2" s="65"/>
      <c r="BBL2" s="65"/>
      <c r="BBM2" s="65"/>
      <c r="BBN2" s="65"/>
      <c r="BBO2" s="65"/>
      <c r="BBP2" s="65"/>
      <c r="BBQ2" s="65"/>
      <c r="BBR2" s="65"/>
      <c r="BBS2" s="65"/>
      <c r="BBT2" s="65"/>
      <c r="BBU2" s="65"/>
      <c r="BBV2" s="65"/>
      <c r="BBW2" s="65"/>
      <c r="BBX2" s="65"/>
      <c r="BBY2" s="65"/>
      <c r="BBZ2" s="65"/>
      <c r="BCA2" s="65"/>
      <c r="BCB2" s="65"/>
      <c r="BCC2" s="65"/>
      <c r="BCD2" s="65"/>
      <c r="BCE2" s="65"/>
      <c r="BCF2" s="65"/>
      <c r="BCG2" s="65"/>
      <c r="BCH2" s="65"/>
      <c r="BCI2" s="65"/>
      <c r="BCJ2" s="65"/>
      <c r="BCK2" s="65"/>
      <c r="BCL2" s="65"/>
      <c r="BCM2" s="65"/>
      <c r="BCN2" s="65"/>
      <c r="BCO2" s="65"/>
      <c r="BCP2" s="65"/>
      <c r="BCQ2" s="65"/>
      <c r="BCR2" s="65"/>
      <c r="BCS2" s="65"/>
      <c r="BCT2" s="65"/>
      <c r="BCU2" s="65"/>
      <c r="BCV2" s="65"/>
      <c r="BCW2" s="65"/>
      <c r="BCX2" s="65"/>
      <c r="BCY2" s="65"/>
      <c r="BCZ2" s="65"/>
      <c r="BDA2" s="65"/>
      <c r="BDB2" s="65"/>
      <c r="BDC2" s="65"/>
      <c r="BDD2" s="65"/>
      <c r="BDE2" s="65"/>
      <c r="BDF2" s="65"/>
      <c r="BDG2" s="65"/>
      <c r="BDH2" s="65"/>
      <c r="BDI2" s="65"/>
      <c r="BDJ2" s="65"/>
      <c r="BDK2" s="65"/>
      <c r="BDL2" s="65"/>
      <c r="BDM2" s="65"/>
      <c r="BDN2" s="65"/>
      <c r="BDO2" s="65"/>
      <c r="BDP2" s="65"/>
      <c r="BDQ2" s="65"/>
      <c r="BDR2" s="65"/>
      <c r="BDS2" s="65"/>
      <c r="BDT2" s="65"/>
      <c r="BDU2" s="65"/>
      <c r="BDV2" s="65"/>
      <c r="BDW2" s="65"/>
      <c r="BDX2" s="65"/>
      <c r="BDY2" s="65"/>
      <c r="BDZ2" s="65"/>
      <c r="BEA2" s="65"/>
      <c r="BEB2" s="65"/>
      <c r="BEC2" s="65"/>
      <c r="BED2" s="65"/>
      <c r="BEE2" s="65"/>
      <c r="BEF2" s="65"/>
      <c r="BEG2" s="65"/>
      <c r="BEH2" s="65"/>
      <c r="BEI2" s="65"/>
      <c r="BEJ2" s="65"/>
      <c r="BEK2" s="65"/>
      <c r="BEL2" s="65"/>
      <c r="BEM2" s="65"/>
      <c r="BEN2" s="65"/>
      <c r="BEO2" s="65"/>
      <c r="BEP2" s="65"/>
      <c r="BEQ2" s="65"/>
      <c r="BER2" s="65"/>
      <c r="BES2" s="65"/>
      <c r="BET2" s="65"/>
      <c r="BEU2" s="65"/>
      <c r="BEV2" s="65"/>
      <c r="BEW2" s="65"/>
      <c r="BEX2" s="65"/>
      <c r="BEY2" s="65"/>
      <c r="BEZ2" s="65"/>
      <c r="BFA2" s="65"/>
      <c r="BFB2" s="65"/>
      <c r="BFC2" s="65"/>
      <c r="BFD2" s="65"/>
      <c r="BFE2" s="65"/>
      <c r="BFF2" s="65"/>
      <c r="BFG2" s="65"/>
      <c r="BFH2" s="65"/>
      <c r="BFI2" s="65"/>
      <c r="BFJ2" s="65"/>
      <c r="BFK2" s="65"/>
      <c r="BFL2" s="65"/>
      <c r="BFM2" s="65"/>
      <c r="BFN2" s="65"/>
      <c r="BFO2" s="65"/>
      <c r="BFP2" s="65"/>
      <c r="BFQ2" s="65"/>
      <c r="BFR2" s="65"/>
      <c r="BFS2" s="65"/>
      <c r="BFT2" s="65"/>
      <c r="BFU2" s="65"/>
      <c r="BFV2" s="65"/>
      <c r="BFW2" s="65"/>
      <c r="BFX2" s="65"/>
      <c r="BFY2" s="65"/>
      <c r="BFZ2" s="65"/>
      <c r="BGA2" s="65"/>
      <c r="BGB2" s="65"/>
      <c r="BGC2" s="65"/>
      <c r="BGD2" s="65"/>
      <c r="BGE2" s="65"/>
      <c r="BGF2" s="65"/>
      <c r="BGG2" s="65"/>
      <c r="BGH2" s="65"/>
      <c r="BGI2" s="65"/>
      <c r="BGJ2" s="65"/>
      <c r="BGK2" s="65"/>
      <c r="BGL2" s="65"/>
      <c r="BGM2" s="65"/>
      <c r="BGN2" s="65"/>
      <c r="BGO2" s="65"/>
      <c r="BGP2" s="65"/>
      <c r="BGQ2" s="65"/>
      <c r="BGR2" s="65"/>
      <c r="BGS2" s="65"/>
      <c r="BGT2" s="65"/>
      <c r="BGU2" s="65"/>
      <c r="BGV2" s="65"/>
      <c r="BGW2" s="65"/>
      <c r="BGX2" s="65"/>
      <c r="BGY2" s="65"/>
      <c r="BGZ2" s="65"/>
      <c r="BHA2" s="65"/>
      <c r="BHB2" s="65"/>
      <c r="BHC2" s="65"/>
      <c r="BHD2" s="65"/>
      <c r="BHE2" s="65"/>
      <c r="BHF2" s="65"/>
      <c r="BHG2" s="65"/>
      <c r="BHH2" s="65"/>
      <c r="BHI2" s="65"/>
      <c r="BHJ2" s="65"/>
      <c r="BHK2" s="65"/>
      <c r="BHL2" s="65"/>
      <c r="BHM2" s="65"/>
      <c r="BHN2" s="65"/>
      <c r="BHO2" s="65"/>
      <c r="BHP2" s="65"/>
      <c r="BHQ2" s="65"/>
      <c r="BHR2" s="65"/>
      <c r="BHS2" s="65"/>
      <c r="BHT2" s="65"/>
      <c r="BHU2" s="65"/>
      <c r="BHV2" s="65"/>
      <c r="BHW2" s="65"/>
      <c r="BHX2" s="65"/>
      <c r="BHY2" s="65"/>
      <c r="BHZ2" s="65"/>
      <c r="BIA2" s="65"/>
      <c r="BIB2" s="65"/>
      <c r="BIC2" s="65"/>
      <c r="BID2" s="65"/>
      <c r="BIE2" s="65"/>
      <c r="BIF2" s="65"/>
      <c r="BIG2" s="65"/>
      <c r="BIH2" s="65"/>
      <c r="BII2" s="65"/>
      <c r="BIJ2" s="65"/>
      <c r="BIK2" s="65"/>
      <c r="BIL2" s="65"/>
      <c r="BIM2" s="65"/>
      <c r="BIN2" s="65"/>
      <c r="BIO2" s="65"/>
      <c r="BIP2" s="65"/>
      <c r="BIQ2" s="65"/>
      <c r="BIR2" s="65"/>
      <c r="BIS2" s="65"/>
      <c r="BIT2" s="65"/>
      <c r="BIU2" s="65"/>
      <c r="BIV2" s="65"/>
      <c r="BIW2" s="65"/>
      <c r="BIX2" s="65"/>
      <c r="BIY2" s="65"/>
      <c r="BIZ2" s="65"/>
      <c r="BJA2" s="65"/>
      <c r="BJB2" s="65"/>
      <c r="BJC2" s="65"/>
      <c r="BJD2" s="65"/>
      <c r="BJE2" s="65"/>
      <c r="BJF2" s="65"/>
      <c r="BJG2" s="65"/>
      <c r="BJH2" s="65"/>
      <c r="BJI2" s="65"/>
      <c r="BJJ2" s="65"/>
      <c r="BJK2" s="65"/>
      <c r="BJL2" s="65"/>
      <c r="BJM2" s="65"/>
      <c r="BJN2" s="65"/>
      <c r="BJO2" s="65"/>
      <c r="BJP2" s="65"/>
      <c r="BJQ2" s="65"/>
      <c r="BJR2" s="65"/>
      <c r="BJS2" s="65"/>
      <c r="BJT2" s="65"/>
      <c r="BJU2" s="65"/>
      <c r="BJV2" s="65"/>
      <c r="BJW2" s="65"/>
      <c r="BJX2" s="65"/>
      <c r="BJY2" s="65"/>
      <c r="BJZ2" s="65"/>
      <c r="BKA2" s="65"/>
      <c r="BKB2" s="65"/>
      <c r="BKC2" s="65"/>
      <c r="BKD2" s="65"/>
      <c r="BKE2" s="65"/>
      <c r="BKF2" s="65"/>
      <c r="BKG2" s="65"/>
      <c r="BKH2" s="65"/>
      <c r="BKI2" s="65"/>
      <c r="BKJ2" s="65"/>
      <c r="BKK2" s="65"/>
      <c r="BKL2" s="65"/>
      <c r="BKM2" s="65"/>
      <c r="BKN2" s="65"/>
      <c r="BKO2" s="65"/>
      <c r="BKP2" s="65"/>
      <c r="BKQ2" s="65"/>
      <c r="BKR2" s="65"/>
      <c r="BKS2" s="65"/>
      <c r="BKT2" s="65"/>
      <c r="BKU2" s="65"/>
      <c r="BKV2" s="65"/>
      <c r="BKW2" s="65"/>
      <c r="BKX2" s="65"/>
      <c r="BKY2" s="65"/>
      <c r="BKZ2" s="65"/>
      <c r="BLA2" s="65"/>
      <c r="BLB2" s="65"/>
      <c r="BLC2" s="65"/>
      <c r="BLD2" s="65"/>
      <c r="BLE2" s="65"/>
      <c r="BLF2" s="65"/>
      <c r="BLG2" s="65"/>
      <c r="BLH2" s="65"/>
      <c r="BLI2" s="65"/>
      <c r="BLJ2" s="65"/>
      <c r="BLK2" s="65"/>
      <c r="BLL2" s="65"/>
      <c r="BLM2" s="65"/>
      <c r="BLN2" s="65"/>
      <c r="BLO2" s="65"/>
      <c r="BLP2" s="65"/>
      <c r="BLQ2" s="65"/>
      <c r="BLR2" s="65"/>
      <c r="BLS2" s="65"/>
      <c r="BLT2" s="65"/>
      <c r="BLU2" s="65"/>
      <c r="BLV2" s="65"/>
      <c r="BLW2" s="65"/>
      <c r="BLX2" s="65"/>
      <c r="BLY2" s="65"/>
      <c r="BLZ2" s="65"/>
      <c r="BMA2" s="65"/>
      <c r="BMB2" s="65"/>
      <c r="BMC2" s="65"/>
      <c r="BMD2" s="65"/>
      <c r="BME2" s="65"/>
      <c r="BMF2" s="65"/>
      <c r="BMG2" s="65"/>
      <c r="BMH2" s="65"/>
      <c r="BMI2" s="65"/>
      <c r="BMJ2" s="65"/>
      <c r="BMK2" s="65"/>
      <c r="BML2" s="65"/>
      <c r="BMM2" s="65"/>
      <c r="BMN2" s="65"/>
      <c r="BMO2" s="65"/>
      <c r="BMP2" s="65"/>
      <c r="BMQ2" s="65"/>
      <c r="BMR2" s="65"/>
      <c r="BMS2" s="65"/>
      <c r="BMT2" s="65"/>
      <c r="BMU2" s="65"/>
      <c r="BMV2" s="65"/>
      <c r="BMW2" s="65"/>
      <c r="BMX2" s="65"/>
      <c r="BMY2" s="65"/>
      <c r="BMZ2" s="65"/>
      <c r="BNA2" s="65"/>
      <c r="BNB2" s="65"/>
      <c r="BNC2" s="65"/>
      <c r="BND2" s="65"/>
      <c r="BNE2" s="65"/>
      <c r="BNF2" s="65"/>
      <c r="BNG2" s="65"/>
      <c r="BNH2" s="65"/>
      <c r="BNI2" s="65"/>
      <c r="BNJ2" s="65"/>
      <c r="BNK2" s="65"/>
      <c r="BNL2" s="65"/>
      <c r="BNM2" s="65"/>
      <c r="BNN2" s="65"/>
      <c r="BNO2" s="65"/>
      <c r="BNP2" s="65"/>
      <c r="BNQ2" s="65"/>
      <c r="BNR2" s="65"/>
      <c r="BNS2" s="65"/>
      <c r="BNT2" s="65"/>
      <c r="BNU2" s="65"/>
      <c r="BNV2" s="65"/>
      <c r="BNW2" s="65"/>
      <c r="BNX2" s="65"/>
      <c r="BNY2" s="65"/>
      <c r="BNZ2" s="65"/>
      <c r="BOA2" s="65"/>
      <c r="BOB2" s="65"/>
      <c r="BOC2" s="65"/>
      <c r="BOD2" s="65"/>
      <c r="BOE2" s="65"/>
      <c r="BOF2" s="65"/>
      <c r="BOG2" s="65"/>
      <c r="BOH2" s="65"/>
      <c r="BOI2" s="65"/>
      <c r="BOJ2" s="65"/>
      <c r="BOK2" s="65"/>
      <c r="BOL2" s="65"/>
      <c r="BOM2" s="65"/>
      <c r="BON2" s="65"/>
      <c r="BOO2" s="65"/>
      <c r="BOP2" s="65"/>
      <c r="BOQ2" s="65"/>
      <c r="BOR2" s="65"/>
      <c r="BOS2" s="65"/>
      <c r="BOT2" s="65"/>
      <c r="BOU2" s="65"/>
      <c r="BOV2" s="65"/>
      <c r="BOW2" s="65"/>
      <c r="BOX2" s="65"/>
      <c r="BOY2" s="65"/>
      <c r="BOZ2" s="65"/>
      <c r="BPA2" s="65"/>
      <c r="BPB2" s="65"/>
      <c r="BPC2" s="65"/>
      <c r="BPD2" s="65"/>
      <c r="BPE2" s="65"/>
      <c r="BPF2" s="65"/>
      <c r="BPG2" s="65"/>
      <c r="BPH2" s="65"/>
      <c r="BPI2" s="65"/>
      <c r="BPJ2" s="65"/>
      <c r="BPK2" s="65"/>
      <c r="BPL2" s="65"/>
      <c r="BPM2" s="65"/>
      <c r="BPN2" s="65"/>
      <c r="BPO2" s="65"/>
      <c r="BPP2" s="65"/>
      <c r="BPQ2" s="65"/>
      <c r="BPR2" s="65"/>
      <c r="BPS2" s="65"/>
      <c r="BPT2" s="65"/>
      <c r="BPU2" s="65"/>
      <c r="BPV2" s="65"/>
      <c r="BPW2" s="65"/>
      <c r="BPX2" s="65"/>
      <c r="BPY2" s="65"/>
      <c r="BPZ2" s="65"/>
      <c r="BQA2" s="65"/>
      <c r="BQB2" s="65"/>
      <c r="BQC2" s="65"/>
      <c r="BQD2" s="65"/>
      <c r="BQE2" s="65"/>
      <c r="BQF2" s="65"/>
      <c r="BQG2" s="65"/>
      <c r="BQH2" s="65"/>
      <c r="BQI2" s="65"/>
      <c r="BQJ2" s="65"/>
      <c r="BQK2" s="65"/>
      <c r="BQL2" s="65"/>
      <c r="BQM2" s="65"/>
      <c r="BQN2" s="65"/>
      <c r="BQO2" s="65"/>
      <c r="BQP2" s="65"/>
      <c r="BQQ2" s="65"/>
      <c r="BQR2" s="65"/>
      <c r="BQS2" s="65"/>
      <c r="BQT2" s="65"/>
      <c r="BQU2" s="65"/>
      <c r="BQV2" s="65"/>
      <c r="BQW2" s="65"/>
      <c r="BQX2" s="65"/>
      <c r="BQY2" s="65"/>
      <c r="BQZ2" s="65"/>
      <c r="BRA2" s="65"/>
      <c r="BRB2" s="65"/>
      <c r="BRC2" s="65"/>
      <c r="BRD2" s="65"/>
      <c r="BRE2" s="65"/>
      <c r="BRF2" s="65"/>
      <c r="BRG2" s="65"/>
      <c r="BRH2" s="65"/>
      <c r="BRI2" s="65"/>
      <c r="BRJ2" s="65"/>
      <c r="BRK2" s="65"/>
      <c r="BRL2" s="65"/>
      <c r="BRM2" s="65"/>
      <c r="BRN2" s="65"/>
      <c r="BRO2" s="65"/>
      <c r="BRP2" s="65"/>
      <c r="BRQ2" s="65"/>
      <c r="BRR2" s="65"/>
      <c r="BRS2" s="65"/>
      <c r="BRT2" s="65"/>
      <c r="BRU2" s="65"/>
      <c r="BRV2" s="65"/>
      <c r="BRW2" s="65"/>
      <c r="BRX2" s="65"/>
      <c r="BRY2" s="65"/>
      <c r="BRZ2" s="65"/>
      <c r="BSA2" s="65"/>
      <c r="BSB2" s="65"/>
      <c r="BSC2" s="65"/>
      <c r="BSD2" s="65"/>
      <c r="BSE2" s="65"/>
      <c r="BSF2" s="65"/>
      <c r="BSG2" s="65"/>
      <c r="BSH2" s="65"/>
      <c r="BSI2" s="65"/>
      <c r="BSJ2" s="65"/>
      <c r="BSK2" s="65"/>
      <c r="BSL2" s="65"/>
      <c r="BSM2" s="65"/>
      <c r="BSN2" s="65"/>
      <c r="BSO2" s="65"/>
      <c r="BSP2" s="65"/>
      <c r="BSQ2" s="65"/>
      <c r="BSR2" s="65"/>
      <c r="BSS2" s="65"/>
      <c r="BST2" s="65"/>
      <c r="BSU2" s="65"/>
      <c r="BSV2" s="65"/>
      <c r="BSW2" s="65"/>
      <c r="BSX2" s="65"/>
      <c r="BSY2" s="65"/>
      <c r="BSZ2" s="65"/>
      <c r="BTA2" s="65"/>
      <c r="BTB2" s="65"/>
      <c r="BTC2" s="65"/>
      <c r="BTD2" s="65"/>
      <c r="BTE2" s="65"/>
      <c r="BTF2" s="65"/>
      <c r="BTG2" s="65"/>
      <c r="BTH2" s="65"/>
      <c r="BTI2" s="65"/>
      <c r="BTJ2" s="65"/>
      <c r="BTK2" s="65"/>
      <c r="BTL2" s="65"/>
      <c r="BTM2" s="65"/>
      <c r="BTN2" s="65"/>
      <c r="BTO2" s="65"/>
      <c r="BTP2" s="65"/>
      <c r="BTQ2" s="65"/>
      <c r="BTR2" s="65"/>
      <c r="BTS2" s="65"/>
      <c r="BTT2" s="65"/>
      <c r="BTU2" s="65"/>
      <c r="BTV2" s="65"/>
      <c r="BTW2" s="65"/>
      <c r="BTX2" s="65"/>
      <c r="BTY2" s="65"/>
      <c r="BTZ2" s="65"/>
      <c r="BUA2" s="65"/>
      <c r="BUB2" s="65"/>
      <c r="BUC2" s="65"/>
      <c r="BUD2" s="65"/>
      <c r="BUE2" s="65"/>
      <c r="BUF2" s="65"/>
      <c r="BUG2" s="65"/>
      <c r="BUH2" s="65"/>
      <c r="BUI2" s="65"/>
      <c r="BUJ2" s="65"/>
      <c r="BUK2" s="65"/>
      <c r="BUL2" s="65"/>
      <c r="BUM2" s="65"/>
      <c r="BUN2" s="65"/>
      <c r="BUO2" s="65"/>
      <c r="BUP2" s="65"/>
      <c r="BUQ2" s="65"/>
      <c r="BUR2" s="65"/>
      <c r="BUS2" s="65"/>
      <c r="BUT2" s="65"/>
      <c r="BUU2" s="65"/>
      <c r="BUV2" s="65"/>
      <c r="BUW2" s="65"/>
      <c r="BUX2" s="65"/>
      <c r="BUY2" s="65"/>
      <c r="BUZ2" s="65"/>
      <c r="BVA2" s="65"/>
      <c r="BVB2" s="65"/>
      <c r="BVC2" s="65"/>
      <c r="BVD2" s="65"/>
      <c r="BVE2" s="65"/>
      <c r="BVF2" s="65"/>
      <c r="BVG2" s="65"/>
      <c r="BVH2" s="65"/>
      <c r="BVI2" s="65"/>
      <c r="BVJ2" s="65"/>
      <c r="BVK2" s="65"/>
      <c r="BVL2" s="65"/>
      <c r="BVM2" s="65"/>
      <c r="BVN2" s="65"/>
      <c r="BVO2" s="65"/>
      <c r="BVP2" s="65"/>
      <c r="BVQ2" s="65"/>
      <c r="BVR2" s="65"/>
      <c r="BVS2" s="65"/>
      <c r="BVT2" s="65"/>
      <c r="BVU2" s="65"/>
      <c r="BVV2" s="65"/>
      <c r="BVW2" s="65"/>
      <c r="BVX2" s="65"/>
      <c r="BVY2" s="65"/>
      <c r="BVZ2" s="65"/>
      <c r="BWA2" s="65"/>
      <c r="BWB2" s="65"/>
      <c r="BWC2" s="65"/>
      <c r="BWD2" s="65"/>
      <c r="BWE2" s="65"/>
      <c r="BWF2" s="65"/>
      <c r="BWG2" s="65"/>
      <c r="BWH2" s="65"/>
      <c r="BWI2" s="65"/>
      <c r="BWJ2" s="65"/>
      <c r="BWK2" s="65"/>
      <c r="BWL2" s="65"/>
      <c r="BWM2" s="65"/>
      <c r="BWN2" s="65"/>
      <c r="BWO2" s="65"/>
      <c r="BWP2" s="65"/>
      <c r="BWQ2" s="65"/>
      <c r="BWR2" s="65"/>
      <c r="BWS2" s="65"/>
      <c r="BWT2" s="65"/>
      <c r="BWU2" s="65"/>
      <c r="BWV2" s="65"/>
      <c r="BWW2" s="65"/>
      <c r="BWX2" s="65"/>
      <c r="BWY2" s="65"/>
      <c r="BWZ2" s="65"/>
      <c r="BXA2" s="65"/>
      <c r="BXB2" s="65"/>
      <c r="BXC2" s="65"/>
      <c r="BXD2" s="65"/>
      <c r="BXE2" s="65"/>
      <c r="BXF2" s="65"/>
      <c r="BXG2" s="65"/>
      <c r="BXH2" s="65"/>
      <c r="BXI2" s="65"/>
      <c r="BXJ2" s="65"/>
      <c r="BXK2" s="65"/>
      <c r="BXL2" s="65"/>
      <c r="BXM2" s="65"/>
      <c r="BXN2" s="65"/>
      <c r="BXO2" s="65"/>
      <c r="BXP2" s="65"/>
      <c r="BXQ2" s="65"/>
      <c r="BXR2" s="65"/>
      <c r="BXS2" s="65"/>
      <c r="BXT2" s="65"/>
      <c r="BXU2" s="65"/>
      <c r="BXV2" s="65"/>
      <c r="BXW2" s="65"/>
      <c r="BXX2" s="65"/>
      <c r="BXY2" s="65"/>
      <c r="BXZ2" s="65"/>
      <c r="BYA2" s="65"/>
      <c r="BYB2" s="65"/>
      <c r="BYC2" s="65"/>
      <c r="BYD2" s="65"/>
      <c r="BYE2" s="65"/>
      <c r="BYF2" s="65"/>
      <c r="BYG2" s="65"/>
      <c r="BYH2" s="65"/>
      <c r="BYI2" s="65"/>
      <c r="BYJ2" s="65"/>
      <c r="BYK2" s="65"/>
      <c r="BYL2" s="65"/>
      <c r="BYM2" s="65"/>
      <c r="BYN2" s="65"/>
      <c r="BYO2" s="65"/>
      <c r="BYP2" s="65"/>
      <c r="BYQ2" s="65"/>
      <c r="BYR2" s="65"/>
      <c r="BYS2" s="65"/>
      <c r="BYT2" s="65"/>
      <c r="BYU2" s="65"/>
      <c r="BYV2" s="65"/>
      <c r="BYW2" s="65"/>
      <c r="BYX2" s="65"/>
      <c r="BYY2" s="65"/>
      <c r="BYZ2" s="65"/>
      <c r="BZA2" s="65"/>
      <c r="BZB2" s="65"/>
      <c r="BZC2" s="65"/>
      <c r="BZD2" s="65"/>
      <c r="BZE2" s="65"/>
      <c r="BZF2" s="65"/>
      <c r="BZG2" s="65"/>
      <c r="BZH2" s="65"/>
      <c r="BZI2" s="65"/>
      <c r="BZJ2" s="65"/>
      <c r="BZK2" s="65"/>
      <c r="BZL2" s="65"/>
      <c r="BZM2" s="65"/>
      <c r="BZN2" s="65"/>
      <c r="BZO2" s="65"/>
      <c r="BZP2" s="65"/>
      <c r="BZQ2" s="65"/>
      <c r="BZR2" s="65"/>
      <c r="BZS2" s="65"/>
      <c r="BZT2" s="65"/>
      <c r="BZU2" s="65"/>
      <c r="BZV2" s="65"/>
      <c r="BZW2" s="65"/>
      <c r="BZX2" s="65"/>
      <c r="BZY2" s="65"/>
      <c r="BZZ2" s="65"/>
      <c r="CAA2" s="65"/>
      <c r="CAB2" s="65"/>
      <c r="CAC2" s="65"/>
      <c r="CAD2" s="65"/>
      <c r="CAE2" s="65"/>
      <c r="CAF2" s="65"/>
      <c r="CAG2" s="65"/>
      <c r="CAH2" s="65"/>
      <c r="CAI2" s="65"/>
      <c r="CAJ2" s="65"/>
      <c r="CAK2" s="65"/>
      <c r="CAL2" s="65"/>
      <c r="CAM2" s="65"/>
      <c r="CAN2" s="65"/>
      <c r="CAO2" s="65"/>
      <c r="CAP2" s="65"/>
      <c r="CAQ2" s="65"/>
      <c r="CAR2" s="65"/>
      <c r="CAS2" s="65"/>
      <c r="CAT2" s="65"/>
      <c r="CAU2" s="65"/>
      <c r="CAV2" s="65"/>
      <c r="CAW2" s="65"/>
      <c r="CAX2" s="65"/>
      <c r="CAY2" s="65"/>
      <c r="CAZ2" s="65"/>
      <c r="CBA2" s="65"/>
      <c r="CBB2" s="65"/>
      <c r="CBC2" s="65"/>
      <c r="CBD2" s="65"/>
      <c r="CBE2" s="65"/>
      <c r="CBF2" s="65"/>
      <c r="CBG2" s="65"/>
      <c r="CBH2" s="65"/>
      <c r="CBI2" s="65"/>
      <c r="CBJ2" s="65"/>
      <c r="CBK2" s="65"/>
      <c r="CBL2" s="65"/>
      <c r="CBM2" s="65"/>
      <c r="CBN2" s="65"/>
      <c r="CBO2" s="65"/>
      <c r="CBP2" s="65"/>
      <c r="CBQ2" s="65"/>
      <c r="CBR2" s="65"/>
      <c r="CBS2" s="65"/>
      <c r="CBT2" s="65"/>
      <c r="CBU2" s="65"/>
      <c r="CBV2" s="65"/>
      <c r="CBW2" s="65"/>
      <c r="CBX2" s="65"/>
      <c r="CBY2" s="65"/>
      <c r="CBZ2" s="65"/>
      <c r="CCA2" s="65"/>
      <c r="CCB2" s="65"/>
      <c r="CCC2" s="65"/>
      <c r="CCD2" s="65"/>
      <c r="CCE2" s="65"/>
      <c r="CCF2" s="65"/>
      <c r="CCG2" s="65"/>
      <c r="CCH2" s="65"/>
      <c r="CCI2" s="65"/>
      <c r="CCJ2" s="65"/>
      <c r="CCK2" s="65"/>
      <c r="CCL2" s="65"/>
      <c r="CCM2" s="65"/>
      <c r="CCN2" s="65"/>
      <c r="CCO2" s="65"/>
      <c r="CCP2" s="65"/>
      <c r="CCQ2" s="65"/>
      <c r="CCR2" s="65"/>
      <c r="CCS2" s="65"/>
      <c r="CCT2" s="65"/>
      <c r="CCU2" s="65"/>
      <c r="CCV2" s="65"/>
      <c r="CCW2" s="65"/>
      <c r="CCX2" s="65"/>
      <c r="CCY2" s="65"/>
      <c r="CCZ2" s="65"/>
      <c r="CDA2" s="65"/>
      <c r="CDB2" s="65"/>
      <c r="CDC2" s="65"/>
      <c r="CDD2" s="65"/>
      <c r="CDE2" s="65"/>
      <c r="CDF2" s="65"/>
      <c r="CDG2" s="65"/>
      <c r="CDH2" s="65"/>
      <c r="CDI2" s="65"/>
      <c r="CDJ2" s="65"/>
      <c r="CDK2" s="65"/>
      <c r="CDL2" s="65"/>
      <c r="CDM2" s="65"/>
      <c r="CDN2" s="65"/>
      <c r="CDO2" s="65"/>
      <c r="CDP2" s="65"/>
      <c r="CDQ2" s="65"/>
      <c r="CDR2" s="65"/>
      <c r="CDS2" s="65"/>
      <c r="CDT2" s="65"/>
      <c r="CDU2" s="65"/>
      <c r="CDV2" s="65"/>
      <c r="CDW2" s="65"/>
      <c r="CDX2" s="65"/>
      <c r="CDY2" s="65"/>
      <c r="CDZ2" s="65"/>
      <c r="CEA2" s="65"/>
      <c r="CEB2" s="65"/>
      <c r="CEC2" s="65"/>
      <c r="CED2" s="65"/>
      <c r="CEE2" s="65"/>
      <c r="CEF2" s="65"/>
      <c r="CEG2" s="65"/>
      <c r="CEH2" s="65"/>
      <c r="CEI2" s="65"/>
      <c r="CEJ2" s="65"/>
      <c r="CEK2" s="65"/>
      <c r="CEL2" s="65"/>
      <c r="CEM2" s="65"/>
      <c r="CEN2" s="65"/>
      <c r="CEO2" s="65"/>
      <c r="CEP2" s="65"/>
      <c r="CEQ2" s="65"/>
      <c r="CER2" s="65"/>
      <c r="CES2" s="65"/>
      <c r="CET2" s="65"/>
      <c r="CEU2" s="65"/>
      <c r="CEV2" s="65"/>
      <c r="CEW2" s="65"/>
      <c r="CEX2" s="65"/>
      <c r="CEY2" s="65"/>
      <c r="CEZ2" s="65"/>
      <c r="CFA2" s="65"/>
      <c r="CFB2" s="65"/>
      <c r="CFC2" s="65"/>
      <c r="CFD2" s="65"/>
      <c r="CFE2" s="65"/>
      <c r="CFF2" s="65"/>
      <c r="CFG2" s="65"/>
      <c r="CFH2" s="65"/>
      <c r="CFI2" s="65"/>
      <c r="CFJ2" s="65"/>
      <c r="CFK2" s="65"/>
      <c r="CFL2" s="65"/>
      <c r="CFM2" s="65"/>
      <c r="CFN2" s="65"/>
      <c r="CFO2" s="65"/>
      <c r="CFP2" s="65"/>
      <c r="CFQ2" s="65"/>
      <c r="CFR2" s="65"/>
      <c r="CFS2" s="65"/>
      <c r="CFT2" s="65"/>
      <c r="CFU2" s="65"/>
      <c r="CFV2" s="65"/>
      <c r="CFW2" s="65"/>
      <c r="CFX2" s="65"/>
      <c r="CFY2" s="65"/>
      <c r="CFZ2" s="65"/>
      <c r="CGA2" s="65"/>
      <c r="CGB2" s="65"/>
      <c r="CGC2" s="65"/>
      <c r="CGD2" s="65"/>
      <c r="CGE2" s="65"/>
      <c r="CGF2" s="65"/>
      <c r="CGG2" s="65"/>
      <c r="CGH2" s="65"/>
      <c r="CGI2" s="65"/>
      <c r="CGJ2" s="65"/>
      <c r="CGK2" s="65"/>
      <c r="CGL2" s="65"/>
      <c r="CGM2" s="65"/>
      <c r="CGN2" s="65"/>
      <c r="CGO2" s="65"/>
      <c r="CGP2" s="65"/>
      <c r="CGQ2" s="65"/>
      <c r="CGR2" s="65"/>
      <c r="CGS2" s="65"/>
      <c r="CGT2" s="65"/>
      <c r="CGU2" s="65"/>
      <c r="CGV2" s="65"/>
      <c r="CGW2" s="65"/>
      <c r="CGX2" s="65"/>
      <c r="CGY2" s="65"/>
      <c r="CGZ2" s="65"/>
      <c r="CHA2" s="65"/>
      <c r="CHB2" s="65"/>
      <c r="CHC2" s="65"/>
      <c r="CHD2" s="65"/>
      <c r="CHE2" s="65"/>
      <c r="CHF2" s="65"/>
      <c r="CHG2" s="65"/>
      <c r="CHH2" s="65"/>
      <c r="CHI2" s="65"/>
      <c r="CHJ2" s="65"/>
      <c r="CHK2" s="65"/>
      <c r="CHL2" s="65"/>
      <c r="CHM2" s="65"/>
      <c r="CHN2" s="65"/>
      <c r="CHO2" s="65"/>
      <c r="CHP2" s="65"/>
      <c r="CHQ2" s="65"/>
      <c r="CHR2" s="65"/>
      <c r="CHS2" s="65"/>
      <c r="CHT2" s="65"/>
      <c r="CHU2" s="65"/>
      <c r="CHV2" s="65"/>
      <c r="CHW2" s="65"/>
      <c r="CHX2" s="65"/>
      <c r="CHY2" s="65"/>
      <c r="CHZ2" s="65"/>
      <c r="CIA2" s="65"/>
      <c r="CIB2" s="65"/>
      <c r="CIC2" s="65"/>
      <c r="CID2" s="65"/>
      <c r="CIE2" s="65"/>
      <c r="CIF2" s="65"/>
      <c r="CIG2" s="65"/>
      <c r="CIH2" s="65"/>
      <c r="CII2" s="65"/>
      <c r="CIJ2" s="65"/>
      <c r="CIK2" s="65"/>
      <c r="CIL2" s="65"/>
      <c r="CIM2" s="65"/>
      <c r="CIN2" s="65"/>
      <c r="CIO2" s="65"/>
      <c r="CIP2" s="65"/>
      <c r="CIQ2" s="65"/>
      <c r="CIR2" s="65"/>
      <c r="CIS2" s="65"/>
      <c r="CIT2" s="65"/>
      <c r="CIU2" s="65"/>
      <c r="CIV2" s="65"/>
      <c r="CIW2" s="65"/>
      <c r="CIX2" s="65"/>
      <c r="CIY2" s="65"/>
      <c r="CIZ2" s="65"/>
      <c r="CJA2" s="65"/>
      <c r="CJB2" s="65"/>
      <c r="CJC2" s="65"/>
      <c r="CJD2" s="65"/>
      <c r="CJE2" s="65"/>
      <c r="CJF2" s="65"/>
      <c r="CJG2" s="65"/>
      <c r="CJH2" s="65"/>
      <c r="CJI2" s="65"/>
      <c r="CJJ2" s="65"/>
      <c r="CJK2" s="65"/>
      <c r="CJL2" s="65"/>
      <c r="CJM2" s="65"/>
      <c r="CJN2" s="65"/>
      <c r="CJO2" s="65"/>
      <c r="CJP2" s="65"/>
      <c r="CJQ2" s="65"/>
      <c r="CJR2" s="65"/>
      <c r="CJS2" s="65"/>
      <c r="CJT2" s="65"/>
      <c r="CJU2" s="65"/>
      <c r="CJV2" s="65"/>
      <c r="CJW2" s="65"/>
      <c r="CJX2" s="65"/>
      <c r="CJY2" s="65"/>
      <c r="CJZ2" s="65"/>
      <c r="CKA2" s="65"/>
      <c r="CKB2" s="65"/>
      <c r="CKC2" s="65"/>
      <c r="CKD2" s="65"/>
      <c r="CKE2" s="65"/>
      <c r="CKF2" s="65"/>
      <c r="CKG2" s="65"/>
      <c r="CKH2" s="65"/>
      <c r="CKI2" s="65"/>
      <c r="CKJ2" s="65"/>
      <c r="CKK2" s="65"/>
      <c r="CKL2" s="65"/>
      <c r="CKM2" s="65"/>
      <c r="CKN2" s="65"/>
      <c r="CKO2" s="65"/>
      <c r="CKP2" s="65"/>
      <c r="CKQ2" s="65"/>
      <c r="CKR2" s="65"/>
      <c r="CKS2" s="65"/>
      <c r="CKT2" s="65"/>
      <c r="CKU2" s="65"/>
      <c r="CKV2" s="65"/>
      <c r="CKW2" s="65"/>
      <c r="CKX2" s="65"/>
      <c r="CKY2" s="65"/>
      <c r="CKZ2" s="65"/>
      <c r="CLA2" s="65"/>
      <c r="CLB2" s="65"/>
      <c r="CLC2" s="65"/>
      <c r="CLD2" s="65"/>
      <c r="CLE2" s="65"/>
      <c r="CLF2" s="65"/>
      <c r="CLG2" s="65"/>
      <c r="CLH2" s="65"/>
      <c r="CLI2" s="65"/>
      <c r="CLJ2" s="65"/>
      <c r="CLK2" s="65"/>
      <c r="CLL2" s="65"/>
      <c r="CLM2" s="65"/>
      <c r="CLN2" s="65"/>
      <c r="CLO2" s="65"/>
      <c r="CLP2" s="65"/>
      <c r="CLQ2" s="65"/>
      <c r="CLR2" s="65"/>
      <c r="CLS2" s="65"/>
      <c r="CLT2" s="65"/>
      <c r="CLU2" s="65"/>
      <c r="CLV2" s="65"/>
      <c r="CLW2" s="65"/>
      <c r="CLX2" s="65"/>
      <c r="CLY2" s="65"/>
      <c r="CLZ2" s="65"/>
      <c r="CMA2" s="65"/>
      <c r="CMB2" s="65"/>
      <c r="CMC2" s="65"/>
      <c r="CMD2" s="65"/>
      <c r="CME2" s="65"/>
      <c r="CMF2" s="65"/>
      <c r="CMG2" s="65"/>
      <c r="CMH2" s="65"/>
      <c r="CMI2" s="65"/>
      <c r="CMJ2" s="65"/>
      <c r="CMK2" s="65"/>
      <c r="CML2" s="65"/>
      <c r="CMM2" s="65"/>
      <c r="CMN2" s="65"/>
      <c r="CMO2" s="65"/>
      <c r="CMP2" s="65"/>
      <c r="CMQ2" s="65"/>
      <c r="CMR2" s="65"/>
      <c r="CMS2" s="65"/>
      <c r="CMT2" s="65"/>
      <c r="CMU2" s="65"/>
      <c r="CMV2" s="65"/>
      <c r="CMW2" s="65"/>
      <c r="CMX2" s="65"/>
      <c r="CMY2" s="65"/>
      <c r="CMZ2" s="65"/>
      <c r="CNA2" s="65"/>
      <c r="CNB2" s="65"/>
      <c r="CNC2" s="65"/>
      <c r="CND2" s="65"/>
      <c r="CNE2" s="65"/>
      <c r="CNF2" s="65"/>
      <c r="CNG2" s="65"/>
      <c r="CNH2" s="65"/>
      <c r="CNI2" s="65"/>
      <c r="CNJ2" s="65"/>
      <c r="CNK2" s="65"/>
      <c r="CNL2" s="65"/>
      <c r="CNM2" s="65"/>
      <c r="CNN2" s="65"/>
      <c r="CNO2" s="65"/>
      <c r="CNP2" s="65"/>
      <c r="CNQ2" s="65"/>
      <c r="CNR2" s="65"/>
      <c r="CNS2" s="65"/>
      <c r="CNT2" s="65"/>
      <c r="CNU2" s="65"/>
      <c r="CNV2" s="65"/>
      <c r="CNW2" s="65"/>
      <c r="CNX2" s="65"/>
      <c r="CNY2" s="65"/>
      <c r="CNZ2" s="65"/>
      <c r="COA2" s="65"/>
      <c r="COB2" s="65"/>
      <c r="COC2" s="65"/>
      <c r="COD2" s="65"/>
      <c r="COE2" s="65"/>
      <c r="COF2" s="65"/>
      <c r="COG2" s="65"/>
      <c r="COH2" s="65"/>
      <c r="COI2" s="65"/>
      <c r="COJ2" s="65"/>
      <c r="COK2" s="65"/>
      <c r="COL2" s="65"/>
      <c r="COM2" s="65"/>
      <c r="CON2" s="65"/>
      <c r="COO2" s="65"/>
      <c r="COP2" s="65"/>
      <c r="COQ2" s="65"/>
      <c r="COR2" s="65"/>
      <c r="COS2" s="65"/>
      <c r="COT2" s="65"/>
      <c r="COU2" s="65"/>
      <c r="COV2" s="65"/>
      <c r="COW2" s="65"/>
      <c r="COX2" s="65"/>
      <c r="COY2" s="65"/>
      <c r="COZ2" s="65"/>
      <c r="CPA2" s="65"/>
      <c r="CPB2" s="65"/>
      <c r="CPC2" s="65"/>
      <c r="CPD2" s="65"/>
      <c r="CPE2" s="65"/>
      <c r="CPF2" s="65"/>
      <c r="CPG2" s="65"/>
      <c r="CPH2" s="65"/>
      <c r="CPI2" s="65"/>
      <c r="CPJ2" s="65"/>
      <c r="CPK2" s="65"/>
      <c r="CPL2" s="65"/>
      <c r="CPM2" s="65"/>
      <c r="CPN2" s="65"/>
      <c r="CPO2" s="65"/>
      <c r="CPP2" s="65"/>
      <c r="CPQ2" s="65"/>
      <c r="CPR2" s="65"/>
      <c r="CPS2" s="65"/>
      <c r="CPT2" s="65"/>
      <c r="CPU2" s="65"/>
      <c r="CPV2" s="65"/>
      <c r="CPW2" s="65"/>
      <c r="CPX2" s="65"/>
      <c r="CPY2" s="65"/>
      <c r="CPZ2" s="65"/>
      <c r="CQA2" s="65"/>
      <c r="CQB2" s="65"/>
      <c r="CQC2" s="65"/>
      <c r="CQD2" s="65"/>
      <c r="CQE2" s="65"/>
      <c r="CQF2" s="65"/>
      <c r="CQG2" s="65"/>
      <c r="CQH2" s="65"/>
      <c r="CQI2" s="65"/>
      <c r="CQJ2" s="65"/>
      <c r="CQK2" s="65"/>
      <c r="CQL2" s="65"/>
      <c r="CQM2" s="65"/>
      <c r="CQN2" s="65"/>
      <c r="CQO2" s="65"/>
      <c r="CQP2" s="65"/>
      <c r="CQQ2" s="65"/>
      <c r="CQR2" s="65"/>
      <c r="CQS2" s="65"/>
      <c r="CQT2" s="65"/>
      <c r="CQU2" s="65"/>
      <c r="CQV2" s="65"/>
      <c r="CQW2" s="65"/>
      <c r="CQX2" s="65"/>
      <c r="CQY2" s="65"/>
      <c r="CQZ2" s="65"/>
      <c r="CRA2" s="65"/>
      <c r="CRB2" s="65"/>
      <c r="CRC2" s="65"/>
      <c r="CRD2" s="65"/>
      <c r="CRE2" s="65"/>
      <c r="CRF2" s="65"/>
      <c r="CRG2" s="65"/>
      <c r="CRH2" s="65"/>
      <c r="CRI2" s="65"/>
      <c r="CRJ2" s="65"/>
      <c r="CRK2" s="65"/>
      <c r="CRL2" s="65"/>
      <c r="CRM2" s="65"/>
      <c r="CRN2" s="65"/>
      <c r="CRO2" s="65"/>
      <c r="CRP2" s="65"/>
      <c r="CRQ2" s="65"/>
      <c r="CRR2" s="65"/>
      <c r="CRS2" s="65"/>
      <c r="CRT2" s="65"/>
      <c r="CRU2" s="65"/>
      <c r="CRV2" s="65"/>
      <c r="CRW2" s="65"/>
      <c r="CRX2" s="65"/>
      <c r="CRY2" s="65"/>
      <c r="CRZ2" s="65"/>
      <c r="CSA2" s="65"/>
      <c r="CSB2" s="65"/>
      <c r="CSC2" s="65"/>
      <c r="CSD2" s="65"/>
      <c r="CSE2" s="65"/>
      <c r="CSF2" s="65"/>
      <c r="CSG2" s="65"/>
      <c r="CSH2" s="65"/>
      <c r="CSI2" s="65"/>
      <c r="CSJ2" s="65"/>
      <c r="CSK2" s="65"/>
      <c r="CSL2" s="65"/>
      <c r="CSM2" s="65"/>
      <c r="CSN2" s="65"/>
      <c r="CSO2" s="65"/>
      <c r="CSP2" s="65"/>
      <c r="CSQ2" s="65"/>
      <c r="CSR2" s="65"/>
      <c r="CSS2" s="65"/>
      <c r="CST2" s="65"/>
      <c r="CSU2" s="65"/>
      <c r="CSV2" s="65"/>
      <c r="CSW2" s="65"/>
      <c r="CSX2" s="65"/>
      <c r="CSY2" s="65"/>
      <c r="CSZ2" s="65"/>
      <c r="CTA2" s="65"/>
      <c r="CTB2" s="65"/>
      <c r="CTC2" s="65"/>
      <c r="CTD2" s="65"/>
      <c r="CTE2" s="65"/>
      <c r="CTF2" s="65"/>
      <c r="CTG2" s="65"/>
      <c r="CTH2" s="65"/>
      <c r="CTI2" s="65"/>
      <c r="CTJ2" s="65"/>
      <c r="CTK2" s="65"/>
      <c r="CTL2" s="65"/>
      <c r="CTM2" s="65"/>
      <c r="CTN2" s="65"/>
      <c r="CTO2" s="65"/>
      <c r="CTP2" s="65"/>
      <c r="CTQ2" s="65"/>
      <c r="CTR2" s="65"/>
      <c r="CTS2" s="65"/>
      <c r="CTT2" s="65"/>
      <c r="CTU2" s="65"/>
      <c r="CTV2" s="65"/>
      <c r="CTW2" s="65"/>
      <c r="CTX2" s="65"/>
      <c r="CTY2" s="65"/>
      <c r="CTZ2" s="65"/>
      <c r="CUA2" s="65"/>
      <c r="CUB2" s="65"/>
      <c r="CUC2" s="65"/>
      <c r="CUD2" s="65"/>
      <c r="CUE2" s="65"/>
      <c r="CUF2" s="65"/>
      <c r="CUG2" s="65"/>
      <c r="CUH2" s="65"/>
      <c r="CUI2" s="65"/>
      <c r="CUJ2" s="65"/>
      <c r="CUK2" s="65"/>
      <c r="CUL2" s="65"/>
      <c r="CUM2" s="65"/>
      <c r="CUN2" s="65"/>
      <c r="CUO2" s="65"/>
      <c r="CUP2" s="65"/>
      <c r="CUQ2" s="65"/>
      <c r="CUR2" s="65"/>
      <c r="CUS2" s="65"/>
      <c r="CUT2" s="65"/>
      <c r="CUU2" s="65"/>
      <c r="CUV2" s="65"/>
      <c r="CUW2" s="65"/>
      <c r="CUX2" s="65"/>
      <c r="CUY2" s="65"/>
      <c r="CUZ2" s="65"/>
      <c r="CVA2" s="65"/>
      <c r="CVB2" s="65"/>
      <c r="CVC2" s="65"/>
      <c r="CVD2" s="65"/>
      <c r="CVE2" s="65"/>
      <c r="CVF2" s="65"/>
      <c r="CVG2" s="65"/>
      <c r="CVH2" s="65"/>
      <c r="CVI2" s="65"/>
      <c r="CVJ2" s="65"/>
      <c r="CVK2" s="65"/>
      <c r="CVL2" s="65"/>
      <c r="CVM2" s="65"/>
      <c r="CVN2" s="65"/>
      <c r="CVO2" s="65"/>
      <c r="CVP2" s="65"/>
      <c r="CVQ2" s="65"/>
      <c r="CVR2" s="65"/>
      <c r="CVS2" s="65"/>
      <c r="CVT2" s="65"/>
      <c r="CVU2" s="65"/>
      <c r="CVV2" s="65"/>
      <c r="CVW2" s="65"/>
      <c r="CVX2" s="65"/>
      <c r="CVY2" s="65"/>
      <c r="CVZ2" s="65"/>
      <c r="CWA2" s="65"/>
      <c r="CWB2" s="65"/>
      <c r="CWC2" s="65"/>
      <c r="CWD2" s="65"/>
      <c r="CWE2" s="65"/>
      <c r="CWF2" s="65"/>
      <c r="CWG2" s="65"/>
      <c r="CWH2" s="65"/>
      <c r="CWI2" s="65"/>
      <c r="CWJ2" s="65"/>
      <c r="CWK2" s="65"/>
      <c r="CWL2" s="65"/>
      <c r="CWM2" s="65"/>
      <c r="CWN2" s="65"/>
      <c r="CWO2" s="65"/>
      <c r="CWP2" s="65"/>
      <c r="CWQ2" s="65"/>
      <c r="CWR2" s="65"/>
      <c r="CWS2" s="65"/>
      <c r="CWT2" s="65"/>
      <c r="CWU2" s="65"/>
      <c r="CWV2" s="65"/>
      <c r="CWW2" s="65"/>
      <c r="CWX2" s="65"/>
      <c r="CWY2" s="65"/>
      <c r="CWZ2" s="65"/>
      <c r="CXA2" s="65"/>
      <c r="CXB2" s="65"/>
      <c r="CXC2" s="65"/>
      <c r="CXD2" s="65"/>
      <c r="CXE2" s="65"/>
      <c r="CXF2" s="65"/>
      <c r="CXG2" s="65"/>
      <c r="CXH2" s="65"/>
      <c r="CXI2" s="65"/>
      <c r="CXJ2" s="65"/>
      <c r="CXK2" s="65"/>
      <c r="CXL2" s="65"/>
      <c r="CXM2" s="65"/>
      <c r="CXN2" s="65"/>
      <c r="CXO2" s="65"/>
      <c r="CXP2" s="65"/>
      <c r="CXQ2" s="65"/>
      <c r="CXR2" s="65"/>
      <c r="CXS2" s="65"/>
      <c r="CXT2" s="65"/>
      <c r="CXU2" s="65"/>
      <c r="CXV2" s="65"/>
      <c r="CXW2" s="65"/>
      <c r="CXX2" s="65"/>
      <c r="CXY2" s="65"/>
      <c r="CXZ2" s="65"/>
      <c r="CYA2" s="65"/>
      <c r="CYB2" s="65"/>
      <c r="CYC2" s="65"/>
      <c r="CYD2" s="65"/>
      <c r="CYE2" s="65"/>
      <c r="CYF2" s="65"/>
      <c r="CYG2" s="65"/>
      <c r="CYH2" s="65"/>
      <c r="CYI2" s="65"/>
      <c r="CYJ2" s="65"/>
      <c r="CYK2" s="65"/>
      <c r="CYL2" s="65"/>
      <c r="CYM2" s="65"/>
      <c r="CYN2" s="65"/>
      <c r="CYO2" s="65"/>
      <c r="CYP2" s="65"/>
      <c r="CYQ2" s="65"/>
      <c r="CYR2" s="65"/>
      <c r="CYS2" s="65"/>
      <c r="CYT2" s="65"/>
      <c r="CYU2" s="65"/>
      <c r="CYV2" s="65"/>
      <c r="CYW2" s="65"/>
      <c r="CYX2" s="65"/>
      <c r="CYY2" s="65"/>
      <c r="CYZ2" s="65"/>
      <c r="CZA2" s="65"/>
      <c r="CZB2" s="65"/>
      <c r="CZC2" s="65"/>
      <c r="CZD2" s="65"/>
      <c r="CZE2" s="65"/>
      <c r="CZF2" s="65"/>
      <c r="CZG2" s="65"/>
      <c r="CZH2" s="65"/>
      <c r="CZI2" s="65"/>
      <c r="CZJ2" s="65"/>
      <c r="CZK2" s="65"/>
      <c r="CZL2" s="65"/>
      <c r="CZM2" s="65"/>
      <c r="CZN2" s="65"/>
      <c r="CZO2" s="65"/>
      <c r="CZP2" s="65"/>
      <c r="CZQ2" s="65"/>
      <c r="CZR2" s="65"/>
      <c r="CZS2" s="65"/>
      <c r="CZT2" s="65"/>
      <c r="CZU2" s="65"/>
      <c r="CZV2" s="65"/>
      <c r="CZW2" s="65"/>
      <c r="CZX2" s="65"/>
      <c r="CZY2" s="65"/>
      <c r="CZZ2" s="65"/>
      <c r="DAA2" s="65"/>
      <c r="DAB2" s="65"/>
      <c r="DAC2" s="65"/>
      <c r="DAD2" s="65"/>
      <c r="DAE2" s="65"/>
      <c r="DAF2" s="65"/>
      <c r="DAG2" s="65"/>
      <c r="DAH2" s="65"/>
      <c r="DAI2" s="65"/>
      <c r="DAJ2" s="65"/>
      <c r="DAK2" s="65"/>
      <c r="DAL2" s="65"/>
      <c r="DAM2" s="65"/>
      <c r="DAN2" s="65"/>
      <c r="DAO2" s="65"/>
      <c r="DAP2" s="65"/>
      <c r="DAQ2" s="65"/>
      <c r="DAR2" s="65"/>
      <c r="DAS2" s="65"/>
      <c r="DAT2" s="65"/>
      <c r="DAU2" s="65"/>
      <c r="DAV2" s="65"/>
      <c r="DAW2" s="65"/>
      <c r="DAX2" s="65"/>
      <c r="DAY2" s="65"/>
      <c r="DAZ2" s="65"/>
      <c r="DBA2" s="65"/>
      <c r="DBB2" s="65"/>
      <c r="DBC2" s="65"/>
      <c r="DBD2" s="65"/>
      <c r="DBE2" s="65"/>
      <c r="DBF2" s="65"/>
      <c r="DBG2" s="65"/>
      <c r="DBH2" s="65"/>
      <c r="DBI2" s="65"/>
      <c r="DBJ2" s="65"/>
      <c r="DBK2" s="65"/>
      <c r="DBL2" s="65"/>
      <c r="DBM2" s="65"/>
      <c r="DBN2" s="65"/>
      <c r="DBO2" s="65"/>
      <c r="DBP2" s="65"/>
      <c r="DBQ2" s="65"/>
      <c r="DBR2" s="65"/>
      <c r="DBS2" s="65"/>
      <c r="DBT2" s="65"/>
      <c r="DBU2" s="65"/>
      <c r="DBV2" s="65"/>
      <c r="DBW2" s="65"/>
      <c r="DBX2" s="65"/>
      <c r="DBY2" s="65"/>
      <c r="DBZ2" s="65"/>
      <c r="DCA2" s="65"/>
      <c r="DCB2" s="65"/>
      <c r="DCC2" s="65"/>
      <c r="DCD2" s="65"/>
      <c r="DCE2" s="65"/>
      <c r="DCF2" s="65"/>
      <c r="DCG2" s="65"/>
      <c r="DCH2" s="65"/>
      <c r="DCI2" s="65"/>
      <c r="DCJ2" s="65"/>
      <c r="DCK2" s="65"/>
      <c r="DCL2" s="65"/>
      <c r="DCM2" s="65"/>
      <c r="DCN2" s="65"/>
      <c r="DCO2" s="65"/>
      <c r="DCP2" s="65"/>
      <c r="DCQ2" s="65"/>
      <c r="DCR2" s="65"/>
      <c r="DCS2" s="65"/>
      <c r="DCT2" s="65"/>
      <c r="DCU2" s="65"/>
      <c r="DCV2" s="65"/>
      <c r="DCW2" s="65"/>
      <c r="DCX2" s="65"/>
      <c r="DCY2" s="65"/>
      <c r="DCZ2" s="65"/>
      <c r="DDA2" s="65"/>
      <c r="DDB2" s="65"/>
      <c r="DDC2" s="65"/>
      <c r="DDD2" s="65"/>
      <c r="DDE2" s="65"/>
      <c r="DDF2" s="65"/>
      <c r="DDG2" s="65"/>
      <c r="DDH2" s="65"/>
      <c r="DDI2" s="65"/>
      <c r="DDJ2" s="65"/>
      <c r="DDK2" s="65"/>
      <c r="DDL2" s="65"/>
      <c r="DDM2" s="65"/>
      <c r="DDN2" s="65"/>
      <c r="DDO2" s="65"/>
      <c r="DDP2" s="65"/>
      <c r="DDQ2" s="65"/>
      <c r="DDR2" s="65"/>
      <c r="DDS2" s="65"/>
      <c r="DDT2" s="65"/>
      <c r="DDU2" s="65"/>
      <c r="DDV2" s="65"/>
      <c r="DDW2" s="65"/>
      <c r="DDX2" s="65"/>
      <c r="DDY2" s="65"/>
      <c r="DDZ2" s="65"/>
      <c r="DEA2" s="65"/>
      <c r="DEB2" s="65"/>
      <c r="DEC2" s="65"/>
      <c r="DED2" s="65"/>
      <c r="DEE2" s="65"/>
      <c r="DEF2" s="65"/>
      <c r="DEG2" s="65"/>
      <c r="DEH2" s="65"/>
      <c r="DEI2" s="65"/>
      <c r="DEJ2" s="65"/>
      <c r="DEK2" s="65"/>
      <c r="DEL2" s="65"/>
      <c r="DEM2" s="65"/>
      <c r="DEN2" s="65"/>
      <c r="DEO2" s="65"/>
      <c r="DEP2" s="65"/>
      <c r="DEQ2" s="65"/>
      <c r="DER2" s="65"/>
      <c r="DES2" s="65"/>
      <c r="DET2" s="65"/>
      <c r="DEU2" s="65"/>
      <c r="DEV2" s="65"/>
      <c r="DEW2" s="65"/>
      <c r="DEX2" s="65"/>
      <c r="DEY2" s="65"/>
      <c r="DEZ2" s="65"/>
      <c r="DFA2" s="65"/>
      <c r="DFB2" s="65"/>
      <c r="DFC2" s="65"/>
      <c r="DFD2" s="65"/>
      <c r="DFE2" s="65"/>
      <c r="DFF2" s="65"/>
      <c r="DFG2" s="65"/>
      <c r="DFH2" s="65"/>
      <c r="DFI2" s="65"/>
      <c r="DFJ2" s="65"/>
      <c r="DFK2" s="65"/>
      <c r="DFL2" s="65"/>
      <c r="DFM2" s="65"/>
      <c r="DFN2" s="65"/>
      <c r="DFO2" s="65"/>
      <c r="DFP2" s="65"/>
      <c r="DFQ2" s="65"/>
      <c r="DFR2" s="65"/>
      <c r="DFS2" s="65"/>
      <c r="DFT2" s="65"/>
      <c r="DFU2" s="65"/>
      <c r="DFV2" s="65"/>
      <c r="DFW2" s="65"/>
      <c r="DFX2" s="65"/>
      <c r="DFY2" s="65"/>
      <c r="DFZ2" s="65"/>
      <c r="DGA2" s="65"/>
      <c r="DGB2" s="65"/>
      <c r="DGC2" s="65"/>
      <c r="DGD2" s="65"/>
      <c r="DGE2" s="65"/>
      <c r="DGF2" s="65"/>
      <c r="DGG2" s="65"/>
      <c r="DGH2" s="65"/>
      <c r="DGI2" s="65"/>
      <c r="DGJ2" s="65"/>
      <c r="DGK2" s="65"/>
      <c r="DGL2" s="65"/>
      <c r="DGM2" s="65"/>
      <c r="DGN2" s="65"/>
      <c r="DGO2" s="65"/>
      <c r="DGP2" s="65"/>
      <c r="DGQ2" s="65"/>
      <c r="DGR2" s="65"/>
      <c r="DGS2" s="65"/>
      <c r="DGT2" s="65"/>
      <c r="DGU2" s="65"/>
      <c r="DGV2" s="65"/>
      <c r="DGW2" s="65"/>
      <c r="DGX2" s="65"/>
      <c r="DGY2" s="65"/>
      <c r="DGZ2" s="65"/>
      <c r="DHA2" s="65"/>
      <c r="DHB2" s="65"/>
      <c r="DHC2" s="65"/>
      <c r="DHD2" s="65"/>
      <c r="DHE2" s="65"/>
      <c r="DHF2" s="65"/>
      <c r="DHG2" s="65"/>
      <c r="DHH2" s="65"/>
      <c r="DHI2" s="65"/>
      <c r="DHJ2" s="65"/>
      <c r="DHK2" s="65"/>
      <c r="DHL2" s="65"/>
      <c r="DHM2" s="65"/>
      <c r="DHN2" s="65"/>
      <c r="DHO2" s="65"/>
      <c r="DHP2" s="65"/>
      <c r="DHQ2" s="65"/>
      <c r="DHR2" s="65"/>
      <c r="DHS2" s="65"/>
      <c r="DHT2" s="65"/>
      <c r="DHU2" s="65"/>
      <c r="DHV2" s="65"/>
      <c r="DHW2" s="65"/>
      <c r="DHX2" s="65"/>
      <c r="DHY2" s="65"/>
      <c r="DHZ2" s="65"/>
      <c r="DIA2" s="65"/>
      <c r="DIB2" s="65"/>
      <c r="DIC2" s="65"/>
      <c r="DID2" s="65"/>
      <c r="DIE2" s="65"/>
      <c r="DIF2" s="65"/>
      <c r="DIG2" s="65"/>
      <c r="DIH2" s="65"/>
      <c r="DII2" s="65"/>
      <c r="DIJ2" s="65"/>
      <c r="DIK2" s="65"/>
      <c r="DIL2" s="65"/>
      <c r="DIM2" s="65"/>
      <c r="DIN2" s="65"/>
      <c r="DIO2" s="65"/>
      <c r="DIP2" s="65"/>
      <c r="DIQ2" s="65"/>
      <c r="DIR2" s="65"/>
      <c r="DIS2" s="65"/>
      <c r="DIT2" s="65"/>
      <c r="DIU2" s="65"/>
      <c r="DIV2" s="65"/>
      <c r="DIW2" s="65"/>
      <c r="DIX2" s="65"/>
      <c r="DIY2" s="65"/>
      <c r="DIZ2" s="65"/>
      <c r="DJA2" s="65"/>
      <c r="DJB2" s="65"/>
      <c r="DJC2" s="65"/>
      <c r="DJD2" s="65"/>
      <c r="DJE2" s="65"/>
      <c r="DJF2" s="65"/>
      <c r="DJG2" s="65"/>
      <c r="DJH2" s="65"/>
      <c r="DJI2" s="65"/>
      <c r="DJJ2" s="65"/>
      <c r="DJK2" s="65"/>
      <c r="DJL2" s="65"/>
      <c r="DJM2" s="65"/>
      <c r="DJN2" s="65"/>
      <c r="DJO2" s="65"/>
      <c r="DJP2" s="65"/>
      <c r="DJQ2" s="65"/>
      <c r="DJR2" s="65"/>
      <c r="DJS2" s="65"/>
      <c r="DJT2" s="65"/>
      <c r="DJU2" s="65"/>
      <c r="DJV2" s="65"/>
      <c r="DJW2" s="65"/>
      <c r="DJX2" s="65"/>
      <c r="DJY2" s="65"/>
      <c r="DJZ2" s="65"/>
      <c r="DKA2" s="65"/>
      <c r="DKB2" s="65"/>
      <c r="DKC2" s="65"/>
      <c r="DKD2" s="65"/>
      <c r="DKE2" s="65"/>
      <c r="DKF2" s="65"/>
      <c r="DKG2" s="65"/>
      <c r="DKH2" s="65"/>
      <c r="DKI2" s="65"/>
      <c r="DKJ2" s="65"/>
      <c r="DKK2" s="65"/>
      <c r="DKL2" s="65"/>
      <c r="DKM2" s="65"/>
      <c r="DKN2" s="65"/>
      <c r="DKO2" s="65"/>
      <c r="DKP2" s="65"/>
      <c r="DKQ2" s="65"/>
      <c r="DKR2" s="65"/>
      <c r="DKS2" s="65"/>
      <c r="DKT2" s="65"/>
      <c r="DKU2" s="65"/>
      <c r="DKV2" s="65"/>
      <c r="DKW2" s="65"/>
      <c r="DKX2" s="65"/>
      <c r="DKY2" s="65"/>
      <c r="DKZ2" s="65"/>
      <c r="DLA2" s="65"/>
      <c r="DLB2" s="65"/>
      <c r="DLC2" s="65"/>
      <c r="DLD2" s="65"/>
      <c r="DLE2" s="65"/>
      <c r="DLF2" s="65"/>
      <c r="DLG2" s="65"/>
      <c r="DLH2" s="65"/>
      <c r="DLI2" s="65"/>
      <c r="DLJ2" s="65"/>
      <c r="DLK2" s="65"/>
      <c r="DLL2" s="65"/>
      <c r="DLM2" s="65"/>
      <c r="DLN2" s="65"/>
      <c r="DLO2" s="65"/>
      <c r="DLP2" s="65"/>
      <c r="DLQ2" s="65"/>
      <c r="DLR2" s="65"/>
      <c r="DLS2" s="65"/>
      <c r="DLT2" s="65"/>
      <c r="DLU2" s="65"/>
      <c r="DLV2" s="65"/>
      <c r="DLW2" s="65"/>
      <c r="DLX2" s="65"/>
      <c r="DLY2" s="65"/>
      <c r="DLZ2" s="65"/>
      <c r="DMA2" s="65"/>
      <c r="DMB2" s="65"/>
      <c r="DMC2" s="65"/>
      <c r="DMD2" s="65"/>
      <c r="DME2" s="65"/>
      <c r="DMF2" s="65"/>
      <c r="DMG2" s="65"/>
      <c r="DMH2" s="65"/>
      <c r="DMI2" s="65"/>
      <c r="DMJ2" s="65"/>
      <c r="DMK2" s="65"/>
      <c r="DML2" s="65"/>
      <c r="DMM2" s="65"/>
      <c r="DMN2" s="65"/>
      <c r="DMO2" s="65"/>
      <c r="DMP2" s="65"/>
      <c r="DMQ2" s="65"/>
      <c r="DMR2" s="65"/>
      <c r="DMS2" s="65"/>
      <c r="DMT2" s="65"/>
      <c r="DMU2" s="65"/>
      <c r="DMV2" s="65"/>
      <c r="DMW2" s="65"/>
      <c r="DMX2" s="65"/>
      <c r="DMY2" s="65"/>
      <c r="DMZ2" s="65"/>
      <c r="DNA2" s="65"/>
      <c r="DNB2" s="65"/>
      <c r="DNC2" s="65"/>
      <c r="DND2" s="65"/>
      <c r="DNE2" s="65"/>
      <c r="DNF2" s="65"/>
      <c r="DNG2" s="65"/>
      <c r="DNH2" s="65"/>
      <c r="DNI2" s="65"/>
      <c r="DNJ2" s="65"/>
      <c r="DNK2" s="65"/>
      <c r="DNL2" s="65"/>
      <c r="DNM2" s="65"/>
      <c r="DNN2" s="65"/>
      <c r="DNO2" s="65"/>
      <c r="DNP2" s="65"/>
      <c r="DNQ2" s="65"/>
      <c r="DNR2" s="65"/>
      <c r="DNS2" s="65"/>
      <c r="DNT2" s="65"/>
      <c r="DNU2" s="65"/>
      <c r="DNV2" s="65"/>
      <c r="DNW2" s="65"/>
      <c r="DNX2" s="65"/>
      <c r="DNY2" s="65"/>
      <c r="DNZ2" s="65"/>
      <c r="DOA2" s="65"/>
      <c r="DOB2" s="65"/>
      <c r="DOC2" s="65"/>
      <c r="DOD2" s="65"/>
      <c r="DOE2" s="65"/>
      <c r="DOF2" s="65"/>
      <c r="DOG2" s="65"/>
      <c r="DOH2" s="65"/>
      <c r="DOI2" s="65"/>
      <c r="DOJ2" s="65"/>
      <c r="DOK2" s="65"/>
      <c r="DOL2" s="65"/>
      <c r="DOM2" s="65"/>
      <c r="DON2" s="65"/>
      <c r="DOO2" s="65"/>
      <c r="DOP2" s="65"/>
      <c r="DOQ2" s="65"/>
      <c r="DOR2" s="65"/>
      <c r="DOS2" s="65"/>
      <c r="DOT2" s="65"/>
      <c r="DOU2" s="65"/>
      <c r="DOV2" s="65"/>
      <c r="DOW2" s="65"/>
      <c r="DOX2" s="65"/>
      <c r="DOY2" s="65"/>
      <c r="DOZ2" s="65"/>
      <c r="DPA2" s="65"/>
      <c r="DPB2" s="65"/>
      <c r="DPC2" s="65"/>
      <c r="DPD2" s="65"/>
      <c r="DPE2" s="65"/>
      <c r="DPF2" s="65"/>
      <c r="DPG2" s="65"/>
      <c r="DPH2" s="65"/>
      <c r="DPI2" s="65"/>
      <c r="DPJ2" s="65"/>
      <c r="DPK2" s="65"/>
      <c r="DPL2" s="65"/>
      <c r="DPM2" s="65"/>
      <c r="DPN2" s="65"/>
      <c r="DPO2" s="65"/>
      <c r="DPP2" s="65"/>
      <c r="DPQ2" s="65"/>
      <c r="DPR2" s="65"/>
      <c r="DPS2" s="65"/>
      <c r="DPT2" s="65"/>
      <c r="DPU2" s="65"/>
      <c r="DPV2" s="65"/>
      <c r="DPW2" s="65"/>
      <c r="DPX2" s="65"/>
      <c r="DPY2" s="65"/>
      <c r="DPZ2" s="65"/>
      <c r="DQA2" s="65"/>
      <c r="DQB2" s="65"/>
      <c r="DQC2" s="65"/>
      <c r="DQD2" s="65"/>
      <c r="DQE2" s="65"/>
      <c r="DQF2" s="65"/>
      <c r="DQG2" s="65"/>
      <c r="DQH2" s="65"/>
      <c r="DQI2" s="65"/>
      <c r="DQJ2" s="65"/>
      <c r="DQK2" s="65"/>
      <c r="DQL2" s="65"/>
      <c r="DQM2" s="65"/>
      <c r="DQN2" s="65"/>
      <c r="DQO2" s="65"/>
      <c r="DQP2" s="65"/>
      <c r="DQQ2" s="65"/>
      <c r="DQR2" s="65"/>
      <c r="DQS2" s="65"/>
      <c r="DQT2" s="65"/>
      <c r="DQU2" s="65"/>
      <c r="DQV2" s="65"/>
      <c r="DQW2" s="65"/>
      <c r="DQX2" s="65"/>
      <c r="DQY2" s="65"/>
      <c r="DQZ2" s="65"/>
      <c r="DRA2" s="65"/>
      <c r="DRB2" s="65"/>
      <c r="DRC2" s="65"/>
      <c r="DRD2" s="65"/>
      <c r="DRE2" s="65"/>
      <c r="DRF2" s="65"/>
      <c r="DRG2" s="65"/>
      <c r="DRH2" s="65"/>
      <c r="DRI2" s="65"/>
      <c r="DRJ2" s="65"/>
      <c r="DRK2" s="65"/>
      <c r="DRL2" s="65"/>
      <c r="DRM2" s="65"/>
      <c r="DRN2" s="65"/>
      <c r="DRO2" s="65"/>
      <c r="DRP2" s="65"/>
      <c r="DRQ2" s="65"/>
      <c r="DRR2" s="65"/>
      <c r="DRS2" s="65"/>
      <c r="DRT2" s="65"/>
      <c r="DRU2" s="65"/>
      <c r="DRV2" s="65"/>
      <c r="DRW2" s="65"/>
      <c r="DRX2" s="65"/>
      <c r="DRY2" s="65"/>
      <c r="DRZ2" s="65"/>
      <c r="DSA2" s="65"/>
      <c r="DSB2" s="65"/>
      <c r="DSC2" s="65"/>
      <c r="DSD2" s="65"/>
      <c r="DSE2" s="65"/>
      <c r="DSF2" s="65"/>
      <c r="DSG2" s="65"/>
      <c r="DSH2" s="65"/>
      <c r="DSI2" s="65"/>
      <c r="DSJ2" s="65"/>
      <c r="DSK2" s="65"/>
      <c r="DSL2" s="65"/>
      <c r="DSM2" s="65"/>
      <c r="DSN2" s="65"/>
      <c r="DSO2" s="65"/>
      <c r="DSP2" s="65"/>
      <c r="DSQ2" s="65"/>
      <c r="DSR2" s="65"/>
      <c r="DSS2" s="65"/>
      <c r="DST2" s="65"/>
      <c r="DSU2" s="65"/>
      <c r="DSV2" s="65"/>
      <c r="DSW2" s="65"/>
      <c r="DSX2" s="65"/>
      <c r="DSY2" s="65"/>
      <c r="DSZ2" s="65"/>
      <c r="DTA2" s="65"/>
      <c r="DTB2" s="65"/>
      <c r="DTC2" s="65"/>
      <c r="DTD2" s="65"/>
      <c r="DTE2" s="65"/>
      <c r="DTF2" s="65"/>
      <c r="DTG2" s="65"/>
      <c r="DTH2" s="65"/>
      <c r="DTI2" s="65"/>
      <c r="DTJ2" s="65"/>
      <c r="DTK2" s="65"/>
      <c r="DTL2" s="65"/>
      <c r="DTM2" s="65"/>
      <c r="DTN2" s="65"/>
      <c r="DTO2" s="65"/>
      <c r="DTP2" s="65"/>
      <c r="DTQ2" s="65"/>
      <c r="DTR2" s="65"/>
      <c r="DTS2" s="65"/>
      <c r="DTT2" s="65"/>
      <c r="DTU2" s="65"/>
      <c r="DTV2" s="65"/>
      <c r="DTW2" s="65"/>
      <c r="DTX2" s="65"/>
      <c r="DTY2" s="65"/>
      <c r="DTZ2" s="65"/>
      <c r="DUA2" s="65"/>
      <c r="DUB2" s="65"/>
      <c r="DUC2" s="65"/>
      <c r="DUD2" s="65"/>
      <c r="DUE2" s="65"/>
      <c r="DUF2" s="65"/>
      <c r="DUG2" s="65"/>
      <c r="DUH2" s="65"/>
      <c r="DUI2" s="65"/>
      <c r="DUJ2" s="65"/>
      <c r="DUK2" s="65"/>
      <c r="DUL2" s="65"/>
      <c r="DUM2" s="65"/>
      <c r="DUN2" s="65"/>
      <c r="DUO2" s="65"/>
      <c r="DUP2" s="65"/>
      <c r="DUQ2" s="65"/>
      <c r="DUR2" s="65"/>
      <c r="DUS2" s="65"/>
      <c r="DUT2" s="65"/>
      <c r="DUU2" s="65"/>
      <c r="DUV2" s="65"/>
      <c r="DUW2" s="65"/>
      <c r="DUX2" s="65"/>
      <c r="DUY2" s="65"/>
      <c r="DUZ2" s="65"/>
      <c r="DVA2" s="65"/>
      <c r="DVB2" s="65"/>
      <c r="DVC2" s="65"/>
      <c r="DVD2" s="65"/>
      <c r="DVE2" s="65"/>
      <c r="DVF2" s="65"/>
      <c r="DVG2" s="65"/>
      <c r="DVH2" s="65"/>
      <c r="DVI2" s="65"/>
      <c r="DVJ2" s="65"/>
      <c r="DVK2" s="65"/>
      <c r="DVL2" s="65"/>
      <c r="DVM2" s="65"/>
      <c r="DVN2" s="65"/>
      <c r="DVO2" s="65"/>
      <c r="DVP2" s="65"/>
      <c r="DVQ2" s="65"/>
      <c r="DVR2" s="65"/>
      <c r="DVS2" s="65"/>
      <c r="DVT2" s="65"/>
      <c r="DVU2" s="65"/>
      <c r="DVV2" s="65"/>
      <c r="DVW2" s="65"/>
      <c r="DVX2" s="65"/>
      <c r="DVY2" s="65"/>
      <c r="DVZ2" s="65"/>
      <c r="DWA2" s="65"/>
      <c r="DWB2" s="65"/>
      <c r="DWC2" s="65"/>
      <c r="DWD2" s="65"/>
      <c r="DWE2" s="65"/>
      <c r="DWF2" s="65"/>
      <c r="DWG2" s="65"/>
      <c r="DWH2" s="65"/>
      <c r="DWI2" s="65"/>
      <c r="DWJ2" s="65"/>
      <c r="DWK2" s="65"/>
      <c r="DWL2" s="65"/>
      <c r="DWM2" s="65"/>
      <c r="DWN2" s="65"/>
      <c r="DWO2" s="65"/>
      <c r="DWP2" s="65"/>
      <c r="DWQ2" s="65"/>
      <c r="DWR2" s="65"/>
      <c r="DWS2" s="65"/>
      <c r="DWT2" s="65"/>
      <c r="DWU2" s="65"/>
      <c r="DWV2" s="65"/>
      <c r="DWW2" s="65"/>
      <c r="DWX2" s="65"/>
      <c r="DWY2" s="65"/>
      <c r="DWZ2" s="65"/>
      <c r="DXA2" s="65"/>
      <c r="DXB2" s="65"/>
      <c r="DXC2" s="65"/>
      <c r="DXD2" s="65"/>
      <c r="DXE2" s="65"/>
      <c r="DXF2" s="65"/>
      <c r="DXG2" s="65"/>
      <c r="DXH2" s="65"/>
      <c r="DXI2" s="65"/>
      <c r="DXJ2" s="65"/>
      <c r="DXK2" s="65"/>
      <c r="DXL2" s="65"/>
      <c r="DXM2" s="65"/>
      <c r="DXN2" s="65"/>
      <c r="DXO2" s="65"/>
      <c r="DXP2" s="65"/>
      <c r="DXQ2" s="65"/>
      <c r="DXR2" s="65"/>
      <c r="DXS2" s="65"/>
      <c r="DXT2" s="65"/>
      <c r="DXU2" s="65"/>
      <c r="DXV2" s="65"/>
      <c r="DXW2" s="65"/>
      <c r="DXX2" s="65"/>
      <c r="DXY2" s="65"/>
      <c r="DXZ2" s="65"/>
      <c r="DYA2" s="65"/>
      <c r="DYB2" s="65"/>
      <c r="DYC2" s="65"/>
      <c r="DYD2" s="65"/>
      <c r="DYE2" s="65"/>
      <c r="DYF2" s="65"/>
      <c r="DYG2" s="65"/>
      <c r="DYH2" s="65"/>
      <c r="DYI2" s="65"/>
      <c r="DYJ2" s="65"/>
      <c r="DYK2" s="65"/>
      <c r="DYL2" s="65"/>
      <c r="DYM2" s="65"/>
      <c r="DYN2" s="65"/>
      <c r="DYO2" s="65"/>
      <c r="DYP2" s="65"/>
      <c r="DYQ2" s="65"/>
      <c r="DYR2" s="65"/>
      <c r="DYS2" s="65"/>
      <c r="DYT2" s="65"/>
      <c r="DYU2" s="65"/>
      <c r="DYV2" s="65"/>
      <c r="DYW2" s="65"/>
      <c r="DYX2" s="65"/>
      <c r="DYY2" s="65"/>
      <c r="DYZ2" s="65"/>
      <c r="DZA2" s="65"/>
      <c r="DZB2" s="65"/>
      <c r="DZC2" s="65"/>
      <c r="DZD2" s="65"/>
      <c r="DZE2" s="65"/>
      <c r="DZF2" s="65"/>
      <c r="DZG2" s="65"/>
      <c r="DZH2" s="65"/>
      <c r="DZI2" s="65"/>
      <c r="DZJ2" s="65"/>
      <c r="DZK2" s="65"/>
      <c r="DZL2" s="65"/>
      <c r="DZM2" s="65"/>
      <c r="DZN2" s="65"/>
      <c r="DZO2" s="65"/>
      <c r="DZP2" s="65"/>
      <c r="DZQ2" s="65"/>
      <c r="DZR2" s="65"/>
      <c r="DZS2" s="65"/>
      <c r="DZT2" s="65"/>
      <c r="DZU2" s="65"/>
      <c r="DZV2" s="65"/>
      <c r="DZW2" s="65"/>
      <c r="DZX2" s="65"/>
      <c r="DZY2" s="65"/>
      <c r="DZZ2" s="65"/>
      <c r="EAA2" s="65"/>
      <c r="EAB2" s="65"/>
      <c r="EAC2" s="65"/>
      <c r="EAD2" s="65"/>
      <c r="EAE2" s="65"/>
      <c r="EAF2" s="65"/>
      <c r="EAG2" s="65"/>
      <c r="EAH2" s="65"/>
      <c r="EAI2" s="65"/>
      <c r="EAJ2" s="65"/>
      <c r="EAK2" s="65"/>
      <c r="EAL2" s="65"/>
      <c r="EAM2" s="65"/>
      <c r="EAN2" s="65"/>
      <c r="EAO2" s="65"/>
      <c r="EAP2" s="65"/>
      <c r="EAQ2" s="65"/>
      <c r="EAR2" s="65"/>
      <c r="EAS2" s="65"/>
      <c r="EAT2" s="65"/>
      <c r="EAU2" s="65"/>
      <c r="EAV2" s="65"/>
      <c r="EAW2" s="65"/>
      <c r="EAX2" s="65"/>
      <c r="EAY2" s="65"/>
      <c r="EAZ2" s="65"/>
      <c r="EBA2" s="65"/>
      <c r="EBB2" s="65"/>
      <c r="EBC2" s="65"/>
      <c r="EBD2" s="65"/>
      <c r="EBE2" s="65"/>
      <c r="EBF2" s="65"/>
      <c r="EBG2" s="65"/>
      <c r="EBH2" s="65"/>
      <c r="EBI2" s="65"/>
      <c r="EBJ2" s="65"/>
      <c r="EBK2" s="65"/>
      <c r="EBL2" s="65"/>
      <c r="EBM2" s="65"/>
      <c r="EBN2" s="65"/>
      <c r="EBO2" s="65"/>
      <c r="EBP2" s="65"/>
      <c r="EBQ2" s="65"/>
      <c r="EBR2" s="65"/>
      <c r="EBS2" s="65"/>
      <c r="EBT2" s="65"/>
      <c r="EBU2" s="65"/>
      <c r="EBV2" s="65"/>
      <c r="EBW2" s="65"/>
      <c r="EBX2" s="65"/>
      <c r="EBY2" s="65"/>
      <c r="EBZ2" s="65"/>
      <c r="ECA2" s="65"/>
      <c r="ECB2" s="65"/>
      <c r="ECC2" s="65"/>
      <c r="ECD2" s="65"/>
      <c r="ECE2" s="65"/>
      <c r="ECF2" s="65"/>
      <c r="ECG2" s="65"/>
      <c r="ECH2" s="65"/>
      <c r="ECI2" s="65"/>
      <c r="ECJ2" s="65"/>
      <c r="ECK2" s="65"/>
      <c r="ECL2" s="65"/>
      <c r="ECM2" s="65"/>
      <c r="ECN2" s="65"/>
      <c r="ECO2" s="65"/>
      <c r="ECP2" s="65"/>
      <c r="ECQ2" s="65"/>
      <c r="ECR2" s="65"/>
      <c r="ECS2" s="65"/>
      <c r="ECT2" s="65"/>
      <c r="ECU2" s="65"/>
      <c r="ECV2" s="65"/>
      <c r="ECW2" s="65"/>
      <c r="ECX2" s="65"/>
      <c r="ECY2" s="65"/>
      <c r="ECZ2" s="65"/>
      <c r="EDA2" s="65"/>
      <c r="EDB2" s="65"/>
      <c r="EDC2" s="65"/>
      <c r="EDD2" s="65"/>
      <c r="EDE2" s="65"/>
      <c r="EDF2" s="65"/>
      <c r="EDG2" s="65"/>
      <c r="EDH2" s="65"/>
      <c r="EDI2" s="65"/>
      <c r="EDJ2" s="65"/>
      <c r="EDK2" s="65"/>
      <c r="EDL2" s="65"/>
      <c r="EDM2" s="65"/>
      <c r="EDN2" s="65"/>
      <c r="EDO2" s="65"/>
      <c r="EDP2" s="65"/>
      <c r="EDQ2" s="65"/>
      <c r="EDR2" s="65"/>
      <c r="EDS2" s="65"/>
      <c r="EDT2" s="65"/>
      <c r="EDU2" s="65"/>
      <c r="EDV2" s="65"/>
      <c r="EDW2" s="65"/>
      <c r="EDX2" s="65"/>
      <c r="EDY2" s="65"/>
      <c r="EDZ2" s="65"/>
      <c r="EEA2" s="65"/>
      <c r="EEB2" s="65"/>
      <c r="EEC2" s="65"/>
      <c r="EED2" s="65"/>
      <c r="EEE2" s="65"/>
      <c r="EEF2" s="65"/>
      <c r="EEG2" s="65"/>
      <c r="EEH2" s="65"/>
      <c r="EEI2" s="65"/>
      <c r="EEJ2" s="65"/>
      <c r="EEK2" s="65"/>
      <c r="EEL2" s="65"/>
      <c r="EEM2" s="65"/>
      <c r="EEN2" s="65"/>
      <c r="EEO2" s="65"/>
      <c r="EEP2" s="65"/>
      <c r="EEQ2" s="65"/>
      <c r="EER2" s="65"/>
      <c r="EES2" s="65"/>
      <c r="EET2" s="65"/>
      <c r="EEU2" s="65"/>
      <c r="EEV2" s="65"/>
      <c r="EEW2" s="65"/>
      <c r="EEX2" s="65"/>
      <c r="EEY2" s="65"/>
      <c r="EEZ2" s="65"/>
      <c r="EFA2" s="65"/>
      <c r="EFB2" s="65"/>
      <c r="EFC2" s="65"/>
      <c r="EFD2" s="65"/>
      <c r="EFE2" s="65"/>
      <c r="EFF2" s="65"/>
      <c r="EFG2" s="65"/>
      <c r="EFH2" s="65"/>
      <c r="EFI2" s="65"/>
      <c r="EFJ2" s="65"/>
      <c r="EFK2" s="65"/>
      <c r="EFL2" s="65"/>
      <c r="EFM2" s="65"/>
      <c r="EFN2" s="65"/>
      <c r="EFO2" s="65"/>
      <c r="EFP2" s="65"/>
      <c r="EFQ2" s="65"/>
      <c r="EFR2" s="65"/>
      <c r="EFS2" s="65"/>
      <c r="EFT2" s="65"/>
      <c r="EFU2" s="65"/>
      <c r="EFV2" s="65"/>
      <c r="EFW2" s="65"/>
      <c r="EFX2" s="65"/>
      <c r="EFY2" s="65"/>
      <c r="EFZ2" s="65"/>
      <c r="EGA2" s="65"/>
      <c r="EGB2" s="65"/>
      <c r="EGC2" s="65"/>
      <c r="EGD2" s="65"/>
      <c r="EGE2" s="65"/>
      <c r="EGF2" s="65"/>
      <c r="EGG2" s="65"/>
      <c r="EGH2" s="65"/>
      <c r="EGI2" s="65"/>
      <c r="EGJ2" s="65"/>
      <c r="EGK2" s="65"/>
      <c r="EGL2" s="65"/>
      <c r="EGM2" s="65"/>
      <c r="EGN2" s="65"/>
      <c r="EGO2" s="65"/>
      <c r="EGP2" s="65"/>
      <c r="EGQ2" s="65"/>
      <c r="EGR2" s="65"/>
      <c r="EGS2" s="65"/>
      <c r="EGT2" s="65"/>
      <c r="EGU2" s="65"/>
      <c r="EGV2" s="65"/>
      <c r="EGW2" s="65"/>
      <c r="EGX2" s="65"/>
      <c r="EGY2" s="65"/>
      <c r="EGZ2" s="65"/>
      <c r="EHA2" s="65"/>
      <c r="EHB2" s="65"/>
      <c r="EHC2" s="65"/>
      <c r="EHD2" s="65"/>
      <c r="EHE2" s="65"/>
      <c r="EHF2" s="65"/>
      <c r="EHG2" s="65"/>
      <c r="EHH2" s="65"/>
      <c r="EHI2" s="65"/>
      <c r="EHJ2" s="65"/>
      <c r="EHK2" s="65"/>
      <c r="EHL2" s="65"/>
      <c r="EHM2" s="65"/>
      <c r="EHN2" s="65"/>
      <c r="EHO2" s="65"/>
      <c r="EHP2" s="65"/>
      <c r="EHQ2" s="65"/>
      <c r="EHR2" s="65"/>
      <c r="EHS2" s="65"/>
      <c r="EHT2" s="65"/>
      <c r="EHU2" s="65"/>
      <c r="EHV2" s="65"/>
      <c r="EHW2" s="65"/>
      <c r="EHX2" s="65"/>
      <c r="EHY2" s="65"/>
      <c r="EHZ2" s="65"/>
      <c r="EIA2" s="65"/>
      <c r="EIB2" s="65"/>
      <c r="EIC2" s="65"/>
      <c r="EID2" s="65"/>
      <c r="EIE2" s="65"/>
      <c r="EIF2" s="65"/>
      <c r="EIG2" s="65"/>
      <c r="EIH2" s="65"/>
      <c r="EII2" s="65"/>
      <c r="EIJ2" s="65"/>
      <c r="EIK2" s="65"/>
      <c r="EIL2" s="65"/>
      <c r="EIM2" s="65"/>
      <c r="EIN2" s="65"/>
      <c r="EIO2" s="65"/>
      <c r="EIP2" s="65"/>
      <c r="EIQ2" s="65"/>
      <c r="EIR2" s="65"/>
      <c r="EIS2" s="65"/>
      <c r="EIT2" s="65"/>
      <c r="EIU2" s="65"/>
      <c r="EIV2" s="65"/>
      <c r="EIW2" s="65"/>
      <c r="EIX2" s="65"/>
      <c r="EIY2" s="65"/>
      <c r="EIZ2" s="65"/>
      <c r="EJA2" s="65"/>
      <c r="EJB2" s="65"/>
      <c r="EJC2" s="65"/>
      <c r="EJD2" s="65"/>
      <c r="EJE2" s="65"/>
      <c r="EJF2" s="65"/>
      <c r="EJG2" s="65"/>
      <c r="EJH2" s="65"/>
      <c r="EJI2" s="65"/>
      <c r="EJJ2" s="65"/>
      <c r="EJK2" s="65"/>
      <c r="EJL2" s="65"/>
      <c r="EJM2" s="65"/>
      <c r="EJN2" s="65"/>
      <c r="EJO2" s="65"/>
      <c r="EJP2" s="65"/>
      <c r="EJQ2" s="65"/>
      <c r="EJR2" s="65"/>
      <c r="EJS2" s="65"/>
      <c r="EJT2" s="65"/>
      <c r="EJU2" s="65"/>
      <c r="EJV2" s="65"/>
      <c r="EJW2" s="65"/>
      <c r="EJX2" s="65"/>
      <c r="EJY2" s="65"/>
      <c r="EJZ2" s="65"/>
      <c r="EKA2" s="65"/>
      <c r="EKB2" s="65"/>
      <c r="EKC2" s="65"/>
      <c r="EKD2" s="65"/>
      <c r="EKE2" s="65"/>
      <c r="EKF2" s="65"/>
      <c r="EKG2" s="65"/>
      <c r="EKH2" s="65"/>
      <c r="EKI2" s="65"/>
      <c r="EKJ2" s="65"/>
      <c r="EKK2" s="65"/>
      <c r="EKL2" s="65"/>
      <c r="EKM2" s="65"/>
      <c r="EKN2" s="65"/>
      <c r="EKO2" s="65"/>
      <c r="EKP2" s="65"/>
      <c r="EKQ2" s="65"/>
      <c r="EKR2" s="65"/>
      <c r="EKS2" s="65"/>
      <c r="EKT2" s="65"/>
      <c r="EKU2" s="65"/>
      <c r="EKV2" s="65"/>
      <c r="EKW2" s="65"/>
      <c r="EKX2" s="65"/>
      <c r="EKY2" s="65"/>
      <c r="EKZ2" s="65"/>
      <c r="ELA2" s="65"/>
      <c r="ELB2" s="65"/>
      <c r="ELC2" s="65"/>
      <c r="ELD2" s="65"/>
      <c r="ELE2" s="65"/>
      <c r="ELF2" s="65"/>
      <c r="ELG2" s="65"/>
      <c r="ELH2" s="65"/>
      <c r="ELI2" s="65"/>
      <c r="ELJ2" s="65"/>
      <c r="ELK2" s="65"/>
      <c r="ELL2" s="65"/>
      <c r="ELM2" s="65"/>
      <c r="ELN2" s="65"/>
      <c r="ELO2" s="65"/>
      <c r="ELP2" s="65"/>
      <c r="ELQ2" s="65"/>
      <c r="ELR2" s="65"/>
      <c r="ELS2" s="65"/>
      <c r="ELT2" s="65"/>
      <c r="ELU2" s="65"/>
      <c r="ELV2" s="65"/>
      <c r="ELW2" s="65"/>
      <c r="ELX2" s="65"/>
      <c r="ELY2" s="65"/>
      <c r="ELZ2" s="65"/>
      <c r="EMA2" s="65"/>
      <c r="EMB2" s="65"/>
      <c r="EMC2" s="65"/>
      <c r="EMD2" s="65"/>
      <c r="EME2" s="65"/>
      <c r="EMF2" s="65"/>
      <c r="EMG2" s="65"/>
      <c r="EMH2" s="65"/>
      <c r="EMI2" s="65"/>
      <c r="EMJ2" s="65"/>
      <c r="EMK2" s="65"/>
      <c r="EML2" s="65"/>
      <c r="EMM2" s="65"/>
      <c r="EMN2" s="65"/>
      <c r="EMO2" s="65"/>
      <c r="EMP2" s="65"/>
      <c r="EMQ2" s="65"/>
      <c r="EMR2" s="65"/>
      <c r="EMS2" s="65"/>
      <c r="EMT2" s="65"/>
      <c r="EMU2" s="65"/>
      <c r="EMV2" s="65"/>
      <c r="EMW2" s="65"/>
      <c r="EMX2" s="65"/>
      <c r="EMY2" s="65"/>
      <c r="EMZ2" s="65"/>
      <c r="ENA2" s="65"/>
      <c r="ENB2" s="65"/>
      <c r="ENC2" s="65"/>
      <c r="END2" s="65"/>
      <c r="ENE2" s="65"/>
      <c r="ENF2" s="65"/>
      <c r="ENG2" s="65"/>
      <c r="ENH2" s="65"/>
      <c r="ENI2" s="65"/>
      <c r="ENJ2" s="65"/>
      <c r="ENK2" s="65"/>
      <c r="ENL2" s="65"/>
      <c r="ENM2" s="65"/>
      <c r="ENN2" s="65"/>
      <c r="ENO2" s="65"/>
      <c r="ENP2" s="65"/>
      <c r="ENQ2" s="65"/>
      <c r="ENR2" s="65"/>
      <c r="ENS2" s="65"/>
      <c r="ENT2" s="65"/>
      <c r="ENU2" s="65"/>
      <c r="ENV2" s="65"/>
      <c r="ENW2" s="65"/>
      <c r="ENX2" s="65"/>
      <c r="ENY2" s="65"/>
      <c r="ENZ2" s="65"/>
      <c r="EOA2" s="65"/>
      <c r="EOB2" s="65"/>
      <c r="EOC2" s="65"/>
      <c r="EOD2" s="65"/>
      <c r="EOE2" s="65"/>
      <c r="EOF2" s="65"/>
      <c r="EOG2" s="65"/>
      <c r="EOH2" s="65"/>
      <c r="EOI2" s="65"/>
      <c r="EOJ2" s="65"/>
      <c r="EOK2" s="65"/>
      <c r="EOL2" s="65"/>
      <c r="EOM2" s="65"/>
      <c r="EON2" s="65"/>
      <c r="EOO2" s="65"/>
      <c r="EOP2" s="65"/>
      <c r="EOQ2" s="65"/>
      <c r="EOR2" s="65"/>
      <c r="EOS2" s="65"/>
      <c r="EOT2" s="65"/>
      <c r="EOU2" s="65"/>
      <c r="EOV2" s="65"/>
      <c r="EOW2" s="65"/>
      <c r="EOX2" s="65"/>
      <c r="EOY2" s="65"/>
      <c r="EOZ2" s="65"/>
      <c r="EPA2" s="65"/>
      <c r="EPB2" s="65"/>
      <c r="EPC2" s="65"/>
      <c r="EPD2" s="65"/>
      <c r="EPE2" s="65"/>
      <c r="EPF2" s="65"/>
      <c r="EPG2" s="65"/>
      <c r="EPH2" s="65"/>
      <c r="EPI2" s="65"/>
      <c r="EPJ2" s="65"/>
      <c r="EPK2" s="65"/>
      <c r="EPL2" s="65"/>
      <c r="EPM2" s="65"/>
      <c r="EPN2" s="65"/>
      <c r="EPO2" s="65"/>
      <c r="EPP2" s="65"/>
      <c r="EPQ2" s="65"/>
      <c r="EPR2" s="65"/>
      <c r="EPS2" s="65"/>
      <c r="EPT2" s="65"/>
      <c r="EPU2" s="65"/>
      <c r="EPV2" s="65"/>
      <c r="EPW2" s="65"/>
      <c r="EPX2" s="65"/>
      <c r="EPY2" s="65"/>
      <c r="EPZ2" s="65"/>
      <c r="EQA2" s="65"/>
      <c r="EQB2" s="65"/>
      <c r="EQC2" s="65"/>
      <c r="EQD2" s="65"/>
      <c r="EQE2" s="65"/>
      <c r="EQF2" s="65"/>
      <c r="EQG2" s="65"/>
      <c r="EQH2" s="65"/>
      <c r="EQI2" s="65"/>
      <c r="EQJ2" s="65"/>
      <c r="EQK2" s="65"/>
      <c r="EQL2" s="65"/>
      <c r="EQM2" s="65"/>
      <c r="EQN2" s="65"/>
      <c r="EQO2" s="65"/>
      <c r="EQP2" s="65"/>
      <c r="EQQ2" s="65"/>
      <c r="EQR2" s="65"/>
      <c r="EQS2" s="65"/>
      <c r="EQT2" s="65"/>
      <c r="EQU2" s="65"/>
      <c r="EQV2" s="65"/>
      <c r="EQW2" s="65"/>
      <c r="EQX2" s="65"/>
      <c r="EQY2" s="65"/>
      <c r="EQZ2" s="65"/>
      <c r="ERA2" s="65"/>
      <c r="ERB2" s="65"/>
      <c r="ERC2" s="65"/>
      <c r="ERD2" s="65"/>
      <c r="ERE2" s="65"/>
      <c r="ERF2" s="65"/>
      <c r="ERG2" s="65"/>
      <c r="ERH2" s="65"/>
      <c r="ERI2" s="65"/>
      <c r="ERJ2" s="65"/>
      <c r="ERK2" s="65"/>
      <c r="ERL2" s="65"/>
      <c r="ERM2" s="65"/>
      <c r="ERN2" s="65"/>
      <c r="ERO2" s="65"/>
      <c r="ERP2" s="65"/>
      <c r="ERQ2" s="65"/>
      <c r="ERR2" s="65"/>
      <c r="ERS2" s="65"/>
      <c r="ERT2" s="65"/>
      <c r="ERU2" s="65"/>
      <c r="ERV2" s="65"/>
      <c r="ERW2" s="65"/>
      <c r="ERX2" s="65"/>
      <c r="ERY2" s="65"/>
      <c r="ERZ2" s="65"/>
      <c r="ESA2" s="65"/>
      <c r="ESB2" s="65"/>
      <c r="ESC2" s="65"/>
      <c r="ESD2" s="65"/>
      <c r="ESE2" s="65"/>
      <c r="ESF2" s="65"/>
      <c r="ESG2" s="65"/>
      <c r="ESH2" s="65"/>
      <c r="ESI2" s="65"/>
      <c r="ESJ2" s="65"/>
      <c r="ESK2" s="65"/>
      <c r="ESL2" s="65"/>
      <c r="ESM2" s="65"/>
      <c r="ESN2" s="65"/>
      <c r="ESO2" s="65"/>
      <c r="ESP2" s="65"/>
      <c r="ESQ2" s="65"/>
      <c r="ESR2" s="65"/>
      <c r="ESS2" s="65"/>
      <c r="EST2" s="65"/>
      <c r="ESU2" s="65"/>
      <c r="ESV2" s="65"/>
      <c r="ESW2" s="65"/>
      <c r="ESX2" s="65"/>
      <c r="ESY2" s="65"/>
      <c r="ESZ2" s="65"/>
      <c r="ETA2" s="65"/>
      <c r="ETB2" s="65"/>
      <c r="ETC2" s="65"/>
      <c r="ETD2" s="65"/>
      <c r="ETE2" s="65"/>
      <c r="ETF2" s="65"/>
      <c r="ETG2" s="65"/>
      <c r="ETH2" s="65"/>
      <c r="ETI2" s="65"/>
      <c r="ETJ2" s="65"/>
      <c r="ETK2" s="65"/>
      <c r="ETL2" s="65"/>
      <c r="ETM2" s="65"/>
      <c r="ETN2" s="65"/>
      <c r="ETO2" s="65"/>
      <c r="ETP2" s="65"/>
      <c r="ETQ2" s="65"/>
      <c r="ETR2" s="65"/>
      <c r="ETS2" s="65"/>
      <c r="ETT2" s="65"/>
      <c r="ETU2" s="65"/>
      <c r="ETV2" s="65"/>
      <c r="ETW2" s="65"/>
      <c r="ETX2" s="65"/>
      <c r="ETY2" s="65"/>
      <c r="ETZ2" s="65"/>
      <c r="EUA2" s="65"/>
      <c r="EUB2" s="65"/>
      <c r="EUC2" s="65"/>
      <c r="EUD2" s="65"/>
      <c r="EUE2" s="65"/>
      <c r="EUF2" s="65"/>
      <c r="EUG2" s="65"/>
      <c r="EUH2" s="65"/>
      <c r="EUI2" s="65"/>
      <c r="EUJ2" s="65"/>
      <c r="EUK2" s="65"/>
      <c r="EUL2" s="65"/>
      <c r="EUM2" s="65"/>
      <c r="EUN2" s="65"/>
      <c r="EUO2" s="65"/>
      <c r="EUP2" s="65"/>
      <c r="EUQ2" s="65"/>
      <c r="EUR2" s="65"/>
      <c r="EUS2" s="65"/>
      <c r="EUT2" s="65"/>
      <c r="EUU2" s="65"/>
      <c r="EUV2" s="65"/>
      <c r="EUW2" s="65"/>
      <c r="EUX2" s="65"/>
      <c r="EUY2" s="65"/>
      <c r="EUZ2" s="65"/>
      <c r="EVA2" s="65"/>
      <c r="EVB2" s="65"/>
      <c r="EVC2" s="65"/>
      <c r="EVD2" s="65"/>
      <c r="EVE2" s="65"/>
      <c r="EVF2" s="65"/>
      <c r="EVG2" s="65"/>
      <c r="EVH2" s="65"/>
      <c r="EVI2" s="65"/>
      <c r="EVJ2" s="65"/>
      <c r="EVK2" s="65"/>
      <c r="EVL2" s="65"/>
      <c r="EVM2" s="65"/>
      <c r="EVN2" s="65"/>
      <c r="EVO2" s="65"/>
      <c r="EVP2" s="65"/>
      <c r="EVQ2" s="65"/>
      <c r="EVR2" s="65"/>
      <c r="EVS2" s="65"/>
      <c r="EVT2" s="65"/>
      <c r="EVU2" s="65"/>
      <c r="EVV2" s="65"/>
      <c r="EVW2" s="65"/>
      <c r="EVX2" s="65"/>
      <c r="EVY2" s="65"/>
      <c r="EVZ2" s="65"/>
      <c r="EWA2" s="65"/>
      <c r="EWB2" s="65"/>
      <c r="EWC2" s="65"/>
      <c r="EWD2" s="65"/>
      <c r="EWE2" s="65"/>
      <c r="EWF2" s="65"/>
      <c r="EWG2" s="65"/>
      <c r="EWH2" s="65"/>
      <c r="EWI2" s="65"/>
      <c r="EWJ2" s="65"/>
      <c r="EWK2" s="65"/>
      <c r="EWL2" s="65"/>
      <c r="EWM2" s="65"/>
      <c r="EWN2" s="65"/>
      <c r="EWO2" s="65"/>
      <c r="EWP2" s="65"/>
      <c r="EWQ2" s="65"/>
      <c r="EWR2" s="65"/>
      <c r="EWS2" s="65"/>
      <c r="EWT2" s="65"/>
      <c r="EWU2" s="65"/>
      <c r="EWV2" s="65"/>
      <c r="EWW2" s="65"/>
      <c r="EWX2" s="65"/>
      <c r="EWY2" s="65"/>
      <c r="EWZ2" s="65"/>
      <c r="EXA2" s="65"/>
      <c r="EXB2" s="65"/>
      <c r="EXC2" s="65"/>
      <c r="EXD2" s="65"/>
      <c r="EXE2" s="65"/>
      <c r="EXF2" s="65"/>
      <c r="EXG2" s="65"/>
      <c r="EXH2" s="65"/>
      <c r="EXI2" s="65"/>
      <c r="EXJ2" s="65"/>
      <c r="EXK2" s="65"/>
      <c r="EXL2" s="65"/>
      <c r="EXM2" s="65"/>
      <c r="EXN2" s="65"/>
      <c r="EXO2" s="65"/>
      <c r="EXP2" s="65"/>
      <c r="EXQ2" s="65"/>
      <c r="EXR2" s="65"/>
      <c r="EXS2" s="65"/>
      <c r="EXT2" s="65"/>
      <c r="EXU2" s="65"/>
      <c r="EXV2" s="65"/>
      <c r="EXW2" s="65"/>
      <c r="EXX2" s="65"/>
      <c r="EXY2" s="65"/>
      <c r="EXZ2" s="65"/>
      <c r="EYA2" s="65"/>
      <c r="EYB2" s="65"/>
      <c r="EYC2" s="65"/>
      <c r="EYD2" s="65"/>
      <c r="EYE2" s="65"/>
      <c r="EYF2" s="65"/>
      <c r="EYG2" s="65"/>
      <c r="EYH2" s="65"/>
      <c r="EYI2" s="65"/>
      <c r="EYJ2" s="65"/>
      <c r="EYK2" s="65"/>
      <c r="EYL2" s="65"/>
      <c r="EYM2" s="65"/>
      <c r="EYN2" s="65"/>
      <c r="EYO2" s="65"/>
      <c r="EYP2" s="65"/>
      <c r="EYQ2" s="65"/>
      <c r="EYR2" s="65"/>
      <c r="EYS2" s="65"/>
      <c r="EYT2" s="65"/>
      <c r="EYU2" s="65"/>
      <c r="EYV2" s="65"/>
      <c r="EYW2" s="65"/>
      <c r="EYX2" s="65"/>
      <c r="EYY2" s="65"/>
      <c r="EYZ2" s="65"/>
      <c r="EZA2" s="65"/>
      <c r="EZB2" s="65"/>
      <c r="EZC2" s="65"/>
      <c r="EZD2" s="65"/>
      <c r="EZE2" s="65"/>
      <c r="EZF2" s="65"/>
      <c r="EZG2" s="65"/>
      <c r="EZH2" s="65"/>
      <c r="EZI2" s="65"/>
      <c r="EZJ2" s="65"/>
      <c r="EZK2" s="65"/>
      <c r="EZL2" s="65"/>
      <c r="EZM2" s="65"/>
      <c r="EZN2" s="65"/>
      <c r="EZO2" s="65"/>
      <c r="EZP2" s="65"/>
      <c r="EZQ2" s="65"/>
      <c r="EZR2" s="65"/>
      <c r="EZS2" s="65"/>
      <c r="EZT2" s="65"/>
      <c r="EZU2" s="65"/>
      <c r="EZV2" s="65"/>
      <c r="EZW2" s="65"/>
      <c r="EZX2" s="65"/>
      <c r="EZY2" s="65"/>
      <c r="EZZ2" s="65"/>
      <c r="FAA2" s="65"/>
      <c r="FAB2" s="65"/>
      <c r="FAC2" s="65"/>
      <c r="FAD2" s="65"/>
      <c r="FAE2" s="65"/>
      <c r="FAF2" s="65"/>
      <c r="FAG2" s="65"/>
      <c r="FAH2" s="65"/>
      <c r="FAI2" s="65"/>
      <c r="FAJ2" s="65"/>
      <c r="FAK2" s="65"/>
      <c r="FAL2" s="65"/>
      <c r="FAM2" s="65"/>
      <c r="FAN2" s="65"/>
      <c r="FAO2" s="65"/>
      <c r="FAP2" s="65"/>
      <c r="FAQ2" s="65"/>
      <c r="FAR2" s="65"/>
      <c r="FAS2" s="65"/>
      <c r="FAT2" s="65"/>
      <c r="FAU2" s="65"/>
      <c r="FAV2" s="65"/>
      <c r="FAW2" s="65"/>
      <c r="FAX2" s="65"/>
      <c r="FAY2" s="65"/>
      <c r="FAZ2" s="65"/>
      <c r="FBA2" s="65"/>
      <c r="FBB2" s="65"/>
      <c r="FBC2" s="65"/>
      <c r="FBD2" s="65"/>
      <c r="FBE2" s="65"/>
      <c r="FBF2" s="65"/>
      <c r="FBG2" s="65"/>
      <c r="FBH2" s="65"/>
      <c r="FBI2" s="65"/>
      <c r="FBJ2" s="65"/>
      <c r="FBK2" s="65"/>
      <c r="FBL2" s="65"/>
      <c r="FBM2" s="65"/>
      <c r="FBN2" s="65"/>
      <c r="FBO2" s="65"/>
      <c r="FBP2" s="65"/>
      <c r="FBQ2" s="65"/>
      <c r="FBR2" s="65"/>
      <c r="FBS2" s="65"/>
      <c r="FBT2" s="65"/>
      <c r="FBU2" s="65"/>
      <c r="FBV2" s="65"/>
      <c r="FBW2" s="65"/>
      <c r="FBX2" s="65"/>
      <c r="FBY2" s="65"/>
      <c r="FBZ2" s="65"/>
      <c r="FCA2" s="65"/>
      <c r="FCB2" s="65"/>
      <c r="FCC2" s="65"/>
      <c r="FCD2" s="65"/>
      <c r="FCE2" s="65"/>
      <c r="FCF2" s="65"/>
      <c r="FCG2" s="65"/>
      <c r="FCH2" s="65"/>
      <c r="FCI2" s="65"/>
      <c r="FCJ2" s="65"/>
      <c r="FCK2" s="65"/>
      <c r="FCL2" s="65"/>
      <c r="FCM2" s="65"/>
      <c r="FCN2" s="65"/>
      <c r="FCO2" s="65"/>
      <c r="FCP2" s="65"/>
      <c r="FCQ2" s="65"/>
      <c r="FCR2" s="65"/>
      <c r="FCS2" s="65"/>
      <c r="FCT2" s="65"/>
      <c r="FCU2" s="65"/>
      <c r="FCV2" s="65"/>
      <c r="FCW2" s="65"/>
      <c r="FCX2" s="65"/>
      <c r="FCY2" s="65"/>
      <c r="FCZ2" s="65"/>
      <c r="FDA2" s="65"/>
      <c r="FDB2" s="65"/>
      <c r="FDC2" s="65"/>
      <c r="FDD2" s="65"/>
      <c r="FDE2" s="65"/>
      <c r="FDF2" s="65"/>
      <c r="FDG2" s="65"/>
      <c r="FDH2" s="65"/>
      <c r="FDI2" s="65"/>
      <c r="FDJ2" s="65"/>
      <c r="FDK2" s="65"/>
      <c r="FDL2" s="65"/>
      <c r="FDM2" s="65"/>
      <c r="FDN2" s="65"/>
      <c r="FDO2" s="65"/>
      <c r="FDP2" s="65"/>
      <c r="FDQ2" s="65"/>
      <c r="FDR2" s="65"/>
      <c r="FDS2" s="65"/>
      <c r="FDT2" s="65"/>
      <c r="FDU2" s="65"/>
      <c r="FDV2" s="65"/>
      <c r="FDW2" s="65"/>
      <c r="FDX2" s="65"/>
      <c r="FDY2" s="65"/>
      <c r="FDZ2" s="65"/>
      <c r="FEA2" s="65"/>
      <c r="FEB2" s="65"/>
      <c r="FEC2" s="65"/>
      <c r="FED2" s="65"/>
      <c r="FEE2" s="65"/>
      <c r="FEF2" s="65"/>
      <c r="FEG2" s="65"/>
      <c r="FEH2" s="65"/>
      <c r="FEI2" s="65"/>
      <c r="FEJ2" s="65"/>
      <c r="FEK2" s="65"/>
      <c r="FEL2" s="65"/>
      <c r="FEM2" s="65"/>
      <c r="FEN2" s="65"/>
      <c r="FEO2" s="65"/>
      <c r="FEP2" s="65"/>
      <c r="FEQ2" s="65"/>
      <c r="FER2" s="65"/>
      <c r="FES2" s="65"/>
      <c r="FET2" s="65"/>
      <c r="FEU2" s="65"/>
      <c r="FEV2" s="65"/>
      <c r="FEW2" s="65"/>
      <c r="FEX2" s="65"/>
      <c r="FEY2" s="65"/>
      <c r="FEZ2" s="65"/>
      <c r="FFA2" s="65"/>
      <c r="FFB2" s="65"/>
      <c r="FFC2" s="65"/>
      <c r="FFD2" s="65"/>
      <c r="FFE2" s="65"/>
      <c r="FFF2" s="65"/>
      <c r="FFG2" s="65"/>
      <c r="FFH2" s="65"/>
      <c r="FFI2" s="65"/>
      <c r="FFJ2" s="65"/>
      <c r="FFK2" s="65"/>
      <c r="FFL2" s="65"/>
      <c r="FFM2" s="65"/>
      <c r="FFN2" s="65"/>
      <c r="FFO2" s="65"/>
      <c r="FFP2" s="65"/>
      <c r="FFQ2" s="65"/>
      <c r="FFR2" s="65"/>
      <c r="FFS2" s="65"/>
      <c r="FFT2" s="65"/>
      <c r="FFU2" s="65"/>
      <c r="FFV2" s="65"/>
      <c r="FFW2" s="65"/>
      <c r="FFX2" s="65"/>
      <c r="FFY2" s="65"/>
      <c r="FFZ2" s="65"/>
      <c r="FGA2" s="65"/>
      <c r="FGB2" s="65"/>
      <c r="FGC2" s="65"/>
      <c r="FGD2" s="65"/>
      <c r="FGE2" s="65"/>
      <c r="FGF2" s="65"/>
      <c r="FGG2" s="65"/>
      <c r="FGH2" s="65"/>
      <c r="FGI2" s="65"/>
      <c r="FGJ2" s="65"/>
      <c r="FGK2" s="65"/>
      <c r="FGL2" s="65"/>
      <c r="FGM2" s="65"/>
      <c r="FGN2" s="65"/>
      <c r="FGO2" s="65"/>
      <c r="FGP2" s="65"/>
      <c r="FGQ2" s="65"/>
      <c r="FGR2" s="65"/>
      <c r="FGS2" s="65"/>
      <c r="FGT2" s="65"/>
      <c r="FGU2" s="65"/>
      <c r="FGV2" s="65"/>
      <c r="FGW2" s="65"/>
      <c r="FGX2" s="65"/>
      <c r="FGY2" s="65"/>
      <c r="FGZ2" s="65"/>
      <c r="FHA2" s="65"/>
      <c r="FHB2" s="65"/>
      <c r="FHC2" s="65"/>
      <c r="FHD2" s="65"/>
      <c r="FHE2" s="65"/>
      <c r="FHF2" s="65"/>
      <c r="FHG2" s="65"/>
      <c r="FHH2" s="65"/>
      <c r="FHI2" s="65"/>
      <c r="FHJ2" s="65"/>
      <c r="FHK2" s="65"/>
      <c r="FHL2" s="65"/>
      <c r="FHM2" s="65"/>
      <c r="FHN2" s="65"/>
      <c r="FHO2" s="65"/>
      <c r="FHP2" s="65"/>
      <c r="FHQ2" s="65"/>
      <c r="FHR2" s="65"/>
      <c r="FHS2" s="65"/>
      <c r="FHT2" s="65"/>
      <c r="FHU2" s="65"/>
      <c r="FHV2" s="65"/>
      <c r="FHW2" s="65"/>
      <c r="FHX2" s="65"/>
      <c r="FHY2" s="65"/>
      <c r="FHZ2" s="65"/>
      <c r="FIA2" s="65"/>
      <c r="FIB2" s="65"/>
      <c r="FIC2" s="65"/>
      <c r="FID2" s="65"/>
      <c r="FIE2" s="65"/>
      <c r="FIF2" s="65"/>
      <c r="FIG2" s="65"/>
      <c r="FIH2" s="65"/>
      <c r="FII2" s="65"/>
      <c r="FIJ2" s="65"/>
      <c r="FIK2" s="65"/>
      <c r="FIL2" s="65"/>
      <c r="FIM2" s="65"/>
      <c r="FIN2" s="65"/>
      <c r="FIO2" s="65"/>
      <c r="FIP2" s="65"/>
      <c r="FIQ2" s="65"/>
      <c r="FIR2" s="65"/>
      <c r="FIS2" s="65"/>
      <c r="FIT2" s="65"/>
      <c r="FIU2" s="65"/>
      <c r="FIV2" s="65"/>
      <c r="FIW2" s="65"/>
      <c r="FIX2" s="65"/>
      <c r="FIY2" s="65"/>
      <c r="FIZ2" s="65"/>
      <c r="FJA2" s="65"/>
      <c r="FJB2" s="65"/>
      <c r="FJC2" s="65"/>
      <c r="FJD2" s="65"/>
      <c r="FJE2" s="65"/>
      <c r="FJF2" s="65"/>
      <c r="FJG2" s="65"/>
      <c r="FJH2" s="65"/>
      <c r="FJI2" s="65"/>
      <c r="FJJ2" s="65"/>
      <c r="FJK2" s="65"/>
      <c r="FJL2" s="65"/>
      <c r="FJM2" s="65"/>
      <c r="FJN2" s="65"/>
      <c r="FJO2" s="65"/>
      <c r="FJP2" s="65"/>
      <c r="FJQ2" s="65"/>
      <c r="FJR2" s="65"/>
      <c r="FJS2" s="65"/>
      <c r="FJT2" s="65"/>
      <c r="FJU2" s="65"/>
      <c r="FJV2" s="65"/>
      <c r="FJW2" s="65"/>
      <c r="FJX2" s="65"/>
      <c r="FJY2" s="65"/>
      <c r="FJZ2" s="65"/>
      <c r="FKA2" s="65"/>
      <c r="FKB2" s="65"/>
      <c r="FKC2" s="65"/>
      <c r="FKD2" s="65"/>
      <c r="FKE2" s="65"/>
      <c r="FKF2" s="65"/>
      <c r="FKG2" s="65"/>
      <c r="FKH2" s="65"/>
      <c r="FKI2" s="65"/>
      <c r="FKJ2" s="65"/>
      <c r="FKK2" s="65"/>
      <c r="FKL2" s="65"/>
      <c r="FKM2" s="65"/>
      <c r="FKN2" s="65"/>
      <c r="FKO2" s="65"/>
      <c r="FKP2" s="65"/>
      <c r="FKQ2" s="65"/>
      <c r="FKR2" s="65"/>
      <c r="FKS2" s="65"/>
      <c r="FKT2" s="65"/>
      <c r="FKU2" s="65"/>
      <c r="FKV2" s="65"/>
      <c r="FKW2" s="65"/>
      <c r="FKX2" s="65"/>
      <c r="FKY2" s="65"/>
      <c r="FKZ2" s="65"/>
      <c r="FLA2" s="65"/>
      <c r="FLB2" s="65"/>
      <c r="FLC2" s="65"/>
      <c r="FLD2" s="65"/>
      <c r="FLE2" s="65"/>
      <c r="FLF2" s="65"/>
      <c r="FLG2" s="65"/>
      <c r="FLH2" s="65"/>
      <c r="FLI2" s="65"/>
      <c r="FLJ2" s="65"/>
      <c r="FLK2" s="65"/>
      <c r="FLL2" s="65"/>
      <c r="FLM2" s="65"/>
      <c r="FLN2" s="65"/>
      <c r="FLO2" s="65"/>
      <c r="FLP2" s="65"/>
      <c r="FLQ2" s="65"/>
      <c r="FLR2" s="65"/>
      <c r="FLS2" s="65"/>
      <c r="FLT2" s="65"/>
      <c r="FLU2" s="65"/>
      <c r="FLV2" s="65"/>
      <c r="FLW2" s="65"/>
      <c r="FLX2" s="65"/>
      <c r="FLY2" s="65"/>
      <c r="FLZ2" s="65"/>
      <c r="FMA2" s="65"/>
      <c r="FMB2" s="65"/>
      <c r="FMC2" s="65"/>
      <c r="FMD2" s="65"/>
      <c r="FME2" s="65"/>
      <c r="FMF2" s="65"/>
      <c r="FMG2" s="65"/>
      <c r="FMH2" s="65"/>
      <c r="FMI2" s="65"/>
      <c r="FMJ2" s="65"/>
      <c r="FMK2" s="65"/>
      <c r="FML2" s="65"/>
      <c r="FMM2" s="65"/>
      <c r="FMN2" s="65"/>
      <c r="FMO2" s="65"/>
      <c r="FMP2" s="65"/>
      <c r="FMQ2" s="65"/>
      <c r="FMR2" s="65"/>
      <c r="FMS2" s="65"/>
      <c r="FMT2" s="65"/>
      <c r="FMU2" s="65"/>
      <c r="FMV2" s="65"/>
      <c r="FMW2" s="65"/>
      <c r="FMX2" s="65"/>
      <c r="FMY2" s="65"/>
      <c r="FMZ2" s="65"/>
      <c r="FNA2" s="65"/>
      <c r="FNB2" s="65"/>
      <c r="FNC2" s="65"/>
      <c r="FND2" s="65"/>
      <c r="FNE2" s="65"/>
      <c r="FNF2" s="65"/>
      <c r="FNG2" s="65"/>
      <c r="FNH2" s="65"/>
      <c r="FNI2" s="65"/>
      <c r="FNJ2" s="65"/>
      <c r="FNK2" s="65"/>
      <c r="FNL2" s="65"/>
      <c r="FNM2" s="65"/>
      <c r="FNN2" s="65"/>
      <c r="FNO2" s="65"/>
      <c r="FNP2" s="65"/>
      <c r="FNQ2" s="65"/>
      <c r="FNR2" s="65"/>
      <c r="FNS2" s="65"/>
      <c r="FNT2" s="65"/>
      <c r="FNU2" s="65"/>
      <c r="FNV2" s="65"/>
      <c r="FNW2" s="65"/>
      <c r="FNX2" s="65"/>
      <c r="FNY2" s="65"/>
      <c r="FNZ2" s="65"/>
      <c r="FOA2" s="65"/>
      <c r="FOB2" s="65"/>
      <c r="FOC2" s="65"/>
      <c r="FOD2" s="65"/>
      <c r="FOE2" s="65"/>
      <c r="FOF2" s="65"/>
      <c r="FOG2" s="65"/>
      <c r="FOH2" s="65"/>
      <c r="FOI2" s="65"/>
      <c r="FOJ2" s="65"/>
      <c r="FOK2" s="65"/>
      <c r="FOL2" s="65"/>
      <c r="FOM2" s="65"/>
      <c r="FON2" s="65"/>
      <c r="FOO2" s="65"/>
      <c r="FOP2" s="65"/>
      <c r="FOQ2" s="65"/>
      <c r="FOR2" s="65"/>
      <c r="FOS2" s="65"/>
      <c r="FOT2" s="65"/>
      <c r="FOU2" s="65"/>
      <c r="FOV2" s="65"/>
      <c r="FOW2" s="65"/>
      <c r="FOX2" s="65"/>
      <c r="FOY2" s="65"/>
      <c r="FOZ2" s="65"/>
      <c r="FPA2" s="65"/>
      <c r="FPB2" s="65"/>
      <c r="FPC2" s="65"/>
      <c r="FPD2" s="65"/>
      <c r="FPE2" s="65"/>
      <c r="FPF2" s="65"/>
      <c r="FPG2" s="65"/>
      <c r="FPH2" s="65"/>
      <c r="FPI2" s="65"/>
      <c r="FPJ2" s="65"/>
      <c r="FPK2" s="65"/>
      <c r="FPL2" s="65"/>
      <c r="FPM2" s="65"/>
      <c r="FPN2" s="65"/>
      <c r="FPO2" s="65"/>
      <c r="FPP2" s="65"/>
      <c r="FPQ2" s="65"/>
      <c r="FPR2" s="65"/>
      <c r="FPS2" s="65"/>
      <c r="FPT2" s="65"/>
      <c r="FPU2" s="65"/>
      <c r="FPV2" s="65"/>
      <c r="FPW2" s="65"/>
      <c r="FPX2" s="65"/>
      <c r="FPY2" s="65"/>
      <c r="FPZ2" s="65"/>
      <c r="FQA2" s="65"/>
      <c r="FQB2" s="65"/>
      <c r="FQC2" s="65"/>
      <c r="FQD2" s="65"/>
      <c r="FQE2" s="65"/>
      <c r="FQF2" s="65"/>
      <c r="FQG2" s="65"/>
      <c r="FQH2" s="65"/>
      <c r="FQI2" s="65"/>
      <c r="FQJ2" s="65"/>
      <c r="FQK2" s="65"/>
      <c r="FQL2" s="65"/>
      <c r="FQM2" s="65"/>
      <c r="FQN2" s="65"/>
      <c r="FQO2" s="65"/>
      <c r="FQP2" s="65"/>
      <c r="FQQ2" s="65"/>
      <c r="FQR2" s="65"/>
      <c r="FQS2" s="65"/>
      <c r="FQT2" s="65"/>
      <c r="FQU2" s="65"/>
      <c r="FQV2" s="65"/>
      <c r="FQW2" s="65"/>
      <c r="FQX2" s="65"/>
      <c r="FQY2" s="65"/>
      <c r="FQZ2" s="65"/>
      <c r="FRA2" s="65"/>
      <c r="FRB2" s="65"/>
      <c r="FRC2" s="65"/>
      <c r="FRD2" s="65"/>
      <c r="FRE2" s="65"/>
      <c r="FRF2" s="65"/>
      <c r="FRG2" s="65"/>
      <c r="FRH2" s="65"/>
      <c r="FRI2" s="65"/>
      <c r="FRJ2" s="65"/>
      <c r="FRK2" s="65"/>
      <c r="FRL2" s="65"/>
      <c r="FRM2" s="65"/>
      <c r="FRN2" s="65"/>
      <c r="FRO2" s="65"/>
      <c r="FRP2" s="65"/>
      <c r="FRQ2" s="65"/>
      <c r="FRR2" s="65"/>
      <c r="FRS2" s="65"/>
      <c r="FRT2" s="65"/>
      <c r="FRU2" s="65"/>
      <c r="FRV2" s="65"/>
      <c r="FRW2" s="65"/>
      <c r="FRX2" s="65"/>
      <c r="FRY2" s="65"/>
      <c r="FRZ2" s="65"/>
      <c r="FSA2" s="65"/>
      <c r="FSB2" s="65"/>
      <c r="FSC2" s="65"/>
      <c r="FSD2" s="65"/>
      <c r="FSE2" s="65"/>
      <c r="FSF2" s="65"/>
      <c r="FSG2" s="65"/>
      <c r="FSH2" s="65"/>
      <c r="FSI2" s="65"/>
      <c r="FSJ2" s="65"/>
      <c r="FSK2" s="65"/>
      <c r="FSL2" s="65"/>
      <c r="FSM2" s="65"/>
      <c r="FSN2" s="65"/>
      <c r="FSO2" s="65"/>
      <c r="FSP2" s="65"/>
      <c r="FSQ2" s="65"/>
      <c r="FSR2" s="65"/>
      <c r="FSS2" s="65"/>
      <c r="FST2" s="65"/>
      <c r="FSU2" s="65"/>
      <c r="FSV2" s="65"/>
      <c r="FSW2" s="65"/>
      <c r="FSX2" s="65"/>
      <c r="FSY2" s="65"/>
      <c r="FSZ2" s="65"/>
      <c r="FTA2" s="65"/>
      <c r="FTB2" s="65"/>
      <c r="FTC2" s="65"/>
      <c r="FTD2" s="65"/>
      <c r="FTE2" s="65"/>
      <c r="FTF2" s="65"/>
      <c r="FTG2" s="65"/>
      <c r="FTH2" s="65"/>
      <c r="FTI2" s="65"/>
      <c r="FTJ2" s="65"/>
      <c r="FTK2" s="65"/>
      <c r="FTL2" s="65"/>
      <c r="FTM2" s="65"/>
      <c r="FTN2" s="65"/>
      <c r="FTO2" s="65"/>
      <c r="FTP2" s="65"/>
      <c r="FTQ2" s="65"/>
      <c r="FTR2" s="65"/>
      <c r="FTS2" s="65"/>
      <c r="FTT2" s="65"/>
      <c r="FTU2" s="65"/>
      <c r="FTV2" s="65"/>
      <c r="FTW2" s="65"/>
      <c r="FTX2" s="65"/>
      <c r="FTY2" s="65"/>
      <c r="FTZ2" s="65"/>
      <c r="FUA2" s="65"/>
      <c r="FUB2" s="65"/>
      <c r="FUC2" s="65"/>
      <c r="FUD2" s="65"/>
      <c r="FUE2" s="65"/>
      <c r="FUF2" s="65"/>
      <c r="FUG2" s="65"/>
      <c r="FUH2" s="65"/>
      <c r="FUI2" s="65"/>
      <c r="FUJ2" s="65"/>
      <c r="FUK2" s="65"/>
      <c r="FUL2" s="65"/>
      <c r="FUM2" s="65"/>
      <c r="FUN2" s="65"/>
      <c r="FUO2" s="65"/>
      <c r="FUP2" s="65"/>
      <c r="FUQ2" s="65"/>
      <c r="FUR2" s="65"/>
      <c r="FUS2" s="65"/>
      <c r="FUT2" s="65"/>
      <c r="FUU2" s="65"/>
      <c r="FUV2" s="65"/>
      <c r="FUW2" s="65"/>
      <c r="FUX2" s="65"/>
      <c r="FUY2" s="65"/>
      <c r="FUZ2" s="65"/>
      <c r="FVA2" s="65"/>
      <c r="FVB2" s="65"/>
      <c r="FVC2" s="65"/>
      <c r="FVD2" s="65"/>
      <c r="FVE2" s="65"/>
      <c r="FVF2" s="65"/>
      <c r="FVG2" s="65"/>
      <c r="FVH2" s="65"/>
      <c r="FVI2" s="65"/>
      <c r="FVJ2" s="65"/>
      <c r="FVK2" s="65"/>
      <c r="FVL2" s="65"/>
      <c r="FVM2" s="65"/>
      <c r="FVN2" s="65"/>
      <c r="FVO2" s="65"/>
      <c r="FVP2" s="65"/>
      <c r="FVQ2" s="65"/>
      <c r="FVR2" s="65"/>
      <c r="FVS2" s="65"/>
      <c r="FVT2" s="65"/>
      <c r="FVU2" s="65"/>
      <c r="FVV2" s="65"/>
      <c r="FVW2" s="65"/>
      <c r="FVX2" s="65"/>
      <c r="FVY2" s="65"/>
      <c r="FVZ2" s="65"/>
      <c r="FWA2" s="65"/>
      <c r="FWB2" s="65"/>
      <c r="FWC2" s="65"/>
      <c r="FWD2" s="65"/>
      <c r="FWE2" s="65"/>
      <c r="FWF2" s="65"/>
      <c r="FWG2" s="65"/>
      <c r="FWH2" s="65"/>
      <c r="FWI2" s="65"/>
      <c r="FWJ2" s="65"/>
      <c r="FWK2" s="65"/>
      <c r="FWL2" s="65"/>
      <c r="FWM2" s="65"/>
      <c r="FWN2" s="65"/>
      <c r="FWO2" s="65"/>
      <c r="FWP2" s="65"/>
      <c r="FWQ2" s="65"/>
      <c r="FWR2" s="65"/>
      <c r="FWS2" s="65"/>
      <c r="FWT2" s="65"/>
      <c r="FWU2" s="65"/>
      <c r="FWV2" s="65"/>
      <c r="FWW2" s="65"/>
      <c r="FWX2" s="65"/>
      <c r="FWY2" s="65"/>
      <c r="FWZ2" s="65"/>
      <c r="FXA2" s="65"/>
      <c r="FXB2" s="65"/>
      <c r="FXC2" s="65"/>
      <c r="FXD2" s="65"/>
      <c r="FXE2" s="65"/>
      <c r="FXF2" s="65"/>
      <c r="FXG2" s="65"/>
      <c r="FXH2" s="65"/>
      <c r="FXI2" s="65"/>
      <c r="FXJ2" s="65"/>
      <c r="FXK2" s="65"/>
      <c r="FXL2" s="65"/>
      <c r="FXM2" s="65"/>
      <c r="FXN2" s="65"/>
      <c r="FXO2" s="65"/>
      <c r="FXP2" s="65"/>
      <c r="FXQ2" s="65"/>
      <c r="FXR2" s="65"/>
      <c r="FXS2" s="65"/>
      <c r="FXT2" s="65"/>
      <c r="FXU2" s="65"/>
      <c r="FXV2" s="65"/>
      <c r="FXW2" s="65"/>
      <c r="FXX2" s="65"/>
      <c r="FXY2" s="65"/>
      <c r="FXZ2" s="65"/>
      <c r="FYA2" s="65"/>
      <c r="FYB2" s="65"/>
      <c r="FYC2" s="65"/>
      <c r="FYD2" s="65"/>
      <c r="FYE2" s="65"/>
      <c r="FYF2" s="65"/>
      <c r="FYG2" s="65"/>
      <c r="FYH2" s="65"/>
      <c r="FYI2" s="65"/>
      <c r="FYJ2" s="65"/>
      <c r="FYK2" s="65"/>
      <c r="FYL2" s="65"/>
      <c r="FYM2" s="65"/>
      <c r="FYN2" s="65"/>
      <c r="FYO2" s="65"/>
      <c r="FYP2" s="65"/>
      <c r="FYQ2" s="65"/>
      <c r="FYR2" s="65"/>
      <c r="FYS2" s="65"/>
      <c r="FYT2" s="65"/>
      <c r="FYU2" s="65"/>
      <c r="FYV2" s="65"/>
      <c r="FYW2" s="65"/>
      <c r="FYX2" s="65"/>
      <c r="FYY2" s="65"/>
      <c r="FYZ2" s="65"/>
      <c r="FZA2" s="65"/>
      <c r="FZB2" s="65"/>
      <c r="FZC2" s="65"/>
      <c r="FZD2" s="65"/>
      <c r="FZE2" s="65"/>
      <c r="FZF2" s="65"/>
      <c r="FZG2" s="65"/>
      <c r="FZH2" s="65"/>
      <c r="FZI2" s="65"/>
      <c r="FZJ2" s="65"/>
      <c r="FZK2" s="65"/>
      <c r="FZL2" s="65"/>
      <c r="FZM2" s="65"/>
      <c r="FZN2" s="65"/>
      <c r="FZO2" s="65"/>
      <c r="FZP2" s="65"/>
      <c r="FZQ2" s="65"/>
      <c r="FZR2" s="65"/>
      <c r="FZS2" s="65"/>
      <c r="FZT2" s="65"/>
      <c r="FZU2" s="65"/>
      <c r="FZV2" s="65"/>
      <c r="FZW2" s="65"/>
      <c r="FZX2" s="65"/>
      <c r="FZY2" s="65"/>
      <c r="FZZ2" s="65"/>
      <c r="GAA2" s="65"/>
      <c r="GAB2" s="65"/>
      <c r="GAC2" s="65"/>
      <c r="GAD2" s="65"/>
      <c r="GAE2" s="65"/>
      <c r="GAF2" s="65"/>
      <c r="GAG2" s="65"/>
      <c r="GAH2" s="65"/>
      <c r="GAI2" s="65"/>
      <c r="GAJ2" s="65"/>
      <c r="GAK2" s="65"/>
      <c r="GAL2" s="65"/>
      <c r="GAM2" s="65"/>
      <c r="GAN2" s="65"/>
      <c r="GAO2" s="65"/>
      <c r="GAP2" s="65"/>
      <c r="GAQ2" s="65"/>
      <c r="GAR2" s="65"/>
      <c r="GAS2" s="65"/>
      <c r="GAT2" s="65"/>
      <c r="GAU2" s="65"/>
      <c r="GAV2" s="65"/>
      <c r="GAW2" s="65"/>
      <c r="GAX2" s="65"/>
      <c r="GAY2" s="65"/>
      <c r="GAZ2" s="65"/>
      <c r="GBA2" s="65"/>
      <c r="GBB2" s="65"/>
      <c r="GBC2" s="65"/>
      <c r="GBD2" s="65"/>
      <c r="GBE2" s="65"/>
      <c r="GBF2" s="65"/>
      <c r="GBG2" s="65"/>
      <c r="GBH2" s="65"/>
      <c r="GBI2" s="65"/>
      <c r="GBJ2" s="65"/>
      <c r="GBK2" s="65"/>
      <c r="GBL2" s="65"/>
      <c r="GBM2" s="65"/>
      <c r="GBN2" s="65"/>
      <c r="GBO2" s="65"/>
      <c r="GBP2" s="65"/>
      <c r="GBQ2" s="65"/>
      <c r="GBR2" s="65"/>
      <c r="GBS2" s="65"/>
      <c r="GBT2" s="65"/>
      <c r="GBU2" s="65"/>
      <c r="GBV2" s="65"/>
      <c r="GBW2" s="65"/>
      <c r="GBX2" s="65"/>
      <c r="GBY2" s="65"/>
      <c r="GBZ2" s="65"/>
      <c r="GCA2" s="65"/>
      <c r="GCB2" s="65"/>
      <c r="GCC2" s="65"/>
      <c r="GCD2" s="65"/>
      <c r="GCE2" s="65"/>
      <c r="GCF2" s="65"/>
      <c r="GCG2" s="65"/>
      <c r="GCH2" s="65"/>
      <c r="GCI2" s="65"/>
      <c r="GCJ2" s="65"/>
      <c r="GCK2" s="65"/>
      <c r="GCL2" s="65"/>
      <c r="GCM2" s="65"/>
      <c r="GCN2" s="65"/>
      <c r="GCO2" s="65"/>
      <c r="GCP2" s="65"/>
      <c r="GCQ2" s="65"/>
      <c r="GCR2" s="65"/>
      <c r="GCS2" s="65"/>
      <c r="GCT2" s="65"/>
      <c r="GCU2" s="65"/>
      <c r="GCV2" s="65"/>
      <c r="GCW2" s="65"/>
      <c r="GCX2" s="65"/>
      <c r="GCY2" s="65"/>
      <c r="GCZ2" s="65"/>
      <c r="GDA2" s="65"/>
      <c r="GDB2" s="65"/>
      <c r="GDC2" s="65"/>
      <c r="GDD2" s="65"/>
      <c r="GDE2" s="65"/>
      <c r="GDF2" s="65"/>
      <c r="GDG2" s="65"/>
      <c r="GDH2" s="65"/>
      <c r="GDI2" s="65"/>
      <c r="GDJ2" s="65"/>
      <c r="GDK2" s="65"/>
      <c r="GDL2" s="65"/>
      <c r="GDM2" s="65"/>
      <c r="GDN2" s="65"/>
      <c r="GDO2" s="65"/>
      <c r="GDP2" s="65"/>
      <c r="GDQ2" s="65"/>
      <c r="GDR2" s="65"/>
      <c r="GDS2" s="65"/>
      <c r="GDT2" s="65"/>
      <c r="GDU2" s="65"/>
      <c r="GDV2" s="65"/>
      <c r="GDW2" s="65"/>
      <c r="GDX2" s="65"/>
      <c r="GDY2" s="65"/>
      <c r="GDZ2" s="65"/>
      <c r="GEA2" s="65"/>
      <c r="GEB2" s="65"/>
      <c r="GEC2" s="65"/>
      <c r="GED2" s="65"/>
      <c r="GEE2" s="65"/>
      <c r="GEF2" s="65"/>
      <c r="GEG2" s="65"/>
      <c r="GEH2" s="65"/>
      <c r="GEI2" s="65"/>
      <c r="GEJ2" s="65"/>
      <c r="GEK2" s="65"/>
      <c r="GEL2" s="65"/>
      <c r="GEM2" s="65"/>
      <c r="GEN2" s="65"/>
      <c r="GEO2" s="65"/>
      <c r="GEP2" s="65"/>
      <c r="GEQ2" s="65"/>
      <c r="GER2" s="65"/>
      <c r="GES2" s="65"/>
      <c r="GET2" s="65"/>
      <c r="GEU2" s="65"/>
      <c r="GEV2" s="65"/>
      <c r="GEW2" s="65"/>
      <c r="GEX2" s="65"/>
      <c r="GEY2" s="65"/>
      <c r="GEZ2" s="65"/>
      <c r="GFA2" s="65"/>
      <c r="GFB2" s="65"/>
      <c r="GFC2" s="65"/>
      <c r="GFD2" s="65"/>
      <c r="GFE2" s="65"/>
      <c r="GFF2" s="65"/>
      <c r="GFG2" s="65"/>
      <c r="GFH2" s="65"/>
      <c r="GFI2" s="65"/>
      <c r="GFJ2" s="65"/>
      <c r="GFK2" s="65"/>
      <c r="GFL2" s="65"/>
      <c r="GFM2" s="65"/>
      <c r="GFN2" s="65"/>
      <c r="GFO2" s="65"/>
      <c r="GFP2" s="65"/>
      <c r="GFQ2" s="65"/>
      <c r="GFR2" s="65"/>
      <c r="GFS2" s="65"/>
      <c r="GFT2" s="65"/>
      <c r="GFU2" s="65"/>
      <c r="GFV2" s="65"/>
      <c r="GFW2" s="65"/>
      <c r="GFX2" s="65"/>
      <c r="GFY2" s="65"/>
      <c r="GFZ2" s="65"/>
      <c r="GGA2" s="65"/>
      <c r="GGB2" s="65"/>
      <c r="GGC2" s="65"/>
      <c r="GGD2" s="65"/>
      <c r="GGE2" s="65"/>
      <c r="GGF2" s="65"/>
      <c r="GGG2" s="65"/>
      <c r="GGH2" s="65"/>
      <c r="GGI2" s="65"/>
      <c r="GGJ2" s="65"/>
      <c r="GGK2" s="65"/>
      <c r="GGL2" s="65"/>
      <c r="GGM2" s="65"/>
      <c r="GGN2" s="65"/>
      <c r="GGO2" s="65"/>
      <c r="GGP2" s="65"/>
      <c r="GGQ2" s="65"/>
      <c r="GGR2" s="65"/>
      <c r="GGS2" s="65"/>
      <c r="GGT2" s="65"/>
      <c r="GGU2" s="65"/>
      <c r="GGV2" s="65"/>
      <c r="GGW2" s="65"/>
      <c r="GGX2" s="65"/>
      <c r="GGY2" s="65"/>
      <c r="GGZ2" s="65"/>
      <c r="GHA2" s="65"/>
      <c r="GHB2" s="65"/>
      <c r="GHC2" s="65"/>
      <c r="GHD2" s="65"/>
      <c r="GHE2" s="65"/>
      <c r="GHF2" s="65"/>
      <c r="GHG2" s="65"/>
      <c r="GHH2" s="65"/>
      <c r="GHI2" s="65"/>
      <c r="GHJ2" s="65"/>
      <c r="GHK2" s="65"/>
      <c r="GHL2" s="65"/>
      <c r="GHM2" s="65"/>
      <c r="GHN2" s="65"/>
      <c r="GHO2" s="65"/>
      <c r="GHP2" s="65"/>
      <c r="GHQ2" s="65"/>
      <c r="GHR2" s="65"/>
      <c r="GHS2" s="65"/>
      <c r="GHT2" s="65"/>
      <c r="GHU2" s="65"/>
      <c r="GHV2" s="65"/>
      <c r="GHW2" s="65"/>
      <c r="GHX2" s="65"/>
      <c r="GHY2" s="65"/>
      <c r="GHZ2" s="65"/>
      <c r="GIA2" s="65"/>
      <c r="GIB2" s="65"/>
      <c r="GIC2" s="65"/>
      <c r="GID2" s="65"/>
      <c r="GIE2" s="65"/>
      <c r="GIF2" s="65"/>
      <c r="GIG2" s="65"/>
      <c r="GIH2" s="65"/>
      <c r="GII2" s="65"/>
      <c r="GIJ2" s="65"/>
      <c r="GIK2" s="65"/>
      <c r="GIL2" s="65"/>
      <c r="GIM2" s="65"/>
      <c r="GIN2" s="65"/>
      <c r="GIO2" s="65"/>
      <c r="GIP2" s="65"/>
      <c r="GIQ2" s="65"/>
      <c r="GIR2" s="65"/>
      <c r="GIS2" s="65"/>
      <c r="GIT2" s="65"/>
      <c r="GIU2" s="65"/>
      <c r="GIV2" s="65"/>
      <c r="GIW2" s="65"/>
      <c r="GIX2" s="65"/>
      <c r="GIY2" s="65"/>
      <c r="GIZ2" s="65"/>
      <c r="GJA2" s="65"/>
      <c r="GJB2" s="65"/>
      <c r="GJC2" s="65"/>
      <c r="GJD2" s="65"/>
      <c r="GJE2" s="65"/>
      <c r="GJF2" s="65"/>
      <c r="GJG2" s="65"/>
      <c r="GJH2" s="65"/>
      <c r="GJI2" s="65"/>
      <c r="GJJ2" s="65"/>
      <c r="GJK2" s="65"/>
      <c r="GJL2" s="65"/>
      <c r="GJM2" s="65"/>
      <c r="GJN2" s="65"/>
      <c r="GJO2" s="65"/>
      <c r="GJP2" s="65"/>
      <c r="GJQ2" s="65"/>
      <c r="GJR2" s="65"/>
      <c r="GJS2" s="65"/>
      <c r="GJT2" s="65"/>
      <c r="GJU2" s="65"/>
      <c r="GJV2" s="65"/>
      <c r="GJW2" s="65"/>
      <c r="GJX2" s="65"/>
      <c r="GJY2" s="65"/>
      <c r="GJZ2" s="65"/>
      <c r="GKA2" s="65"/>
      <c r="GKB2" s="65"/>
      <c r="GKC2" s="65"/>
      <c r="GKD2" s="65"/>
      <c r="GKE2" s="65"/>
      <c r="GKF2" s="65"/>
      <c r="GKG2" s="65"/>
      <c r="GKH2" s="65"/>
      <c r="GKI2" s="65"/>
      <c r="GKJ2" s="65"/>
      <c r="GKK2" s="65"/>
      <c r="GKL2" s="65"/>
      <c r="GKM2" s="65"/>
      <c r="GKN2" s="65"/>
      <c r="GKO2" s="65"/>
      <c r="GKP2" s="65"/>
      <c r="GKQ2" s="65"/>
      <c r="GKR2" s="65"/>
      <c r="GKS2" s="65"/>
      <c r="GKT2" s="65"/>
      <c r="GKU2" s="65"/>
      <c r="GKV2" s="65"/>
      <c r="GKW2" s="65"/>
      <c r="GKX2" s="65"/>
      <c r="GKY2" s="65"/>
      <c r="GKZ2" s="65"/>
      <c r="GLA2" s="65"/>
      <c r="GLB2" s="65"/>
      <c r="GLC2" s="65"/>
      <c r="GLD2" s="65"/>
      <c r="GLE2" s="65"/>
      <c r="GLF2" s="65"/>
      <c r="GLG2" s="65"/>
      <c r="GLH2" s="65"/>
      <c r="GLI2" s="65"/>
      <c r="GLJ2" s="65"/>
      <c r="GLK2" s="65"/>
      <c r="GLL2" s="65"/>
      <c r="GLM2" s="65"/>
      <c r="GLN2" s="65"/>
      <c r="GLO2" s="65"/>
      <c r="GLP2" s="65"/>
      <c r="GLQ2" s="65"/>
      <c r="GLR2" s="65"/>
      <c r="GLS2" s="65"/>
      <c r="GLT2" s="65"/>
      <c r="GLU2" s="65"/>
      <c r="GLV2" s="65"/>
      <c r="GLW2" s="65"/>
      <c r="GLX2" s="65"/>
      <c r="GLY2" s="65"/>
      <c r="GLZ2" s="65"/>
      <c r="GMA2" s="65"/>
      <c r="GMB2" s="65"/>
      <c r="GMC2" s="65"/>
      <c r="GMD2" s="65"/>
      <c r="GME2" s="65"/>
      <c r="GMF2" s="65"/>
      <c r="GMG2" s="65"/>
      <c r="GMH2" s="65"/>
      <c r="GMI2" s="65"/>
      <c r="GMJ2" s="65"/>
      <c r="GMK2" s="65"/>
      <c r="GML2" s="65"/>
      <c r="GMM2" s="65"/>
      <c r="GMN2" s="65"/>
      <c r="GMO2" s="65"/>
      <c r="GMP2" s="65"/>
      <c r="GMQ2" s="65"/>
      <c r="GMR2" s="65"/>
      <c r="GMS2" s="65"/>
      <c r="GMT2" s="65"/>
      <c r="GMU2" s="65"/>
      <c r="GMV2" s="65"/>
      <c r="GMW2" s="65"/>
      <c r="GMX2" s="65"/>
      <c r="GMY2" s="65"/>
      <c r="GMZ2" s="65"/>
      <c r="GNA2" s="65"/>
      <c r="GNB2" s="65"/>
      <c r="GNC2" s="65"/>
      <c r="GND2" s="65"/>
      <c r="GNE2" s="65"/>
      <c r="GNF2" s="65"/>
      <c r="GNG2" s="65"/>
      <c r="GNH2" s="65"/>
      <c r="GNI2" s="65"/>
      <c r="GNJ2" s="65"/>
      <c r="GNK2" s="65"/>
      <c r="GNL2" s="65"/>
      <c r="GNM2" s="65"/>
      <c r="GNN2" s="65"/>
      <c r="GNO2" s="65"/>
      <c r="GNP2" s="65"/>
      <c r="GNQ2" s="65"/>
      <c r="GNR2" s="65"/>
      <c r="GNS2" s="65"/>
      <c r="GNT2" s="65"/>
      <c r="GNU2" s="65"/>
      <c r="GNV2" s="65"/>
      <c r="GNW2" s="65"/>
      <c r="GNX2" s="65"/>
      <c r="GNY2" s="65"/>
      <c r="GNZ2" s="65"/>
      <c r="GOA2" s="65"/>
      <c r="GOB2" s="65"/>
      <c r="GOC2" s="65"/>
      <c r="GOD2" s="65"/>
      <c r="GOE2" s="65"/>
      <c r="GOF2" s="65"/>
      <c r="GOG2" s="65"/>
      <c r="GOH2" s="65"/>
      <c r="GOI2" s="65"/>
      <c r="GOJ2" s="65"/>
      <c r="GOK2" s="65"/>
      <c r="GOL2" s="65"/>
      <c r="GOM2" s="65"/>
      <c r="GON2" s="65"/>
      <c r="GOO2" s="65"/>
      <c r="GOP2" s="65"/>
      <c r="GOQ2" s="65"/>
      <c r="GOR2" s="65"/>
      <c r="GOS2" s="65"/>
      <c r="GOT2" s="65"/>
      <c r="GOU2" s="65"/>
      <c r="GOV2" s="65"/>
      <c r="GOW2" s="65"/>
      <c r="GOX2" s="65"/>
      <c r="GOY2" s="65"/>
      <c r="GOZ2" s="65"/>
      <c r="GPA2" s="65"/>
      <c r="GPB2" s="65"/>
      <c r="GPC2" s="65"/>
      <c r="GPD2" s="65"/>
      <c r="GPE2" s="65"/>
      <c r="GPF2" s="65"/>
      <c r="GPG2" s="65"/>
      <c r="GPH2" s="65"/>
      <c r="GPI2" s="65"/>
      <c r="GPJ2" s="65"/>
      <c r="GPK2" s="65"/>
      <c r="GPL2" s="65"/>
      <c r="GPM2" s="65"/>
      <c r="GPN2" s="65"/>
      <c r="GPO2" s="65"/>
      <c r="GPP2" s="65"/>
      <c r="GPQ2" s="65"/>
      <c r="GPR2" s="65"/>
      <c r="GPS2" s="65"/>
      <c r="GPT2" s="65"/>
      <c r="GPU2" s="65"/>
      <c r="GPV2" s="65"/>
      <c r="GPW2" s="65"/>
      <c r="GPX2" s="65"/>
      <c r="GPY2" s="65"/>
      <c r="GPZ2" s="65"/>
      <c r="GQA2" s="65"/>
      <c r="GQB2" s="65"/>
      <c r="GQC2" s="65"/>
      <c r="GQD2" s="65"/>
      <c r="GQE2" s="65"/>
      <c r="GQF2" s="65"/>
      <c r="GQG2" s="65"/>
      <c r="GQH2" s="65"/>
      <c r="GQI2" s="65"/>
      <c r="GQJ2" s="65"/>
      <c r="GQK2" s="65"/>
      <c r="GQL2" s="65"/>
      <c r="GQM2" s="65"/>
      <c r="GQN2" s="65"/>
      <c r="GQO2" s="65"/>
      <c r="GQP2" s="65"/>
      <c r="GQQ2" s="65"/>
      <c r="GQR2" s="65"/>
      <c r="GQS2" s="65"/>
      <c r="GQT2" s="65"/>
      <c r="GQU2" s="65"/>
      <c r="GQV2" s="65"/>
      <c r="GQW2" s="65"/>
      <c r="GQX2" s="65"/>
      <c r="GQY2" s="65"/>
      <c r="GQZ2" s="65"/>
      <c r="GRA2" s="65"/>
      <c r="GRB2" s="65"/>
      <c r="GRC2" s="65"/>
      <c r="GRD2" s="65"/>
      <c r="GRE2" s="65"/>
      <c r="GRF2" s="65"/>
      <c r="GRG2" s="65"/>
      <c r="GRH2" s="65"/>
      <c r="GRI2" s="65"/>
      <c r="GRJ2" s="65"/>
      <c r="GRK2" s="65"/>
      <c r="GRL2" s="65"/>
      <c r="GRM2" s="65"/>
      <c r="GRN2" s="65"/>
      <c r="GRO2" s="65"/>
      <c r="GRP2" s="65"/>
      <c r="GRQ2" s="65"/>
      <c r="GRR2" s="65"/>
      <c r="GRS2" s="65"/>
      <c r="GRT2" s="65"/>
      <c r="GRU2" s="65"/>
      <c r="GRV2" s="65"/>
      <c r="GRW2" s="65"/>
      <c r="GRX2" s="65"/>
      <c r="GRY2" s="65"/>
      <c r="GRZ2" s="65"/>
      <c r="GSA2" s="65"/>
      <c r="GSB2" s="65"/>
      <c r="GSC2" s="65"/>
      <c r="GSD2" s="65"/>
      <c r="GSE2" s="65"/>
      <c r="GSF2" s="65"/>
      <c r="GSG2" s="65"/>
      <c r="GSH2" s="65"/>
      <c r="GSI2" s="65"/>
      <c r="GSJ2" s="65"/>
      <c r="GSK2" s="65"/>
      <c r="GSL2" s="65"/>
      <c r="GSM2" s="65"/>
      <c r="GSN2" s="65"/>
      <c r="GSO2" s="65"/>
      <c r="GSP2" s="65"/>
      <c r="GSQ2" s="65"/>
      <c r="GSR2" s="65"/>
      <c r="GSS2" s="65"/>
      <c r="GST2" s="65"/>
      <c r="GSU2" s="65"/>
      <c r="GSV2" s="65"/>
      <c r="GSW2" s="65"/>
      <c r="GSX2" s="65"/>
      <c r="GSY2" s="65"/>
      <c r="GSZ2" s="65"/>
      <c r="GTA2" s="65"/>
      <c r="GTB2" s="65"/>
      <c r="GTC2" s="65"/>
      <c r="GTD2" s="65"/>
      <c r="GTE2" s="65"/>
      <c r="GTF2" s="65"/>
      <c r="GTG2" s="65"/>
      <c r="GTH2" s="65"/>
      <c r="GTI2" s="65"/>
      <c r="GTJ2" s="65"/>
      <c r="GTK2" s="65"/>
      <c r="GTL2" s="65"/>
      <c r="GTM2" s="65"/>
      <c r="GTN2" s="65"/>
      <c r="GTO2" s="65"/>
      <c r="GTP2" s="65"/>
      <c r="GTQ2" s="65"/>
      <c r="GTR2" s="65"/>
      <c r="GTS2" s="65"/>
      <c r="GTT2" s="65"/>
      <c r="GTU2" s="65"/>
      <c r="GTV2" s="65"/>
      <c r="GTW2" s="65"/>
      <c r="GTX2" s="65"/>
      <c r="GTY2" s="65"/>
      <c r="GTZ2" s="65"/>
      <c r="GUA2" s="65"/>
      <c r="GUB2" s="65"/>
      <c r="GUC2" s="65"/>
      <c r="GUD2" s="65"/>
      <c r="GUE2" s="65"/>
      <c r="GUF2" s="65"/>
      <c r="GUG2" s="65"/>
      <c r="GUH2" s="65"/>
      <c r="GUI2" s="65"/>
      <c r="GUJ2" s="65"/>
      <c r="GUK2" s="65"/>
      <c r="GUL2" s="65"/>
      <c r="GUM2" s="65"/>
      <c r="GUN2" s="65"/>
      <c r="GUO2" s="65"/>
      <c r="GUP2" s="65"/>
      <c r="GUQ2" s="65"/>
      <c r="GUR2" s="65"/>
      <c r="GUS2" s="65"/>
      <c r="GUT2" s="65"/>
      <c r="GUU2" s="65"/>
      <c r="GUV2" s="65"/>
      <c r="GUW2" s="65"/>
      <c r="GUX2" s="65"/>
      <c r="GUY2" s="65"/>
      <c r="GUZ2" s="65"/>
      <c r="GVA2" s="65"/>
      <c r="GVB2" s="65"/>
      <c r="GVC2" s="65"/>
      <c r="GVD2" s="65"/>
      <c r="GVE2" s="65"/>
      <c r="GVF2" s="65"/>
      <c r="GVG2" s="65"/>
      <c r="GVH2" s="65"/>
      <c r="GVI2" s="65"/>
      <c r="GVJ2" s="65"/>
      <c r="GVK2" s="65"/>
      <c r="GVL2" s="65"/>
      <c r="GVM2" s="65"/>
      <c r="GVN2" s="65"/>
      <c r="GVO2" s="65"/>
      <c r="GVP2" s="65"/>
      <c r="GVQ2" s="65"/>
      <c r="GVR2" s="65"/>
      <c r="GVS2" s="65"/>
      <c r="GVT2" s="65"/>
      <c r="GVU2" s="65"/>
      <c r="GVV2" s="65"/>
      <c r="GVW2" s="65"/>
      <c r="GVX2" s="65"/>
      <c r="GVY2" s="65"/>
      <c r="GVZ2" s="65"/>
      <c r="GWA2" s="65"/>
      <c r="GWB2" s="65"/>
      <c r="GWC2" s="65"/>
      <c r="GWD2" s="65"/>
      <c r="GWE2" s="65"/>
      <c r="GWF2" s="65"/>
      <c r="GWG2" s="65"/>
      <c r="GWH2" s="65"/>
      <c r="GWI2" s="65"/>
      <c r="GWJ2" s="65"/>
      <c r="GWK2" s="65"/>
      <c r="GWL2" s="65"/>
      <c r="GWM2" s="65"/>
      <c r="GWN2" s="65"/>
      <c r="GWO2" s="65"/>
      <c r="GWP2" s="65"/>
      <c r="GWQ2" s="65"/>
      <c r="GWR2" s="65"/>
      <c r="GWS2" s="65"/>
      <c r="GWT2" s="65"/>
      <c r="GWU2" s="65"/>
      <c r="GWV2" s="65"/>
      <c r="GWW2" s="65"/>
      <c r="GWX2" s="65"/>
      <c r="GWY2" s="65"/>
      <c r="GWZ2" s="65"/>
      <c r="GXA2" s="65"/>
      <c r="GXB2" s="65"/>
      <c r="GXC2" s="65"/>
      <c r="GXD2" s="65"/>
      <c r="GXE2" s="65"/>
      <c r="GXF2" s="65"/>
      <c r="GXG2" s="65"/>
      <c r="GXH2" s="65"/>
      <c r="GXI2" s="65"/>
      <c r="GXJ2" s="65"/>
      <c r="GXK2" s="65"/>
      <c r="GXL2" s="65"/>
      <c r="GXM2" s="65"/>
      <c r="GXN2" s="65"/>
      <c r="GXO2" s="65"/>
      <c r="GXP2" s="65"/>
      <c r="GXQ2" s="65"/>
      <c r="GXR2" s="65"/>
      <c r="GXS2" s="65"/>
      <c r="GXT2" s="65"/>
      <c r="GXU2" s="65"/>
      <c r="GXV2" s="65"/>
      <c r="GXW2" s="65"/>
      <c r="GXX2" s="65"/>
      <c r="GXY2" s="65"/>
      <c r="GXZ2" s="65"/>
      <c r="GYA2" s="65"/>
      <c r="GYB2" s="65"/>
      <c r="GYC2" s="65"/>
      <c r="GYD2" s="65"/>
      <c r="GYE2" s="65"/>
      <c r="GYF2" s="65"/>
      <c r="GYG2" s="65"/>
      <c r="GYH2" s="65"/>
      <c r="GYI2" s="65"/>
      <c r="GYJ2" s="65"/>
      <c r="GYK2" s="65"/>
      <c r="GYL2" s="65"/>
      <c r="GYM2" s="65"/>
      <c r="GYN2" s="65"/>
      <c r="GYO2" s="65"/>
      <c r="GYP2" s="65"/>
      <c r="GYQ2" s="65"/>
      <c r="GYR2" s="65"/>
      <c r="GYS2" s="65"/>
      <c r="GYT2" s="65"/>
      <c r="GYU2" s="65"/>
      <c r="GYV2" s="65"/>
      <c r="GYW2" s="65"/>
      <c r="GYX2" s="65"/>
      <c r="GYY2" s="65"/>
      <c r="GYZ2" s="65"/>
      <c r="GZA2" s="65"/>
      <c r="GZB2" s="65"/>
      <c r="GZC2" s="65"/>
      <c r="GZD2" s="65"/>
      <c r="GZE2" s="65"/>
      <c r="GZF2" s="65"/>
      <c r="GZG2" s="65"/>
      <c r="GZH2" s="65"/>
      <c r="GZI2" s="65"/>
      <c r="GZJ2" s="65"/>
      <c r="GZK2" s="65"/>
      <c r="GZL2" s="65"/>
      <c r="GZM2" s="65"/>
      <c r="GZN2" s="65"/>
      <c r="GZO2" s="65"/>
      <c r="GZP2" s="65"/>
      <c r="GZQ2" s="65"/>
      <c r="GZR2" s="65"/>
      <c r="GZS2" s="65"/>
      <c r="GZT2" s="65"/>
      <c r="GZU2" s="65"/>
      <c r="GZV2" s="65"/>
      <c r="GZW2" s="65"/>
      <c r="GZX2" s="65"/>
      <c r="GZY2" s="65"/>
      <c r="GZZ2" s="65"/>
      <c r="HAA2" s="65"/>
      <c r="HAB2" s="65"/>
      <c r="HAC2" s="65"/>
      <c r="HAD2" s="65"/>
      <c r="HAE2" s="65"/>
      <c r="HAF2" s="65"/>
      <c r="HAG2" s="65"/>
      <c r="HAH2" s="65"/>
      <c r="HAI2" s="65"/>
      <c r="HAJ2" s="65"/>
      <c r="HAK2" s="65"/>
      <c r="HAL2" s="65"/>
      <c r="HAM2" s="65"/>
      <c r="HAN2" s="65"/>
      <c r="HAO2" s="65"/>
      <c r="HAP2" s="65"/>
      <c r="HAQ2" s="65"/>
      <c r="HAR2" s="65"/>
      <c r="HAS2" s="65"/>
      <c r="HAT2" s="65"/>
      <c r="HAU2" s="65"/>
      <c r="HAV2" s="65"/>
      <c r="HAW2" s="65"/>
      <c r="HAX2" s="65"/>
      <c r="HAY2" s="65"/>
      <c r="HAZ2" s="65"/>
      <c r="HBA2" s="65"/>
      <c r="HBB2" s="65"/>
      <c r="HBC2" s="65"/>
      <c r="HBD2" s="65"/>
      <c r="HBE2" s="65"/>
      <c r="HBF2" s="65"/>
      <c r="HBG2" s="65"/>
      <c r="HBH2" s="65"/>
      <c r="HBI2" s="65"/>
      <c r="HBJ2" s="65"/>
      <c r="HBK2" s="65"/>
      <c r="HBL2" s="65"/>
      <c r="HBM2" s="65"/>
      <c r="HBN2" s="65"/>
      <c r="HBO2" s="65"/>
      <c r="HBP2" s="65"/>
      <c r="HBQ2" s="65"/>
      <c r="HBR2" s="65"/>
      <c r="HBS2" s="65"/>
      <c r="HBT2" s="65"/>
      <c r="HBU2" s="65"/>
      <c r="HBV2" s="65"/>
      <c r="HBW2" s="65"/>
      <c r="HBX2" s="65"/>
      <c r="HBY2" s="65"/>
      <c r="HBZ2" s="65"/>
      <c r="HCA2" s="65"/>
      <c r="HCB2" s="65"/>
      <c r="HCC2" s="65"/>
      <c r="HCD2" s="65"/>
      <c r="HCE2" s="65"/>
      <c r="HCF2" s="65"/>
      <c r="HCG2" s="65"/>
      <c r="HCH2" s="65"/>
      <c r="HCI2" s="65"/>
      <c r="HCJ2" s="65"/>
      <c r="HCK2" s="65"/>
      <c r="HCL2" s="65"/>
      <c r="HCM2" s="65"/>
      <c r="HCN2" s="65"/>
      <c r="HCO2" s="65"/>
      <c r="HCP2" s="65"/>
      <c r="HCQ2" s="65"/>
      <c r="HCR2" s="65"/>
      <c r="HCS2" s="65"/>
      <c r="HCT2" s="65"/>
      <c r="HCU2" s="65"/>
      <c r="HCV2" s="65"/>
      <c r="HCW2" s="65"/>
      <c r="HCX2" s="65"/>
      <c r="HCY2" s="65"/>
      <c r="HCZ2" s="65"/>
      <c r="HDA2" s="65"/>
      <c r="HDB2" s="65"/>
      <c r="HDC2" s="65"/>
      <c r="HDD2" s="65"/>
      <c r="HDE2" s="65"/>
      <c r="HDF2" s="65"/>
      <c r="HDG2" s="65"/>
      <c r="HDH2" s="65"/>
      <c r="HDI2" s="65"/>
      <c r="HDJ2" s="65"/>
      <c r="HDK2" s="65"/>
      <c r="HDL2" s="65"/>
      <c r="HDM2" s="65"/>
      <c r="HDN2" s="65"/>
      <c r="HDO2" s="65"/>
      <c r="HDP2" s="65"/>
      <c r="HDQ2" s="65"/>
      <c r="HDR2" s="65"/>
      <c r="HDS2" s="65"/>
      <c r="HDT2" s="65"/>
      <c r="HDU2" s="65"/>
      <c r="HDV2" s="65"/>
      <c r="HDW2" s="65"/>
      <c r="HDX2" s="65"/>
      <c r="HDY2" s="65"/>
      <c r="HDZ2" s="65"/>
      <c r="HEA2" s="65"/>
      <c r="HEB2" s="65"/>
      <c r="HEC2" s="65"/>
      <c r="HED2" s="65"/>
      <c r="HEE2" s="65"/>
      <c r="HEF2" s="65"/>
      <c r="HEG2" s="65"/>
      <c r="HEH2" s="65"/>
      <c r="HEI2" s="65"/>
      <c r="HEJ2" s="65"/>
      <c r="HEK2" s="65"/>
      <c r="HEL2" s="65"/>
      <c r="HEM2" s="65"/>
      <c r="HEN2" s="65"/>
      <c r="HEO2" s="65"/>
      <c r="HEP2" s="65"/>
      <c r="HEQ2" s="65"/>
      <c r="HER2" s="65"/>
      <c r="HES2" s="65"/>
      <c r="HET2" s="65"/>
      <c r="HEU2" s="65"/>
      <c r="HEV2" s="65"/>
      <c r="HEW2" s="65"/>
      <c r="HEX2" s="65"/>
      <c r="HEY2" s="65"/>
      <c r="HEZ2" s="65"/>
      <c r="HFA2" s="65"/>
      <c r="HFB2" s="65"/>
      <c r="HFC2" s="65"/>
      <c r="HFD2" s="65"/>
      <c r="HFE2" s="65"/>
      <c r="HFF2" s="65"/>
      <c r="HFG2" s="65"/>
      <c r="HFH2" s="65"/>
      <c r="HFI2" s="65"/>
      <c r="HFJ2" s="65"/>
      <c r="HFK2" s="65"/>
      <c r="HFL2" s="65"/>
      <c r="HFM2" s="65"/>
      <c r="HFN2" s="65"/>
      <c r="HFO2" s="65"/>
      <c r="HFP2" s="65"/>
      <c r="HFQ2" s="65"/>
      <c r="HFR2" s="65"/>
      <c r="HFS2" s="65"/>
      <c r="HFT2" s="65"/>
      <c r="HFU2" s="65"/>
      <c r="HFV2" s="65"/>
      <c r="HFW2" s="65"/>
      <c r="HFX2" s="65"/>
      <c r="HFY2" s="65"/>
      <c r="HFZ2" s="65"/>
      <c r="HGA2" s="65"/>
      <c r="HGB2" s="65"/>
      <c r="HGC2" s="65"/>
      <c r="HGD2" s="65"/>
      <c r="HGE2" s="65"/>
      <c r="HGF2" s="65"/>
      <c r="HGG2" s="65"/>
      <c r="HGH2" s="65"/>
      <c r="HGI2" s="65"/>
      <c r="HGJ2" s="65"/>
      <c r="HGK2" s="65"/>
      <c r="HGL2" s="65"/>
      <c r="HGM2" s="65"/>
      <c r="HGN2" s="65"/>
      <c r="HGO2" s="65"/>
      <c r="HGP2" s="65"/>
      <c r="HGQ2" s="65"/>
      <c r="HGR2" s="65"/>
      <c r="HGS2" s="65"/>
      <c r="HGT2" s="65"/>
      <c r="HGU2" s="65"/>
      <c r="HGV2" s="65"/>
      <c r="HGW2" s="65"/>
      <c r="HGX2" s="65"/>
      <c r="HGY2" s="65"/>
      <c r="HGZ2" s="65"/>
      <c r="HHA2" s="65"/>
      <c r="HHB2" s="65"/>
      <c r="HHC2" s="65"/>
      <c r="HHD2" s="65"/>
      <c r="HHE2" s="65"/>
      <c r="HHF2" s="65"/>
      <c r="HHG2" s="65"/>
      <c r="HHH2" s="65"/>
      <c r="HHI2" s="65"/>
      <c r="HHJ2" s="65"/>
      <c r="HHK2" s="65"/>
      <c r="HHL2" s="65"/>
      <c r="HHM2" s="65"/>
      <c r="HHN2" s="65"/>
      <c r="HHO2" s="65"/>
      <c r="HHP2" s="65"/>
      <c r="HHQ2" s="65"/>
      <c r="HHR2" s="65"/>
      <c r="HHS2" s="65"/>
      <c r="HHT2" s="65"/>
      <c r="HHU2" s="65"/>
      <c r="HHV2" s="65"/>
      <c r="HHW2" s="65"/>
      <c r="HHX2" s="65"/>
      <c r="HHY2" s="65"/>
      <c r="HHZ2" s="65"/>
      <c r="HIA2" s="65"/>
      <c r="HIB2" s="65"/>
      <c r="HIC2" s="65"/>
      <c r="HID2" s="65"/>
      <c r="HIE2" s="65"/>
      <c r="HIF2" s="65"/>
      <c r="HIG2" s="65"/>
      <c r="HIH2" s="65"/>
      <c r="HII2" s="65"/>
      <c r="HIJ2" s="65"/>
      <c r="HIK2" s="65"/>
      <c r="HIL2" s="65"/>
      <c r="HIM2" s="65"/>
      <c r="HIN2" s="65"/>
      <c r="HIO2" s="65"/>
      <c r="HIP2" s="65"/>
      <c r="HIQ2" s="65"/>
      <c r="HIR2" s="65"/>
      <c r="HIS2" s="65"/>
      <c r="HIT2" s="65"/>
      <c r="HIU2" s="65"/>
      <c r="HIV2" s="65"/>
      <c r="HIW2" s="65"/>
      <c r="HIX2" s="65"/>
      <c r="HIY2" s="65"/>
      <c r="HIZ2" s="65"/>
      <c r="HJA2" s="65"/>
      <c r="HJB2" s="65"/>
      <c r="HJC2" s="65"/>
      <c r="HJD2" s="65"/>
      <c r="HJE2" s="65"/>
      <c r="HJF2" s="65"/>
      <c r="HJG2" s="65"/>
      <c r="HJH2" s="65"/>
      <c r="HJI2" s="65"/>
      <c r="HJJ2" s="65"/>
      <c r="HJK2" s="65"/>
      <c r="HJL2" s="65"/>
      <c r="HJM2" s="65"/>
      <c r="HJN2" s="65"/>
      <c r="HJO2" s="65"/>
      <c r="HJP2" s="65"/>
      <c r="HJQ2" s="65"/>
      <c r="HJR2" s="65"/>
      <c r="HJS2" s="65"/>
      <c r="HJT2" s="65"/>
      <c r="HJU2" s="65"/>
      <c r="HJV2" s="65"/>
      <c r="HJW2" s="65"/>
      <c r="HJX2" s="65"/>
      <c r="HJY2" s="65"/>
      <c r="HJZ2" s="65"/>
      <c r="HKA2" s="65"/>
      <c r="HKB2" s="65"/>
      <c r="HKC2" s="65"/>
      <c r="HKD2" s="65"/>
      <c r="HKE2" s="65"/>
      <c r="HKF2" s="65"/>
      <c r="HKG2" s="65"/>
      <c r="HKH2" s="65"/>
      <c r="HKI2" s="65"/>
      <c r="HKJ2" s="65"/>
      <c r="HKK2" s="65"/>
      <c r="HKL2" s="65"/>
      <c r="HKM2" s="65"/>
      <c r="HKN2" s="65"/>
      <c r="HKO2" s="65"/>
      <c r="HKP2" s="65"/>
      <c r="HKQ2" s="65"/>
      <c r="HKR2" s="65"/>
      <c r="HKS2" s="65"/>
      <c r="HKT2" s="65"/>
      <c r="HKU2" s="65"/>
      <c r="HKV2" s="65"/>
      <c r="HKW2" s="65"/>
      <c r="HKX2" s="65"/>
      <c r="HKY2" s="65"/>
      <c r="HKZ2" s="65"/>
      <c r="HLA2" s="65"/>
      <c r="HLB2" s="65"/>
      <c r="HLC2" s="65"/>
      <c r="HLD2" s="65"/>
      <c r="HLE2" s="65"/>
      <c r="HLF2" s="65"/>
      <c r="HLG2" s="65"/>
      <c r="HLH2" s="65"/>
      <c r="HLI2" s="65"/>
      <c r="HLJ2" s="65"/>
      <c r="HLK2" s="65"/>
      <c r="HLL2" s="65"/>
      <c r="HLM2" s="65"/>
      <c r="HLN2" s="65"/>
      <c r="HLO2" s="65"/>
      <c r="HLP2" s="65"/>
      <c r="HLQ2" s="65"/>
      <c r="HLR2" s="65"/>
      <c r="HLS2" s="65"/>
      <c r="HLT2" s="65"/>
      <c r="HLU2" s="65"/>
      <c r="HLV2" s="65"/>
      <c r="HLW2" s="65"/>
      <c r="HLX2" s="65"/>
      <c r="HLY2" s="65"/>
      <c r="HLZ2" s="65"/>
      <c r="HMA2" s="65"/>
      <c r="HMB2" s="65"/>
      <c r="HMC2" s="65"/>
      <c r="HMD2" s="65"/>
      <c r="HME2" s="65"/>
      <c r="HMF2" s="65"/>
      <c r="HMG2" s="65"/>
      <c r="HMH2" s="65"/>
      <c r="HMI2" s="65"/>
      <c r="HMJ2" s="65"/>
      <c r="HMK2" s="65"/>
      <c r="HML2" s="65"/>
      <c r="HMM2" s="65"/>
      <c r="HMN2" s="65"/>
      <c r="HMO2" s="65"/>
      <c r="HMP2" s="65"/>
      <c r="HMQ2" s="65"/>
      <c r="HMR2" s="65"/>
      <c r="HMS2" s="65"/>
      <c r="HMT2" s="65"/>
      <c r="HMU2" s="65"/>
      <c r="HMV2" s="65"/>
      <c r="HMW2" s="65"/>
      <c r="HMX2" s="65"/>
      <c r="HMY2" s="65"/>
      <c r="HMZ2" s="65"/>
      <c r="HNA2" s="65"/>
      <c r="HNB2" s="65"/>
      <c r="HNC2" s="65"/>
      <c r="HND2" s="65"/>
      <c r="HNE2" s="65"/>
      <c r="HNF2" s="65"/>
      <c r="HNG2" s="65"/>
      <c r="HNH2" s="65"/>
      <c r="HNI2" s="65"/>
      <c r="HNJ2" s="65"/>
      <c r="HNK2" s="65"/>
      <c r="HNL2" s="65"/>
      <c r="HNM2" s="65"/>
      <c r="HNN2" s="65"/>
      <c r="HNO2" s="65"/>
      <c r="HNP2" s="65"/>
      <c r="HNQ2" s="65"/>
      <c r="HNR2" s="65"/>
      <c r="HNS2" s="65"/>
      <c r="HNT2" s="65"/>
      <c r="HNU2" s="65"/>
      <c r="HNV2" s="65"/>
      <c r="HNW2" s="65"/>
      <c r="HNX2" s="65"/>
      <c r="HNY2" s="65"/>
      <c r="HNZ2" s="65"/>
      <c r="HOA2" s="65"/>
      <c r="HOB2" s="65"/>
      <c r="HOC2" s="65"/>
      <c r="HOD2" s="65"/>
      <c r="HOE2" s="65"/>
      <c r="HOF2" s="65"/>
      <c r="HOG2" s="65"/>
      <c r="HOH2" s="65"/>
      <c r="HOI2" s="65"/>
      <c r="HOJ2" s="65"/>
      <c r="HOK2" s="65"/>
      <c r="HOL2" s="65"/>
      <c r="HOM2" s="65"/>
      <c r="HON2" s="65"/>
      <c r="HOO2" s="65"/>
      <c r="HOP2" s="65"/>
      <c r="HOQ2" s="65"/>
      <c r="HOR2" s="65"/>
      <c r="HOS2" s="65"/>
      <c r="HOT2" s="65"/>
      <c r="HOU2" s="65"/>
      <c r="HOV2" s="65"/>
      <c r="HOW2" s="65"/>
      <c r="HOX2" s="65"/>
      <c r="HOY2" s="65"/>
      <c r="HOZ2" s="65"/>
      <c r="HPA2" s="65"/>
      <c r="HPB2" s="65"/>
      <c r="HPC2" s="65"/>
      <c r="HPD2" s="65"/>
      <c r="HPE2" s="65"/>
      <c r="HPF2" s="65"/>
      <c r="HPG2" s="65"/>
      <c r="HPH2" s="65"/>
      <c r="HPI2" s="65"/>
      <c r="HPJ2" s="65"/>
      <c r="HPK2" s="65"/>
      <c r="HPL2" s="65"/>
      <c r="HPM2" s="65"/>
      <c r="HPN2" s="65"/>
      <c r="HPO2" s="65"/>
      <c r="HPP2" s="65"/>
      <c r="HPQ2" s="65"/>
      <c r="HPR2" s="65"/>
      <c r="HPS2" s="65"/>
      <c r="HPT2" s="65"/>
      <c r="HPU2" s="65"/>
      <c r="HPV2" s="65"/>
      <c r="HPW2" s="65"/>
      <c r="HPX2" s="65"/>
      <c r="HPY2" s="65"/>
      <c r="HPZ2" s="65"/>
      <c r="HQA2" s="65"/>
      <c r="HQB2" s="65"/>
      <c r="HQC2" s="65"/>
      <c r="HQD2" s="65"/>
      <c r="HQE2" s="65"/>
      <c r="HQF2" s="65"/>
      <c r="HQG2" s="65"/>
      <c r="HQH2" s="65"/>
      <c r="HQI2" s="65"/>
      <c r="HQJ2" s="65"/>
      <c r="HQK2" s="65"/>
      <c r="HQL2" s="65"/>
      <c r="HQM2" s="65"/>
      <c r="HQN2" s="65"/>
      <c r="HQO2" s="65"/>
      <c r="HQP2" s="65"/>
      <c r="HQQ2" s="65"/>
      <c r="HQR2" s="65"/>
      <c r="HQS2" s="65"/>
      <c r="HQT2" s="65"/>
      <c r="HQU2" s="65"/>
      <c r="HQV2" s="65"/>
      <c r="HQW2" s="65"/>
      <c r="HQX2" s="65"/>
      <c r="HQY2" s="65"/>
      <c r="HQZ2" s="65"/>
      <c r="HRA2" s="65"/>
      <c r="HRB2" s="65"/>
      <c r="HRC2" s="65"/>
      <c r="HRD2" s="65"/>
      <c r="HRE2" s="65"/>
      <c r="HRF2" s="65"/>
      <c r="HRG2" s="65"/>
      <c r="HRH2" s="65"/>
      <c r="HRI2" s="65"/>
      <c r="HRJ2" s="65"/>
      <c r="HRK2" s="65"/>
      <c r="HRL2" s="65"/>
      <c r="HRM2" s="65"/>
      <c r="HRN2" s="65"/>
      <c r="HRO2" s="65"/>
      <c r="HRP2" s="65"/>
      <c r="HRQ2" s="65"/>
      <c r="HRR2" s="65"/>
      <c r="HRS2" s="65"/>
      <c r="HRT2" s="65"/>
      <c r="HRU2" s="65"/>
      <c r="HRV2" s="65"/>
      <c r="HRW2" s="65"/>
      <c r="HRX2" s="65"/>
      <c r="HRY2" s="65"/>
      <c r="HRZ2" s="65"/>
      <c r="HSA2" s="65"/>
      <c r="HSB2" s="65"/>
      <c r="HSC2" s="65"/>
      <c r="HSD2" s="65"/>
      <c r="HSE2" s="65"/>
      <c r="HSF2" s="65"/>
      <c r="HSG2" s="65"/>
      <c r="HSH2" s="65"/>
      <c r="HSI2" s="65"/>
      <c r="HSJ2" s="65"/>
      <c r="HSK2" s="65"/>
      <c r="HSL2" s="65"/>
      <c r="HSM2" s="65"/>
      <c r="HSN2" s="65"/>
      <c r="HSO2" s="65"/>
      <c r="HSP2" s="65"/>
      <c r="HSQ2" s="65"/>
      <c r="HSR2" s="65"/>
      <c r="HSS2" s="65"/>
      <c r="HST2" s="65"/>
      <c r="HSU2" s="65"/>
      <c r="HSV2" s="65"/>
      <c r="HSW2" s="65"/>
      <c r="HSX2" s="65"/>
      <c r="HSY2" s="65"/>
      <c r="HSZ2" s="65"/>
      <c r="HTA2" s="65"/>
      <c r="HTB2" s="65"/>
      <c r="HTC2" s="65"/>
      <c r="HTD2" s="65"/>
      <c r="HTE2" s="65"/>
      <c r="HTF2" s="65"/>
      <c r="HTG2" s="65"/>
      <c r="HTH2" s="65"/>
      <c r="HTI2" s="65"/>
      <c r="HTJ2" s="65"/>
      <c r="HTK2" s="65"/>
      <c r="HTL2" s="65"/>
      <c r="HTM2" s="65"/>
      <c r="HTN2" s="65"/>
      <c r="HTO2" s="65"/>
      <c r="HTP2" s="65"/>
      <c r="HTQ2" s="65"/>
      <c r="HTR2" s="65"/>
      <c r="HTS2" s="65"/>
      <c r="HTT2" s="65"/>
      <c r="HTU2" s="65"/>
      <c r="HTV2" s="65"/>
      <c r="HTW2" s="65"/>
      <c r="HTX2" s="65"/>
      <c r="HTY2" s="65"/>
      <c r="HTZ2" s="65"/>
      <c r="HUA2" s="65"/>
      <c r="HUB2" s="65"/>
      <c r="HUC2" s="65"/>
      <c r="HUD2" s="65"/>
      <c r="HUE2" s="65"/>
      <c r="HUF2" s="65"/>
      <c r="HUG2" s="65"/>
      <c r="HUH2" s="65"/>
      <c r="HUI2" s="65"/>
      <c r="HUJ2" s="65"/>
      <c r="HUK2" s="65"/>
      <c r="HUL2" s="65"/>
      <c r="HUM2" s="65"/>
      <c r="HUN2" s="65"/>
      <c r="HUO2" s="65"/>
      <c r="HUP2" s="65"/>
      <c r="HUQ2" s="65"/>
      <c r="HUR2" s="65"/>
      <c r="HUS2" s="65"/>
      <c r="HUT2" s="65"/>
      <c r="HUU2" s="65"/>
      <c r="HUV2" s="65"/>
      <c r="HUW2" s="65"/>
      <c r="HUX2" s="65"/>
      <c r="HUY2" s="65"/>
      <c r="HUZ2" s="65"/>
      <c r="HVA2" s="65"/>
      <c r="HVB2" s="65"/>
      <c r="HVC2" s="65"/>
      <c r="HVD2" s="65"/>
      <c r="HVE2" s="65"/>
      <c r="HVF2" s="65"/>
      <c r="HVG2" s="65"/>
      <c r="HVH2" s="65"/>
      <c r="HVI2" s="65"/>
      <c r="HVJ2" s="65"/>
      <c r="HVK2" s="65"/>
      <c r="HVL2" s="65"/>
      <c r="HVM2" s="65"/>
      <c r="HVN2" s="65"/>
      <c r="HVO2" s="65"/>
      <c r="HVP2" s="65"/>
      <c r="HVQ2" s="65"/>
      <c r="HVR2" s="65"/>
      <c r="HVS2" s="65"/>
      <c r="HVT2" s="65"/>
      <c r="HVU2" s="65"/>
      <c r="HVV2" s="65"/>
      <c r="HVW2" s="65"/>
      <c r="HVX2" s="65"/>
      <c r="HVY2" s="65"/>
      <c r="HVZ2" s="65"/>
      <c r="HWA2" s="65"/>
      <c r="HWB2" s="65"/>
      <c r="HWC2" s="65"/>
      <c r="HWD2" s="65"/>
      <c r="HWE2" s="65"/>
      <c r="HWF2" s="65"/>
      <c r="HWG2" s="65"/>
      <c r="HWH2" s="65"/>
      <c r="HWI2" s="65"/>
      <c r="HWJ2" s="65"/>
      <c r="HWK2" s="65"/>
      <c r="HWL2" s="65"/>
      <c r="HWM2" s="65"/>
      <c r="HWN2" s="65"/>
      <c r="HWO2" s="65"/>
      <c r="HWP2" s="65"/>
      <c r="HWQ2" s="65"/>
      <c r="HWR2" s="65"/>
      <c r="HWS2" s="65"/>
      <c r="HWT2" s="65"/>
      <c r="HWU2" s="65"/>
      <c r="HWV2" s="65"/>
      <c r="HWW2" s="65"/>
      <c r="HWX2" s="65"/>
      <c r="HWY2" s="65"/>
      <c r="HWZ2" s="65"/>
      <c r="HXA2" s="65"/>
      <c r="HXB2" s="65"/>
      <c r="HXC2" s="65"/>
      <c r="HXD2" s="65"/>
      <c r="HXE2" s="65"/>
      <c r="HXF2" s="65"/>
      <c r="HXG2" s="65"/>
      <c r="HXH2" s="65"/>
      <c r="HXI2" s="65"/>
      <c r="HXJ2" s="65"/>
      <c r="HXK2" s="65"/>
      <c r="HXL2" s="65"/>
      <c r="HXM2" s="65"/>
      <c r="HXN2" s="65"/>
      <c r="HXO2" s="65"/>
      <c r="HXP2" s="65"/>
      <c r="HXQ2" s="65"/>
      <c r="HXR2" s="65"/>
      <c r="HXS2" s="65"/>
      <c r="HXT2" s="65"/>
      <c r="HXU2" s="65"/>
      <c r="HXV2" s="65"/>
      <c r="HXW2" s="65"/>
      <c r="HXX2" s="65"/>
      <c r="HXY2" s="65"/>
      <c r="HXZ2" s="65"/>
      <c r="HYA2" s="65"/>
      <c r="HYB2" s="65"/>
      <c r="HYC2" s="65"/>
      <c r="HYD2" s="65"/>
      <c r="HYE2" s="65"/>
      <c r="HYF2" s="65"/>
      <c r="HYG2" s="65"/>
      <c r="HYH2" s="65"/>
      <c r="HYI2" s="65"/>
      <c r="HYJ2" s="65"/>
      <c r="HYK2" s="65"/>
      <c r="HYL2" s="65"/>
      <c r="HYM2" s="65"/>
      <c r="HYN2" s="65"/>
      <c r="HYO2" s="65"/>
      <c r="HYP2" s="65"/>
      <c r="HYQ2" s="65"/>
      <c r="HYR2" s="65"/>
      <c r="HYS2" s="65"/>
      <c r="HYT2" s="65"/>
      <c r="HYU2" s="65"/>
      <c r="HYV2" s="65"/>
      <c r="HYW2" s="65"/>
      <c r="HYX2" s="65"/>
      <c r="HYY2" s="65"/>
      <c r="HYZ2" s="65"/>
      <c r="HZA2" s="65"/>
      <c r="HZB2" s="65"/>
      <c r="HZC2" s="65"/>
      <c r="HZD2" s="65"/>
      <c r="HZE2" s="65"/>
      <c r="HZF2" s="65"/>
      <c r="HZG2" s="65"/>
      <c r="HZH2" s="65"/>
      <c r="HZI2" s="65"/>
      <c r="HZJ2" s="65"/>
      <c r="HZK2" s="65"/>
      <c r="HZL2" s="65"/>
      <c r="HZM2" s="65"/>
      <c r="HZN2" s="65"/>
      <c r="HZO2" s="65"/>
      <c r="HZP2" s="65"/>
      <c r="HZQ2" s="65"/>
      <c r="HZR2" s="65"/>
      <c r="HZS2" s="65"/>
      <c r="HZT2" s="65"/>
      <c r="HZU2" s="65"/>
      <c r="HZV2" s="65"/>
      <c r="HZW2" s="65"/>
      <c r="HZX2" s="65"/>
      <c r="HZY2" s="65"/>
      <c r="HZZ2" s="65"/>
      <c r="IAA2" s="65"/>
      <c r="IAB2" s="65"/>
      <c r="IAC2" s="65"/>
      <c r="IAD2" s="65"/>
      <c r="IAE2" s="65"/>
      <c r="IAF2" s="65"/>
      <c r="IAG2" s="65"/>
      <c r="IAH2" s="65"/>
      <c r="IAI2" s="65"/>
      <c r="IAJ2" s="65"/>
      <c r="IAK2" s="65"/>
      <c r="IAL2" s="65"/>
      <c r="IAM2" s="65"/>
      <c r="IAN2" s="65"/>
      <c r="IAO2" s="65"/>
      <c r="IAP2" s="65"/>
      <c r="IAQ2" s="65"/>
      <c r="IAR2" s="65"/>
      <c r="IAS2" s="65"/>
      <c r="IAT2" s="65"/>
      <c r="IAU2" s="65"/>
      <c r="IAV2" s="65"/>
      <c r="IAW2" s="65"/>
      <c r="IAX2" s="65"/>
      <c r="IAY2" s="65"/>
      <c r="IAZ2" s="65"/>
      <c r="IBA2" s="65"/>
      <c r="IBB2" s="65"/>
      <c r="IBC2" s="65"/>
      <c r="IBD2" s="65"/>
      <c r="IBE2" s="65"/>
      <c r="IBF2" s="65"/>
      <c r="IBG2" s="65"/>
      <c r="IBH2" s="65"/>
      <c r="IBI2" s="65"/>
      <c r="IBJ2" s="65"/>
      <c r="IBK2" s="65"/>
      <c r="IBL2" s="65"/>
      <c r="IBM2" s="65"/>
      <c r="IBN2" s="65"/>
      <c r="IBO2" s="65"/>
      <c r="IBP2" s="65"/>
      <c r="IBQ2" s="65"/>
      <c r="IBR2" s="65"/>
      <c r="IBS2" s="65"/>
      <c r="IBT2" s="65"/>
      <c r="IBU2" s="65"/>
      <c r="IBV2" s="65"/>
      <c r="IBW2" s="65"/>
      <c r="IBX2" s="65"/>
      <c r="IBY2" s="65"/>
      <c r="IBZ2" s="65"/>
      <c r="ICA2" s="65"/>
      <c r="ICB2" s="65"/>
      <c r="ICC2" s="65"/>
      <c r="ICD2" s="65"/>
      <c r="ICE2" s="65"/>
      <c r="ICF2" s="65"/>
      <c r="ICG2" s="65"/>
      <c r="ICH2" s="65"/>
      <c r="ICI2" s="65"/>
      <c r="ICJ2" s="65"/>
      <c r="ICK2" s="65"/>
      <c r="ICL2" s="65"/>
      <c r="ICM2" s="65"/>
      <c r="ICN2" s="65"/>
      <c r="ICO2" s="65"/>
      <c r="ICP2" s="65"/>
      <c r="ICQ2" s="65"/>
      <c r="ICR2" s="65"/>
      <c r="ICS2" s="65"/>
      <c r="ICT2" s="65"/>
      <c r="ICU2" s="65"/>
      <c r="ICV2" s="65"/>
      <c r="ICW2" s="65"/>
      <c r="ICX2" s="65"/>
      <c r="ICY2" s="65"/>
      <c r="ICZ2" s="65"/>
      <c r="IDA2" s="65"/>
      <c r="IDB2" s="65"/>
      <c r="IDC2" s="65"/>
      <c r="IDD2" s="65"/>
      <c r="IDE2" s="65"/>
      <c r="IDF2" s="65"/>
      <c r="IDG2" s="65"/>
      <c r="IDH2" s="65"/>
      <c r="IDI2" s="65"/>
      <c r="IDJ2" s="65"/>
      <c r="IDK2" s="65"/>
      <c r="IDL2" s="65"/>
      <c r="IDM2" s="65"/>
      <c r="IDN2" s="65"/>
      <c r="IDO2" s="65"/>
      <c r="IDP2" s="65"/>
      <c r="IDQ2" s="65"/>
      <c r="IDR2" s="65"/>
      <c r="IDS2" s="65"/>
      <c r="IDT2" s="65"/>
      <c r="IDU2" s="65"/>
      <c r="IDV2" s="65"/>
      <c r="IDW2" s="65"/>
      <c r="IDX2" s="65"/>
      <c r="IDY2" s="65"/>
      <c r="IDZ2" s="65"/>
      <c r="IEA2" s="65"/>
      <c r="IEB2" s="65"/>
      <c r="IEC2" s="65"/>
      <c r="IED2" s="65"/>
      <c r="IEE2" s="65"/>
      <c r="IEF2" s="65"/>
      <c r="IEG2" s="65"/>
      <c r="IEH2" s="65"/>
      <c r="IEI2" s="65"/>
      <c r="IEJ2" s="65"/>
      <c r="IEK2" s="65"/>
      <c r="IEL2" s="65"/>
      <c r="IEM2" s="65"/>
      <c r="IEN2" s="65"/>
      <c r="IEO2" s="65"/>
      <c r="IEP2" s="65"/>
      <c r="IEQ2" s="65"/>
      <c r="IER2" s="65"/>
      <c r="IES2" s="65"/>
      <c r="IET2" s="65"/>
      <c r="IEU2" s="65"/>
      <c r="IEV2" s="65"/>
      <c r="IEW2" s="65"/>
      <c r="IEX2" s="65"/>
      <c r="IEY2" s="65"/>
      <c r="IEZ2" s="65"/>
      <c r="IFA2" s="65"/>
      <c r="IFB2" s="65"/>
      <c r="IFC2" s="65"/>
      <c r="IFD2" s="65"/>
      <c r="IFE2" s="65"/>
      <c r="IFF2" s="65"/>
      <c r="IFG2" s="65"/>
      <c r="IFH2" s="65"/>
      <c r="IFI2" s="65"/>
      <c r="IFJ2" s="65"/>
      <c r="IFK2" s="65"/>
      <c r="IFL2" s="65"/>
      <c r="IFM2" s="65"/>
      <c r="IFN2" s="65"/>
      <c r="IFO2" s="65"/>
      <c r="IFP2" s="65"/>
      <c r="IFQ2" s="65"/>
      <c r="IFR2" s="65"/>
      <c r="IFS2" s="65"/>
      <c r="IFT2" s="65"/>
      <c r="IFU2" s="65"/>
      <c r="IFV2" s="65"/>
      <c r="IFW2" s="65"/>
      <c r="IFX2" s="65"/>
      <c r="IFY2" s="65"/>
      <c r="IFZ2" s="65"/>
      <c r="IGA2" s="65"/>
      <c r="IGB2" s="65"/>
      <c r="IGC2" s="65"/>
      <c r="IGD2" s="65"/>
      <c r="IGE2" s="65"/>
      <c r="IGF2" s="65"/>
      <c r="IGG2" s="65"/>
      <c r="IGH2" s="65"/>
      <c r="IGI2" s="65"/>
      <c r="IGJ2" s="65"/>
      <c r="IGK2" s="65"/>
      <c r="IGL2" s="65"/>
      <c r="IGM2" s="65"/>
      <c r="IGN2" s="65"/>
      <c r="IGO2" s="65"/>
      <c r="IGP2" s="65"/>
      <c r="IGQ2" s="65"/>
      <c r="IGR2" s="65"/>
      <c r="IGS2" s="65"/>
      <c r="IGT2" s="65"/>
      <c r="IGU2" s="65"/>
      <c r="IGV2" s="65"/>
      <c r="IGW2" s="65"/>
      <c r="IGX2" s="65"/>
      <c r="IGY2" s="65"/>
      <c r="IGZ2" s="65"/>
      <c r="IHA2" s="65"/>
      <c r="IHB2" s="65"/>
      <c r="IHC2" s="65"/>
      <c r="IHD2" s="65"/>
      <c r="IHE2" s="65"/>
      <c r="IHF2" s="65"/>
      <c r="IHG2" s="65"/>
      <c r="IHH2" s="65"/>
      <c r="IHI2" s="65"/>
      <c r="IHJ2" s="65"/>
      <c r="IHK2" s="65"/>
      <c r="IHL2" s="65"/>
      <c r="IHM2" s="65"/>
      <c r="IHN2" s="65"/>
      <c r="IHO2" s="65"/>
      <c r="IHP2" s="65"/>
      <c r="IHQ2" s="65"/>
      <c r="IHR2" s="65"/>
      <c r="IHS2" s="65"/>
      <c r="IHT2" s="65"/>
      <c r="IHU2" s="65"/>
      <c r="IHV2" s="65"/>
      <c r="IHW2" s="65"/>
      <c r="IHX2" s="65"/>
      <c r="IHY2" s="65"/>
      <c r="IHZ2" s="65"/>
      <c r="IIA2" s="65"/>
      <c r="IIB2" s="65"/>
      <c r="IIC2" s="65"/>
      <c r="IID2" s="65"/>
      <c r="IIE2" s="65"/>
      <c r="IIF2" s="65"/>
      <c r="IIG2" s="65"/>
      <c r="IIH2" s="65"/>
      <c r="III2" s="65"/>
      <c r="IIJ2" s="65"/>
      <c r="IIK2" s="65"/>
      <c r="IIL2" s="65"/>
      <c r="IIM2" s="65"/>
      <c r="IIN2" s="65"/>
      <c r="IIO2" s="65"/>
      <c r="IIP2" s="65"/>
      <c r="IIQ2" s="65"/>
      <c r="IIR2" s="65"/>
      <c r="IIS2" s="65"/>
      <c r="IIT2" s="65"/>
      <c r="IIU2" s="65"/>
      <c r="IIV2" s="65"/>
      <c r="IIW2" s="65"/>
      <c r="IIX2" s="65"/>
      <c r="IIY2" s="65"/>
      <c r="IIZ2" s="65"/>
      <c r="IJA2" s="65"/>
      <c r="IJB2" s="65"/>
      <c r="IJC2" s="65"/>
      <c r="IJD2" s="65"/>
      <c r="IJE2" s="65"/>
      <c r="IJF2" s="65"/>
      <c r="IJG2" s="65"/>
      <c r="IJH2" s="65"/>
      <c r="IJI2" s="65"/>
      <c r="IJJ2" s="65"/>
      <c r="IJK2" s="65"/>
      <c r="IJL2" s="65"/>
      <c r="IJM2" s="65"/>
      <c r="IJN2" s="65"/>
      <c r="IJO2" s="65"/>
      <c r="IJP2" s="65"/>
      <c r="IJQ2" s="65"/>
      <c r="IJR2" s="65"/>
      <c r="IJS2" s="65"/>
      <c r="IJT2" s="65"/>
      <c r="IJU2" s="65"/>
      <c r="IJV2" s="65"/>
      <c r="IJW2" s="65"/>
      <c r="IJX2" s="65"/>
      <c r="IJY2" s="65"/>
      <c r="IJZ2" s="65"/>
      <c r="IKA2" s="65"/>
      <c r="IKB2" s="65"/>
      <c r="IKC2" s="65"/>
      <c r="IKD2" s="65"/>
      <c r="IKE2" s="65"/>
      <c r="IKF2" s="65"/>
      <c r="IKG2" s="65"/>
      <c r="IKH2" s="65"/>
      <c r="IKI2" s="65"/>
      <c r="IKJ2" s="65"/>
      <c r="IKK2" s="65"/>
      <c r="IKL2" s="65"/>
      <c r="IKM2" s="65"/>
      <c r="IKN2" s="65"/>
      <c r="IKO2" s="65"/>
      <c r="IKP2" s="65"/>
      <c r="IKQ2" s="65"/>
      <c r="IKR2" s="65"/>
      <c r="IKS2" s="65"/>
      <c r="IKT2" s="65"/>
      <c r="IKU2" s="65"/>
      <c r="IKV2" s="65"/>
      <c r="IKW2" s="65"/>
      <c r="IKX2" s="65"/>
      <c r="IKY2" s="65"/>
      <c r="IKZ2" s="65"/>
      <c r="ILA2" s="65"/>
      <c r="ILB2" s="65"/>
      <c r="ILC2" s="65"/>
      <c r="ILD2" s="65"/>
      <c r="ILE2" s="65"/>
      <c r="ILF2" s="65"/>
      <c r="ILG2" s="65"/>
      <c r="ILH2" s="65"/>
      <c r="ILI2" s="65"/>
      <c r="ILJ2" s="65"/>
      <c r="ILK2" s="65"/>
      <c r="ILL2" s="65"/>
      <c r="ILM2" s="65"/>
      <c r="ILN2" s="65"/>
      <c r="ILO2" s="65"/>
      <c r="ILP2" s="65"/>
      <c r="ILQ2" s="65"/>
      <c r="ILR2" s="65"/>
      <c r="ILS2" s="65"/>
      <c r="ILT2" s="65"/>
      <c r="ILU2" s="65"/>
      <c r="ILV2" s="65"/>
      <c r="ILW2" s="65"/>
      <c r="ILX2" s="65"/>
      <c r="ILY2" s="65"/>
      <c r="ILZ2" s="65"/>
      <c r="IMA2" s="65"/>
      <c r="IMB2" s="65"/>
      <c r="IMC2" s="65"/>
      <c r="IMD2" s="65"/>
      <c r="IME2" s="65"/>
      <c r="IMF2" s="65"/>
      <c r="IMG2" s="65"/>
      <c r="IMH2" s="65"/>
      <c r="IMI2" s="65"/>
      <c r="IMJ2" s="65"/>
      <c r="IMK2" s="65"/>
      <c r="IML2" s="65"/>
      <c r="IMM2" s="65"/>
      <c r="IMN2" s="65"/>
      <c r="IMO2" s="65"/>
      <c r="IMP2" s="65"/>
      <c r="IMQ2" s="65"/>
      <c r="IMR2" s="65"/>
      <c r="IMS2" s="65"/>
      <c r="IMT2" s="65"/>
      <c r="IMU2" s="65"/>
      <c r="IMV2" s="65"/>
      <c r="IMW2" s="65"/>
      <c r="IMX2" s="65"/>
      <c r="IMY2" s="65"/>
      <c r="IMZ2" s="65"/>
      <c r="INA2" s="65"/>
      <c r="INB2" s="65"/>
      <c r="INC2" s="65"/>
      <c r="IND2" s="65"/>
      <c r="INE2" s="65"/>
      <c r="INF2" s="65"/>
      <c r="ING2" s="65"/>
      <c r="INH2" s="65"/>
      <c r="INI2" s="65"/>
      <c r="INJ2" s="65"/>
      <c r="INK2" s="65"/>
      <c r="INL2" s="65"/>
      <c r="INM2" s="65"/>
      <c r="INN2" s="65"/>
      <c r="INO2" s="65"/>
      <c r="INP2" s="65"/>
      <c r="INQ2" s="65"/>
      <c r="INR2" s="65"/>
      <c r="INS2" s="65"/>
      <c r="INT2" s="65"/>
      <c r="INU2" s="65"/>
      <c r="INV2" s="65"/>
      <c r="INW2" s="65"/>
      <c r="INX2" s="65"/>
      <c r="INY2" s="65"/>
      <c r="INZ2" s="65"/>
      <c r="IOA2" s="65"/>
      <c r="IOB2" s="65"/>
      <c r="IOC2" s="65"/>
      <c r="IOD2" s="65"/>
      <c r="IOE2" s="65"/>
      <c r="IOF2" s="65"/>
      <c r="IOG2" s="65"/>
      <c r="IOH2" s="65"/>
      <c r="IOI2" s="65"/>
      <c r="IOJ2" s="65"/>
      <c r="IOK2" s="65"/>
      <c r="IOL2" s="65"/>
      <c r="IOM2" s="65"/>
      <c r="ION2" s="65"/>
      <c r="IOO2" s="65"/>
      <c r="IOP2" s="65"/>
      <c r="IOQ2" s="65"/>
      <c r="IOR2" s="65"/>
      <c r="IOS2" s="65"/>
      <c r="IOT2" s="65"/>
      <c r="IOU2" s="65"/>
      <c r="IOV2" s="65"/>
      <c r="IOW2" s="65"/>
      <c r="IOX2" s="65"/>
      <c r="IOY2" s="65"/>
      <c r="IOZ2" s="65"/>
      <c r="IPA2" s="65"/>
      <c r="IPB2" s="65"/>
      <c r="IPC2" s="65"/>
      <c r="IPD2" s="65"/>
      <c r="IPE2" s="65"/>
      <c r="IPF2" s="65"/>
      <c r="IPG2" s="65"/>
      <c r="IPH2" s="65"/>
      <c r="IPI2" s="65"/>
      <c r="IPJ2" s="65"/>
      <c r="IPK2" s="65"/>
      <c r="IPL2" s="65"/>
      <c r="IPM2" s="65"/>
      <c r="IPN2" s="65"/>
      <c r="IPO2" s="65"/>
      <c r="IPP2" s="65"/>
      <c r="IPQ2" s="65"/>
      <c r="IPR2" s="65"/>
      <c r="IPS2" s="65"/>
      <c r="IPT2" s="65"/>
      <c r="IPU2" s="65"/>
      <c r="IPV2" s="65"/>
      <c r="IPW2" s="65"/>
      <c r="IPX2" s="65"/>
      <c r="IPY2" s="65"/>
      <c r="IPZ2" s="65"/>
      <c r="IQA2" s="65"/>
      <c r="IQB2" s="65"/>
      <c r="IQC2" s="65"/>
      <c r="IQD2" s="65"/>
      <c r="IQE2" s="65"/>
      <c r="IQF2" s="65"/>
      <c r="IQG2" s="65"/>
      <c r="IQH2" s="65"/>
      <c r="IQI2" s="65"/>
      <c r="IQJ2" s="65"/>
      <c r="IQK2" s="65"/>
      <c r="IQL2" s="65"/>
      <c r="IQM2" s="65"/>
      <c r="IQN2" s="65"/>
      <c r="IQO2" s="65"/>
      <c r="IQP2" s="65"/>
      <c r="IQQ2" s="65"/>
      <c r="IQR2" s="65"/>
      <c r="IQS2" s="65"/>
      <c r="IQT2" s="65"/>
      <c r="IQU2" s="65"/>
      <c r="IQV2" s="65"/>
      <c r="IQW2" s="65"/>
      <c r="IQX2" s="65"/>
      <c r="IQY2" s="65"/>
      <c r="IQZ2" s="65"/>
      <c r="IRA2" s="65"/>
      <c r="IRB2" s="65"/>
      <c r="IRC2" s="65"/>
      <c r="IRD2" s="65"/>
      <c r="IRE2" s="65"/>
      <c r="IRF2" s="65"/>
      <c r="IRG2" s="65"/>
      <c r="IRH2" s="65"/>
      <c r="IRI2" s="65"/>
      <c r="IRJ2" s="65"/>
      <c r="IRK2" s="65"/>
      <c r="IRL2" s="65"/>
      <c r="IRM2" s="65"/>
      <c r="IRN2" s="65"/>
      <c r="IRO2" s="65"/>
      <c r="IRP2" s="65"/>
      <c r="IRQ2" s="65"/>
      <c r="IRR2" s="65"/>
      <c r="IRS2" s="65"/>
      <c r="IRT2" s="65"/>
      <c r="IRU2" s="65"/>
      <c r="IRV2" s="65"/>
      <c r="IRW2" s="65"/>
      <c r="IRX2" s="65"/>
      <c r="IRY2" s="65"/>
      <c r="IRZ2" s="65"/>
      <c r="ISA2" s="65"/>
      <c r="ISB2" s="65"/>
      <c r="ISC2" s="65"/>
      <c r="ISD2" s="65"/>
      <c r="ISE2" s="65"/>
      <c r="ISF2" s="65"/>
      <c r="ISG2" s="65"/>
      <c r="ISH2" s="65"/>
      <c r="ISI2" s="65"/>
      <c r="ISJ2" s="65"/>
      <c r="ISK2" s="65"/>
      <c r="ISL2" s="65"/>
      <c r="ISM2" s="65"/>
      <c r="ISN2" s="65"/>
      <c r="ISO2" s="65"/>
      <c r="ISP2" s="65"/>
      <c r="ISQ2" s="65"/>
      <c r="ISR2" s="65"/>
      <c r="ISS2" s="65"/>
      <c r="IST2" s="65"/>
      <c r="ISU2" s="65"/>
      <c r="ISV2" s="65"/>
      <c r="ISW2" s="65"/>
      <c r="ISX2" s="65"/>
      <c r="ISY2" s="65"/>
      <c r="ISZ2" s="65"/>
      <c r="ITA2" s="65"/>
      <c r="ITB2" s="65"/>
      <c r="ITC2" s="65"/>
      <c r="ITD2" s="65"/>
      <c r="ITE2" s="65"/>
      <c r="ITF2" s="65"/>
      <c r="ITG2" s="65"/>
      <c r="ITH2" s="65"/>
      <c r="ITI2" s="65"/>
      <c r="ITJ2" s="65"/>
      <c r="ITK2" s="65"/>
      <c r="ITL2" s="65"/>
      <c r="ITM2" s="65"/>
      <c r="ITN2" s="65"/>
      <c r="ITO2" s="65"/>
      <c r="ITP2" s="65"/>
      <c r="ITQ2" s="65"/>
      <c r="ITR2" s="65"/>
      <c r="ITS2" s="65"/>
      <c r="ITT2" s="65"/>
      <c r="ITU2" s="65"/>
      <c r="ITV2" s="65"/>
      <c r="ITW2" s="65"/>
      <c r="ITX2" s="65"/>
      <c r="ITY2" s="65"/>
      <c r="ITZ2" s="65"/>
      <c r="IUA2" s="65"/>
      <c r="IUB2" s="65"/>
      <c r="IUC2" s="65"/>
      <c r="IUD2" s="65"/>
      <c r="IUE2" s="65"/>
      <c r="IUF2" s="65"/>
      <c r="IUG2" s="65"/>
      <c r="IUH2" s="65"/>
      <c r="IUI2" s="65"/>
      <c r="IUJ2" s="65"/>
      <c r="IUK2" s="65"/>
      <c r="IUL2" s="65"/>
      <c r="IUM2" s="65"/>
      <c r="IUN2" s="65"/>
      <c r="IUO2" s="65"/>
      <c r="IUP2" s="65"/>
      <c r="IUQ2" s="65"/>
      <c r="IUR2" s="65"/>
      <c r="IUS2" s="65"/>
      <c r="IUT2" s="65"/>
      <c r="IUU2" s="65"/>
      <c r="IUV2" s="65"/>
      <c r="IUW2" s="65"/>
      <c r="IUX2" s="65"/>
      <c r="IUY2" s="65"/>
      <c r="IUZ2" s="65"/>
      <c r="IVA2" s="65"/>
      <c r="IVB2" s="65"/>
      <c r="IVC2" s="65"/>
      <c r="IVD2" s="65"/>
      <c r="IVE2" s="65"/>
      <c r="IVF2" s="65"/>
      <c r="IVG2" s="65"/>
      <c r="IVH2" s="65"/>
      <c r="IVI2" s="65"/>
      <c r="IVJ2" s="65"/>
      <c r="IVK2" s="65"/>
      <c r="IVL2" s="65"/>
      <c r="IVM2" s="65"/>
      <c r="IVN2" s="65"/>
      <c r="IVO2" s="65"/>
      <c r="IVP2" s="65"/>
      <c r="IVQ2" s="65"/>
      <c r="IVR2" s="65"/>
      <c r="IVS2" s="65"/>
      <c r="IVT2" s="65"/>
      <c r="IVU2" s="65"/>
      <c r="IVV2" s="65"/>
      <c r="IVW2" s="65"/>
      <c r="IVX2" s="65"/>
      <c r="IVY2" s="65"/>
      <c r="IVZ2" s="65"/>
      <c r="IWA2" s="65"/>
      <c r="IWB2" s="65"/>
      <c r="IWC2" s="65"/>
      <c r="IWD2" s="65"/>
      <c r="IWE2" s="65"/>
      <c r="IWF2" s="65"/>
      <c r="IWG2" s="65"/>
      <c r="IWH2" s="65"/>
      <c r="IWI2" s="65"/>
      <c r="IWJ2" s="65"/>
      <c r="IWK2" s="65"/>
      <c r="IWL2" s="65"/>
      <c r="IWM2" s="65"/>
      <c r="IWN2" s="65"/>
      <c r="IWO2" s="65"/>
      <c r="IWP2" s="65"/>
      <c r="IWQ2" s="65"/>
      <c r="IWR2" s="65"/>
      <c r="IWS2" s="65"/>
      <c r="IWT2" s="65"/>
      <c r="IWU2" s="65"/>
      <c r="IWV2" s="65"/>
      <c r="IWW2" s="65"/>
      <c r="IWX2" s="65"/>
      <c r="IWY2" s="65"/>
      <c r="IWZ2" s="65"/>
      <c r="IXA2" s="65"/>
      <c r="IXB2" s="65"/>
      <c r="IXC2" s="65"/>
      <c r="IXD2" s="65"/>
      <c r="IXE2" s="65"/>
      <c r="IXF2" s="65"/>
      <c r="IXG2" s="65"/>
      <c r="IXH2" s="65"/>
      <c r="IXI2" s="65"/>
      <c r="IXJ2" s="65"/>
      <c r="IXK2" s="65"/>
      <c r="IXL2" s="65"/>
      <c r="IXM2" s="65"/>
      <c r="IXN2" s="65"/>
      <c r="IXO2" s="65"/>
      <c r="IXP2" s="65"/>
      <c r="IXQ2" s="65"/>
      <c r="IXR2" s="65"/>
      <c r="IXS2" s="65"/>
      <c r="IXT2" s="65"/>
      <c r="IXU2" s="65"/>
      <c r="IXV2" s="65"/>
      <c r="IXW2" s="65"/>
      <c r="IXX2" s="65"/>
      <c r="IXY2" s="65"/>
      <c r="IXZ2" s="65"/>
      <c r="IYA2" s="65"/>
      <c r="IYB2" s="65"/>
      <c r="IYC2" s="65"/>
      <c r="IYD2" s="65"/>
      <c r="IYE2" s="65"/>
      <c r="IYF2" s="65"/>
      <c r="IYG2" s="65"/>
      <c r="IYH2" s="65"/>
      <c r="IYI2" s="65"/>
      <c r="IYJ2" s="65"/>
      <c r="IYK2" s="65"/>
      <c r="IYL2" s="65"/>
      <c r="IYM2" s="65"/>
      <c r="IYN2" s="65"/>
      <c r="IYO2" s="65"/>
      <c r="IYP2" s="65"/>
      <c r="IYQ2" s="65"/>
      <c r="IYR2" s="65"/>
      <c r="IYS2" s="65"/>
      <c r="IYT2" s="65"/>
      <c r="IYU2" s="65"/>
      <c r="IYV2" s="65"/>
      <c r="IYW2" s="65"/>
      <c r="IYX2" s="65"/>
      <c r="IYY2" s="65"/>
      <c r="IYZ2" s="65"/>
      <c r="IZA2" s="65"/>
      <c r="IZB2" s="65"/>
      <c r="IZC2" s="65"/>
      <c r="IZD2" s="65"/>
      <c r="IZE2" s="65"/>
      <c r="IZF2" s="65"/>
      <c r="IZG2" s="65"/>
      <c r="IZH2" s="65"/>
      <c r="IZI2" s="65"/>
      <c r="IZJ2" s="65"/>
      <c r="IZK2" s="65"/>
      <c r="IZL2" s="65"/>
      <c r="IZM2" s="65"/>
      <c r="IZN2" s="65"/>
      <c r="IZO2" s="65"/>
      <c r="IZP2" s="65"/>
      <c r="IZQ2" s="65"/>
      <c r="IZR2" s="65"/>
      <c r="IZS2" s="65"/>
      <c r="IZT2" s="65"/>
      <c r="IZU2" s="65"/>
      <c r="IZV2" s="65"/>
      <c r="IZW2" s="65"/>
      <c r="IZX2" s="65"/>
      <c r="IZY2" s="65"/>
      <c r="IZZ2" s="65"/>
      <c r="JAA2" s="65"/>
      <c r="JAB2" s="65"/>
      <c r="JAC2" s="65"/>
      <c r="JAD2" s="65"/>
      <c r="JAE2" s="65"/>
      <c r="JAF2" s="65"/>
      <c r="JAG2" s="65"/>
      <c r="JAH2" s="65"/>
      <c r="JAI2" s="65"/>
      <c r="JAJ2" s="65"/>
      <c r="JAK2" s="65"/>
      <c r="JAL2" s="65"/>
      <c r="JAM2" s="65"/>
      <c r="JAN2" s="65"/>
      <c r="JAO2" s="65"/>
      <c r="JAP2" s="65"/>
      <c r="JAQ2" s="65"/>
      <c r="JAR2" s="65"/>
      <c r="JAS2" s="65"/>
      <c r="JAT2" s="65"/>
      <c r="JAU2" s="65"/>
      <c r="JAV2" s="65"/>
      <c r="JAW2" s="65"/>
      <c r="JAX2" s="65"/>
      <c r="JAY2" s="65"/>
      <c r="JAZ2" s="65"/>
      <c r="JBA2" s="65"/>
      <c r="JBB2" s="65"/>
      <c r="JBC2" s="65"/>
      <c r="JBD2" s="65"/>
      <c r="JBE2" s="65"/>
      <c r="JBF2" s="65"/>
      <c r="JBG2" s="65"/>
      <c r="JBH2" s="65"/>
      <c r="JBI2" s="65"/>
      <c r="JBJ2" s="65"/>
      <c r="JBK2" s="65"/>
      <c r="JBL2" s="65"/>
      <c r="JBM2" s="65"/>
      <c r="JBN2" s="65"/>
      <c r="JBO2" s="65"/>
      <c r="JBP2" s="65"/>
      <c r="JBQ2" s="65"/>
      <c r="JBR2" s="65"/>
      <c r="JBS2" s="65"/>
      <c r="JBT2" s="65"/>
      <c r="JBU2" s="65"/>
      <c r="JBV2" s="65"/>
      <c r="JBW2" s="65"/>
      <c r="JBX2" s="65"/>
      <c r="JBY2" s="65"/>
      <c r="JBZ2" s="65"/>
      <c r="JCA2" s="65"/>
      <c r="JCB2" s="65"/>
      <c r="JCC2" s="65"/>
      <c r="JCD2" s="65"/>
      <c r="JCE2" s="65"/>
      <c r="JCF2" s="65"/>
      <c r="JCG2" s="65"/>
      <c r="JCH2" s="65"/>
      <c r="JCI2" s="65"/>
      <c r="JCJ2" s="65"/>
      <c r="JCK2" s="65"/>
      <c r="JCL2" s="65"/>
      <c r="JCM2" s="65"/>
      <c r="JCN2" s="65"/>
      <c r="JCO2" s="65"/>
      <c r="JCP2" s="65"/>
      <c r="JCQ2" s="65"/>
      <c r="JCR2" s="65"/>
      <c r="JCS2" s="65"/>
      <c r="JCT2" s="65"/>
      <c r="JCU2" s="65"/>
      <c r="JCV2" s="65"/>
      <c r="JCW2" s="65"/>
      <c r="JCX2" s="65"/>
      <c r="JCY2" s="65"/>
      <c r="JCZ2" s="65"/>
      <c r="JDA2" s="65"/>
      <c r="JDB2" s="65"/>
      <c r="JDC2" s="65"/>
      <c r="JDD2" s="65"/>
      <c r="JDE2" s="65"/>
      <c r="JDF2" s="65"/>
      <c r="JDG2" s="65"/>
      <c r="JDH2" s="65"/>
      <c r="JDI2" s="65"/>
      <c r="JDJ2" s="65"/>
      <c r="JDK2" s="65"/>
      <c r="JDL2" s="65"/>
      <c r="JDM2" s="65"/>
      <c r="JDN2" s="65"/>
      <c r="JDO2" s="65"/>
      <c r="JDP2" s="65"/>
      <c r="JDQ2" s="65"/>
      <c r="JDR2" s="65"/>
      <c r="JDS2" s="65"/>
      <c r="JDT2" s="65"/>
      <c r="JDU2" s="65"/>
      <c r="JDV2" s="65"/>
      <c r="JDW2" s="65"/>
      <c r="JDX2" s="65"/>
      <c r="JDY2" s="65"/>
      <c r="JDZ2" s="65"/>
      <c r="JEA2" s="65"/>
      <c r="JEB2" s="65"/>
      <c r="JEC2" s="65"/>
      <c r="JED2" s="65"/>
      <c r="JEE2" s="65"/>
      <c r="JEF2" s="65"/>
      <c r="JEG2" s="65"/>
      <c r="JEH2" s="65"/>
      <c r="JEI2" s="65"/>
      <c r="JEJ2" s="65"/>
      <c r="JEK2" s="65"/>
      <c r="JEL2" s="65"/>
      <c r="JEM2" s="65"/>
      <c r="JEN2" s="65"/>
      <c r="JEO2" s="65"/>
      <c r="JEP2" s="65"/>
      <c r="JEQ2" s="65"/>
      <c r="JER2" s="65"/>
      <c r="JES2" s="65"/>
      <c r="JET2" s="65"/>
      <c r="JEU2" s="65"/>
      <c r="JEV2" s="65"/>
      <c r="JEW2" s="65"/>
      <c r="JEX2" s="65"/>
      <c r="JEY2" s="65"/>
      <c r="JEZ2" s="65"/>
      <c r="JFA2" s="65"/>
      <c r="JFB2" s="65"/>
      <c r="JFC2" s="65"/>
      <c r="JFD2" s="65"/>
      <c r="JFE2" s="65"/>
      <c r="JFF2" s="65"/>
      <c r="JFG2" s="65"/>
      <c r="JFH2" s="65"/>
      <c r="JFI2" s="65"/>
      <c r="JFJ2" s="65"/>
      <c r="JFK2" s="65"/>
      <c r="JFL2" s="65"/>
      <c r="JFM2" s="65"/>
      <c r="JFN2" s="65"/>
      <c r="JFO2" s="65"/>
      <c r="JFP2" s="65"/>
      <c r="JFQ2" s="65"/>
      <c r="JFR2" s="65"/>
      <c r="JFS2" s="65"/>
      <c r="JFT2" s="65"/>
      <c r="JFU2" s="65"/>
      <c r="JFV2" s="65"/>
      <c r="JFW2" s="65"/>
      <c r="JFX2" s="65"/>
      <c r="JFY2" s="65"/>
      <c r="JFZ2" s="65"/>
      <c r="JGA2" s="65"/>
      <c r="JGB2" s="65"/>
      <c r="JGC2" s="65"/>
      <c r="JGD2" s="65"/>
      <c r="JGE2" s="65"/>
      <c r="JGF2" s="65"/>
      <c r="JGG2" s="65"/>
      <c r="JGH2" s="65"/>
      <c r="JGI2" s="65"/>
      <c r="JGJ2" s="65"/>
      <c r="JGK2" s="65"/>
      <c r="JGL2" s="65"/>
      <c r="JGM2" s="65"/>
      <c r="JGN2" s="65"/>
      <c r="JGO2" s="65"/>
      <c r="JGP2" s="65"/>
      <c r="JGQ2" s="65"/>
      <c r="JGR2" s="65"/>
      <c r="JGS2" s="65"/>
      <c r="JGT2" s="65"/>
      <c r="JGU2" s="65"/>
      <c r="JGV2" s="65"/>
      <c r="JGW2" s="65"/>
      <c r="JGX2" s="65"/>
      <c r="JGY2" s="65"/>
      <c r="JGZ2" s="65"/>
      <c r="JHA2" s="65"/>
      <c r="JHB2" s="65"/>
      <c r="JHC2" s="65"/>
      <c r="JHD2" s="65"/>
      <c r="JHE2" s="65"/>
      <c r="JHF2" s="65"/>
      <c r="JHG2" s="65"/>
      <c r="JHH2" s="65"/>
      <c r="JHI2" s="65"/>
      <c r="JHJ2" s="65"/>
      <c r="JHK2" s="65"/>
      <c r="JHL2" s="65"/>
      <c r="JHM2" s="65"/>
      <c r="JHN2" s="65"/>
      <c r="JHO2" s="65"/>
      <c r="JHP2" s="65"/>
      <c r="JHQ2" s="65"/>
      <c r="JHR2" s="65"/>
      <c r="JHS2" s="65"/>
      <c r="JHT2" s="65"/>
      <c r="JHU2" s="65"/>
      <c r="JHV2" s="65"/>
      <c r="JHW2" s="65"/>
      <c r="JHX2" s="65"/>
      <c r="JHY2" s="65"/>
      <c r="JHZ2" s="65"/>
      <c r="JIA2" s="65"/>
      <c r="JIB2" s="65"/>
      <c r="JIC2" s="65"/>
      <c r="JID2" s="65"/>
      <c r="JIE2" s="65"/>
      <c r="JIF2" s="65"/>
      <c r="JIG2" s="65"/>
      <c r="JIH2" s="65"/>
      <c r="JII2" s="65"/>
      <c r="JIJ2" s="65"/>
      <c r="JIK2" s="65"/>
      <c r="JIL2" s="65"/>
      <c r="JIM2" s="65"/>
      <c r="JIN2" s="65"/>
      <c r="JIO2" s="65"/>
      <c r="JIP2" s="65"/>
      <c r="JIQ2" s="65"/>
      <c r="JIR2" s="65"/>
      <c r="JIS2" s="65"/>
      <c r="JIT2" s="65"/>
      <c r="JIU2" s="65"/>
      <c r="JIV2" s="65"/>
      <c r="JIW2" s="65"/>
      <c r="JIX2" s="65"/>
      <c r="JIY2" s="65"/>
      <c r="JIZ2" s="65"/>
      <c r="JJA2" s="65"/>
      <c r="JJB2" s="65"/>
      <c r="JJC2" s="65"/>
      <c r="JJD2" s="65"/>
      <c r="JJE2" s="65"/>
      <c r="JJF2" s="65"/>
      <c r="JJG2" s="65"/>
      <c r="JJH2" s="65"/>
      <c r="JJI2" s="65"/>
      <c r="JJJ2" s="65"/>
      <c r="JJK2" s="65"/>
      <c r="JJL2" s="65"/>
      <c r="JJM2" s="65"/>
      <c r="JJN2" s="65"/>
      <c r="JJO2" s="65"/>
      <c r="JJP2" s="65"/>
      <c r="JJQ2" s="65"/>
      <c r="JJR2" s="65"/>
      <c r="JJS2" s="65"/>
      <c r="JJT2" s="65"/>
      <c r="JJU2" s="65"/>
      <c r="JJV2" s="65"/>
      <c r="JJW2" s="65"/>
      <c r="JJX2" s="65"/>
      <c r="JJY2" s="65"/>
      <c r="JJZ2" s="65"/>
      <c r="JKA2" s="65"/>
      <c r="JKB2" s="65"/>
      <c r="JKC2" s="65"/>
      <c r="JKD2" s="65"/>
      <c r="JKE2" s="65"/>
      <c r="JKF2" s="65"/>
      <c r="JKG2" s="65"/>
      <c r="JKH2" s="65"/>
      <c r="JKI2" s="65"/>
      <c r="JKJ2" s="65"/>
      <c r="JKK2" s="65"/>
      <c r="JKL2" s="65"/>
      <c r="JKM2" s="65"/>
      <c r="JKN2" s="65"/>
      <c r="JKO2" s="65"/>
      <c r="JKP2" s="65"/>
      <c r="JKQ2" s="65"/>
      <c r="JKR2" s="65"/>
      <c r="JKS2" s="65"/>
      <c r="JKT2" s="65"/>
      <c r="JKU2" s="65"/>
      <c r="JKV2" s="65"/>
      <c r="JKW2" s="65"/>
      <c r="JKX2" s="65"/>
      <c r="JKY2" s="65"/>
      <c r="JKZ2" s="65"/>
      <c r="JLA2" s="65"/>
      <c r="JLB2" s="65"/>
      <c r="JLC2" s="65"/>
      <c r="JLD2" s="65"/>
      <c r="JLE2" s="65"/>
      <c r="JLF2" s="65"/>
      <c r="JLG2" s="65"/>
      <c r="JLH2" s="65"/>
      <c r="JLI2" s="65"/>
      <c r="JLJ2" s="65"/>
      <c r="JLK2" s="65"/>
      <c r="JLL2" s="65"/>
      <c r="JLM2" s="65"/>
      <c r="JLN2" s="65"/>
      <c r="JLO2" s="65"/>
      <c r="JLP2" s="65"/>
      <c r="JLQ2" s="65"/>
      <c r="JLR2" s="65"/>
      <c r="JLS2" s="65"/>
      <c r="JLT2" s="65"/>
      <c r="JLU2" s="65"/>
      <c r="JLV2" s="65"/>
      <c r="JLW2" s="65"/>
      <c r="JLX2" s="65"/>
      <c r="JLY2" s="65"/>
      <c r="JLZ2" s="65"/>
      <c r="JMA2" s="65"/>
      <c r="JMB2" s="65"/>
      <c r="JMC2" s="65"/>
      <c r="JMD2" s="65"/>
      <c r="JME2" s="65"/>
      <c r="JMF2" s="65"/>
      <c r="JMG2" s="65"/>
      <c r="JMH2" s="65"/>
      <c r="JMI2" s="65"/>
      <c r="JMJ2" s="65"/>
      <c r="JMK2" s="65"/>
      <c r="JML2" s="65"/>
      <c r="JMM2" s="65"/>
      <c r="JMN2" s="65"/>
      <c r="JMO2" s="65"/>
      <c r="JMP2" s="65"/>
      <c r="JMQ2" s="65"/>
      <c r="JMR2" s="65"/>
      <c r="JMS2" s="65"/>
      <c r="JMT2" s="65"/>
      <c r="JMU2" s="65"/>
      <c r="JMV2" s="65"/>
      <c r="JMW2" s="65"/>
      <c r="JMX2" s="65"/>
      <c r="JMY2" s="65"/>
      <c r="JMZ2" s="65"/>
      <c r="JNA2" s="65"/>
      <c r="JNB2" s="65"/>
      <c r="JNC2" s="65"/>
      <c r="JND2" s="65"/>
      <c r="JNE2" s="65"/>
      <c r="JNF2" s="65"/>
      <c r="JNG2" s="65"/>
      <c r="JNH2" s="65"/>
      <c r="JNI2" s="65"/>
      <c r="JNJ2" s="65"/>
      <c r="JNK2" s="65"/>
      <c r="JNL2" s="65"/>
      <c r="JNM2" s="65"/>
      <c r="JNN2" s="65"/>
      <c r="JNO2" s="65"/>
      <c r="JNP2" s="65"/>
      <c r="JNQ2" s="65"/>
      <c r="JNR2" s="65"/>
      <c r="JNS2" s="65"/>
      <c r="JNT2" s="65"/>
      <c r="JNU2" s="65"/>
      <c r="JNV2" s="65"/>
      <c r="JNW2" s="65"/>
      <c r="JNX2" s="65"/>
      <c r="JNY2" s="65"/>
      <c r="JNZ2" s="65"/>
      <c r="JOA2" s="65"/>
      <c r="JOB2" s="65"/>
      <c r="JOC2" s="65"/>
      <c r="JOD2" s="65"/>
      <c r="JOE2" s="65"/>
      <c r="JOF2" s="65"/>
      <c r="JOG2" s="65"/>
      <c r="JOH2" s="65"/>
      <c r="JOI2" s="65"/>
      <c r="JOJ2" s="65"/>
      <c r="JOK2" s="65"/>
      <c r="JOL2" s="65"/>
      <c r="JOM2" s="65"/>
      <c r="JON2" s="65"/>
      <c r="JOO2" s="65"/>
      <c r="JOP2" s="65"/>
      <c r="JOQ2" s="65"/>
      <c r="JOR2" s="65"/>
      <c r="JOS2" s="65"/>
      <c r="JOT2" s="65"/>
      <c r="JOU2" s="65"/>
      <c r="JOV2" s="65"/>
      <c r="JOW2" s="65"/>
      <c r="JOX2" s="65"/>
      <c r="JOY2" s="65"/>
      <c r="JOZ2" s="65"/>
      <c r="JPA2" s="65"/>
      <c r="JPB2" s="65"/>
      <c r="JPC2" s="65"/>
      <c r="JPD2" s="65"/>
      <c r="JPE2" s="65"/>
      <c r="JPF2" s="65"/>
      <c r="JPG2" s="65"/>
      <c r="JPH2" s="65"/>
      <c r="JPI2" s="65"/>
      <c r="JPJ2" s="65"/>
      <c r="JPK2" s="65"/>
      <c r="JPL2" s="65"/>
      <c r="JPM2" s="65"/>
      <c r="JPN2" s="65"/>
      <c r="JPO2" s="65"/>
      <c r="JPP2" s="65"/>
      <c r="JPQ2" s="65"/>
      <c r="JPR2" s="65"/>
      <c r="JPS2" s="65"/>
      <c r="JPT2" s="65"/>
      <c r="JPU2" s="65"/>
      <c r="JPV2" s="65"/>
      <c r="JPW2" s="65"/>
      <c r="JPX2" s="65"/>
      <c r="JPY2" s="65"/>
      <c r="JPZ2" s="65"/>
      <c r="JQA2" s="65"/>
      <c r="JQB2" s="65"/>
      <c r="JQC2" s="65"/>
      <c r="JQD2" s="65"/>
      <c r="JQE2" s="65"/>
      <c r="JQF2" s="65"/>
      <c r="JQG2" s="65"/>
      <c r="JQH2" s="65"/>
      <c r="JQI2" s="65"/>
      <c r="JQJ2" s="65"/>
      <c r="JQK2" s="65"/>
      <c r="JQL2" s="65"/>
      <c r="JQM2" s="65"/>
      <c r="JQN2" s="65"/>
      <c r="JQO2" s="65"/>
      <c r="JQP2" s="65"/>
      <c r="JQQ2" s="65"/>
      <c r="JQR2" s="65"/>
      <c r="JQS2" s="65"/>
      <c r="JQT2" s="65"/>
      <c r="JQU2" s="65"/>
      <c r="JQV2" s="65"/>
      <c r="JQW2" s="65"/>
      <c r="JQX2" s="65"/>
      <c r="JQY2" s="65"/>
      <c r="JQZ2" s="65"/>
      <c r="JRA2" s="65"/>
      <c r="JRB2" s="65"/>
      <c r="JRC2" s="65"/>
      <c r="JRD2" s="65"/>
      <c r="JRE2" s="65"/>
      <c r="JRF2" s="65"/>
      <c r="JRG2" s="65"/>
      <c r="JRH2" s="65"/>
      <c r="JRI2" s="65"/>
      <c r="JRJ2" s="65"/>
      <c r="JRK2" s="65"/>
      <c r="JRL2" s="65"/>
      <c r="JRM2" s="65"/>
      <c r="JRN2" s="65"/>
      <c r="JRO2" s="65"/>
      <c r="JRP2" s="65"/>
      <c r="JRQ2" s="65"/>
      <c r="JRR2" s="65"/>
      <c r="JRS2" s="65"/>
      <c r="JRT2" s="65"/>
      <c r="JRU2" s="65"/>
      <c r="JRV2" s="65"/>
      <c r="JRW2" s="65"/>
      <c r="JRX2" s="65"/>
      <c r="JRY2" s="65"/>
      <c r="JRZ2" s="65"/>
      <c r="JSA2" s="65"/>
      <c r="JSB2" s="65"/>
      <c r="JSC2" s="65"/>
      <c r="JSD2" s="65"/>
      <c r="JSE2" s="65"/>
      <c r="JSF2" s="65"/>
      <c r="JSG2" s="65"/>
      <c r="JSH2" s="65"/>
      <c r="JSI2" s="65"/>
      <c r="JSJ2" s="65"/>
      <c r="JSK2" s="65"/>
      <c r="JSL2" s="65"/>
      <c r="JSM2" s="65"/>
      <c r="JSN2" s="65"/>
      <c r="JSO2" s="65"/>
      <c r="JSP2" s="65"/>
      <c r="JSQ2" s="65"/>
      <c r="JSR2" s="65"/>
      <c r="JSS2" s="65"/>
      <c r="JST2" s="65"/>
      <c r="JSU2" s="65"/>
      <c r="JSV2" s="65"/>
      <c r="JSW2" s="65"/>
      <c r="JSX2" s="65"/>
      <c r="JSY2" s="65"/>
      <c r="JSZ2" s="65"/>
      <c r="JTA2" s="65"/>
      <c r="JTB2" s="65"/>
      <c r="JTC2" s="65"/>
      <c r="JTD2" s="65"/>
      <c r="JTE2" s="65"/>
      <c r="JTF2" s="65"/>
      <c r="JTG2" s="65"/>
      <c r="JTH2" s="65"/>
      <c r="JTI2" s="65"/>
      <c r="JTJ2" s="65"/>
      <c r="JTK2" s="65"/>
      <c r="JTL2" s="65"/>
      <c r="JTM2" s="65"/>
      <c r="JTN2" s="65"/>
      <c r="JTO2" s="65"/>
      <c r="JTP2" s="65"/>
      <c r="JTQ2" s="65"/>
      <c r="JTR2" s="65"/>
      <c r="JTS2" s="65"/>
      <c r="JTT2" s="65"/>
      <c r="JTU2" s="65"/>
      <c r="JTV2" s="65"/>
      <c r="JTW2" s="65"/>
      <c r="JTX2" s="65"/>
      <c r="JTY2" s="65"/>
      <c r="JTZ2" s="65"/>
      <c r="JUA2" s="65"/>
      <c r="JUB2" s="65"/>
      <c r="JUC2" s="65"/>
      <c r="JUD2" s="65"/>
      <c r="JUE2" s="65"/>
      <c r="JUF2" s="65"/>
      <c r="JUG2" s="65"/>
      <c r="JUH2" s="65"/>
      <c r="JUI2" s="65"/>
      <c r="JUJ2" s="65"/>
      <c r="JUK2" s="65"/>
      <c r="JUL2" s="65"/>
      <c r="JUM2" s="65"/>
      <c r="JUN2" s="65"/>
      <c r="JUO2" s="65"/>
      <c r="JUP2" s="65"/>
      <c r="JUQ2" s="65"/>
      <c r="JUR2" s="65"/>
      <c r="JUS2" s="65"/>
      <c r="JUT2" s="65"/>
      <c r="JUU2" s="65"/>
      <c r="JUV2" s="65"/>
      <c r="JUW2" s="65"/>
      <c r="JUX2" s="65"/>
      <c r="JUY2" s="65"/>
      <c r="JUZ2" s="65"/>
      <c r="JVA2" s="65"/>
      <c r="JVB2" s="65"/>
      <c r="JVC2" s="65"/>
      <c r="JVD2" s="65"/>
      <c r="JVE2" s="65"/>
      <c r="JVF2" s="65"/>
      <c r="JVG2" s="65"/>
      <c r="JVH2" s="65"/>
      <c r="JVI2" s="65"/>
      <c r="JVJ2" s="65"/>
      <c r="JVK2" s="65"/>
      <c r="JVL2" s="65"/>
      <c r="JVM2" s="65"/>
      <c r="JVN2" s="65"/>
      <c r="JVO2" s="65"/>
      <c r="JVP2" s="65"/>
      <c r="JVQ2" s="65"/>
      <c r="JVR2" s="65"/>
      <c r="JVS2" s="65"/>
      <c r="JVT2" s="65"/>
      <c r="JVU2" s="65"/>
      <c r="JVV2" s="65"/>
      <c r="JVW2" s="65"/>
      <c r="JVX2" s="65"/>
      <c r="JVY2" s="65"/>
      <c r="JVZ2" s="65"/>
      <c r="JWA2" s="65"/>
      <c r="JWB2" s="65"/>
      <c r="JWC2" s="65"/>
      <c r="JWD2" s="65"/>
      <c r="JWE2" s="65"/>
      <c r="JWF2" s="65"/>
      <c r="JWG2" s="65"/>
      <c r="JWH2" s="65"/>
      <c r="JWI2" s="65"/>
      <c r="JWJ2" s="65"/>
      <c r="JWK2" s="65"/>
      <c r="JWL2" s="65"/>
      <c r="JWM2" s="65"/>
      <c r="JWN2" s="65"/>
      <c r="JWO2" s="65"/>
      <c r="JWP2" s="65"/>
      <c r="JWQ2" s="65"/>
      <c r="JWR2" s="65"/>
      <c r="JWS2" s="65"/>
      <c r="JWT2" s="65"/>
      <c r="JWU2" s="65"/>
      <c r="JWV2" s="65"/>
      <c r="JWW2" s="65"/>
      <c r="JWX2" s="65"/>
      <c r="JWY2" s="65"/>
      <c r="JWZ2" s="65"/>
      <c r="JXA2" s="65"/>
      <c r="JXB2" s="65"/>
      <c r="JXC2" s="65"/>
      <c r="JXD2" s="65"/>
      <c r="JXE2" s="65"/>
      <c r="JXF2" s="65"/>
      <c r="JXG2" s="65"/>
      <c r="JXH2" s="65"/>
      <c r="JXI2" s="65"/>
      <c r="JXJ2" s="65"/>
      <c r="JXK2" s="65"/>
      <c r="JXL2" s="65"/>
      <c r="JXM2" s="65"/>
      <c r="JXN2" s="65"/>
      <c r="JXO2" s="65"/>
      <c r="JXP2" s="65"/>
      <c r="JXQ2" s="65"/>
      <c r="JXR2" s="65"/>
      <c r="JXS2" s="65"/>
      <c r="JXT2" s="65"/>
      <c r="JXU2" s="65"/>
      <c r="JXV2" s="65"/>
      <c r="JXW2" s="65"/>
      <c r="JXX2" s="65"/>
      <c r="JXY2" s="65"/>
      <c r="JXZ2" s="65"/>
      <c r="JYA2" s="65"/>
      <c r="JYB2" s="65"/>
      <c r="JYC2" s="65"/>
      <c r="JYD2" s="65"/>
      <c r="JYE2" s="65"/>
      <c r="JYF2" s="65"/>
      <c r="JYG2" s="65"/>
      <c r="JYH2" s="65"/>
      <c r="JYI2" s="65"/>
      <c r="JYJ2" s="65"/>
      <c r="JYK2" s="65"/>
      <c r="JYL2" s="65"/>
      <c r="JYM2" s="65"/>
      <c r="JYN2" s="65"/>
      <c r="JYO2" s="65"/>
      <c r="JYP2" s="65"/>
      <c r="JYQ2" s="65"/>
      <c r="JYR2" s="65"/>
      <c r="JYS2" s="65"/>
      <c r="JYT2" s="65"/>
      <c r="JYU2" s="65"/>
      <c r="JYV2" s="65"/>
      <c r="JYW2" s="65"/>
      <c r="JYX2" s="65"/>
      <c r="JYY2" s="65"/>
      <c r="JYZ2" s="65"/>
      <c r="JZA2" s="65"/>
      <c r="JZB2" s="65"/>
      <c r="JZC2" s="65"/>
      <c r="JZD2" s="65"/>
      <c r="JZE2" s="65"/>
      <c r="JZF2" s="65"/>
      <c r="JZG2" s="65"/>
      <c r="JZH2" s="65"/>
      <c r="JZI2" s="65"/>
      <c r="JZJ2" s="65"/>
      <c r="JZK2" s="65"/>
      <c r="JZL2" s="65"/>
      <c r="JZM2" s="65"/>
      <c r="JZN2" s="65"/>
      <c r="JZO2" s="65"/>
      <c r="JZP2" s="65"/>
      <c r="JZQ2" s="65"/>
      <c r="JZR2" s="65"/>
      <c r="JZS2" s="65"/>
      <c r="JZT2" s="65"/>
      <c r="JZU2" s="65"/>
      <c r="JZV2" s="65"/>
      <c r="JZW2" s="65"/>
      <c r="JZX2" s="65"/>
      <c r="JZY2" s="65"/>
      <c r="JZZ2" s="65"/>
      <c r="KAA2" s="65"/>
      <c r="KAB2" s="65"/>
      <c r="KAC2" s="65"/>
      <c r="KAD2" s="65"/>
      <c r="KAE2" s="65"/>
      <c r="KAF2" s="65"/>
      <c r="KAG2" s="65"/>
      <c r="KAH2" s="65"/>
      <c r="KAI2" s="65"/>
      <c r="KAJ2" s="65"/>
      <c r="KAK2" s="65"/>
      <c r="KAL2" s="65"/>
      <c r="KAM2" s="65"/>
      <c r="KAN2" s="65"/>
      <c r="KAO2" s="65"/>
      <c r="KAP2" s="65"/>
      <c r="KAQ2" s="65"/>
      <c r="KAR2" s="65"/>
      <c r="KAS2" s="65"/>
      <c r="KAT2" s="65"/>
      <c r="KAU2" s="65"/>
      <c r="KAV2" s="65"/>
      <c r="KAW2" s="65"/>
      <c r="KAX2" s="65"/>
      <c r="KAY2" s="65"/>
      <c r="KAZ2" s="65"/>
      <c r="KBA2" s="65"/>
      <c r="KBB2" s="65"/>
      <c r="KBC2" s="65"/>
      <c r="KBD2" s="65"/>
      <c r="KBE2" s="65"/>
      <c r="KBF2" s="65"/>
      <c r="KBG2" s="65"/>
      <c r="KBH2" s="65"/>
      <c r="KBI2" s="65"/>
      <c r="KBJ2" s="65"/>
      <c r="KBK2" s="65"/>
      <c r="KBL2" s="65"/>
      <c r="KBM2" s="65"/>
      <c r="KBN2" s="65"/>
      <c r="KBO2" s="65"/>
      <c r="KBP2" s="65"/>
      <c r="KBQ2" s="65"/>
      <c r="KBR2" s="65"/>
      <c r="KBS2" s="65"/>
      <c r="KBT2" s="65"/>
      <c r="KBU2" s="65"/>
      <c r="KBV2" s="65"/>
      <c r="KBW2" s="65"/>
      <c r="KBX2" s="65"/>
      <c r="KBY2" s="65"/>
      <c r="KBZ2" s="65"/>
      <c r="KCA2" s="65"/>
      <c r="KCB2" s="65"/>
      <c r="KCC2" s="65"/>
      <c r="KCD2" s="65"/>
      <c r="KCE2" s="65"/>
      <c r="KCF2" s="65"/>
      <c r="KCG2" s="65"/>
      <c r="KCH2" s="65"/>
      <c r="KCI2" s="65"/>
      <c r="KCJ2" s="65"/>
      <c r="KCK2" s="65"/>
      <c r="KCL2" s="65"/>
      <c r="KCM2" s="65"/>
      <c r="KCN2" s="65"/>
      <c r="KCO2" s="65"/>
      <c r="KCP2" s="65"/>
      <c r="KCQ2" s="65"/>
      <c r="KCR2" s="65"/>
      <c r="KCS2" s="65"/>
      <c r="KCT2" s="65"/>
      <c r="KCU2" s="65"/>
      <c r="KCV2" s="65"/>
      <c r="KCW2" s="65"/>
      <c r="KCX2" s="65"/>
      <c r="KCY2" s="65"/>
      <c r="KCZ2" s="65"/>
      <c r="KDA2" s="65"/>
      <c r="KDB2" s="65"/>
      <c r="KDC2" s="65"/>
      <c r="KDD2" s="65"/>
      <c r="KDE2" s="65"/>
      <c r="KDF2" s="65"/>
      <c r="KDG2" s="65"/>
      <c r="KDH2" s="65"/>
      <c r="KDI2" s="65"/>
      <c r="KDJ2" s="65"/>
      <c r="KDK2" s="65"/>
      <c r="KDL2" s="65"/>
      <c r="KDM2" s="65"/>
      <c r="KDN2" s="65"/>
      <c r="KDO2" s="65"/>
      <c r="KDP2" s="65"/>
      <c r="KDQ2" s="65"/>
      <c r="KDR2" s="65"/>
      <c r="KDS2" s="65"/>
      <c r="KDT2" s="65"/>
      <c r="KDU2" s="65"/>
      <c r="KDV2" s="65"/>
      <c r="KDW2" s="65"/>
      <c r="KDX2" s="65"/>
      <c r="KDY2" s="65"/>
      <c r="KDZ2" s="65"/>
      <c r="KEA2" s="65"/>
      <c r="KEB2" s="65"/>
      <c r="KEC2" s="65"/>
      <c r="KED2" s="65"/>
      <c r="KEE2" s="65"/>
      <c r="KEF2" s="65"/>
      <c r="KEG2" s="65"/>
      <c r="KEH2" s="65"/>
      <c r="KEI2" s="65"/>
      <c r="KEJ2" s="65"/>
      <c r="KEK2" s="65"/>
      <c r="KEL2" s="65"/>
      <c r="KEM2" s="65"/>
      <c r="KEN2" s="65"/>
      <c r="KEO2" s="65"/>
      <c r="KEP2" s="65"/>
      <c r="KEQ2" s="65"/>
      <c r="KER2" s="65"/>
      <c r="KES2" s="65"/>
      <c r="KET2" s="65"/>
      <c r="KEU2" s="65"/>
      <c r="KEV2" s="65"/>
      <c r="KEW2" s="65"/>
      <c r="KEX2" s="65"/>
      <c r="KEY2" s="65"/>
      <c r="KEZ2" s="65"/>
      <c r="KFA2" s="65"/>
      <c r="KFB2" s="65"/>
      <c r="KFC2" s="65"/>
      <c r="KFD2" s="65"/>
      <c r="KFE2" s="65"/>
      <c r="KFF2" s="65"/>
      <c r="KFG2" s="65"/>
      <c r="KFH2" s="65"/>
      <c r="KFI2" s="65"/>
      <c r="KFJ2" s="65"/>
      <c r="KFK2" s="65"/>
      <c r="KFL2" s="65"/>
      <c r="KFM2" s="65"/>
      <c r="KFN2" s="65"/>
      <c r="KFO2" s="65"/>
      <c r="KFP2" s="65"/>
      <c r="KFQ2" s="65"/>
      <c r="KFR2" s="65"/>
      <c r="KFS2" s="65"/>
      <c r="KFT2" s="65"/>
      <c r="KFU2" s="65"/>
      <c r="KFV2" s="65"/>
      <c r="KFW2" s="65"/>
      <c r="KFX2" s="65"/>
      <c r="KFY2" s="65"/>
      <c r="KFZ2" s="65"/>
      <c r="KGA2" s="65"/>
      <c r="KGB2" s="65"/>
      <c r="KGC2" s="65"/>
      <c r="KGD2" s="65"/>
      <c r="KGE2" s="65"/>
      <c r="KGF2" s="65"/>
      <c r="KGG2" s="65"/>
      <c r="KGH2" s="65"/>
      <c r="KGI2" s="65"/>
      <c r="KGJ2" s="65"/>
      <c r="KGK2" s="65"/>
      <c r="KGL2" s="65"/>
      <c r="KGM2" s="65"/>
      <c r="KGN2" s="65"/>
      <c r="KGO2" s="65"/>
      <c r="KGP2" s="65"/>
      <c r="KGQ2" s="65"/>
      <c r="KGR2" s="65"/>
      <c r="KGS2" s="65"/>
      <c r="KGT2" s="65"/>
      <c r="KGU2" s="65"/>
      <c r="KGV2" s="65"/>
      <c r="KGW2" s="65"/>
      <c r="KGX2" s="65"/>
      <c r="KGY2" s="65"/>
      <c r="KGZ2" s="65"/>
      <c r="KHA2" s="65"/>
      <c r="KHB2" s="65"/>
      <c r="KHC2" s="65"/>
      <c r="KHD2" s="65"/>
      <c r="KHE2" s="65"/>
      <c r="KHF2" s="65"/>
      <c r="KHG2" s="65"/>
      <c r="KHH2" s="65"/>
      <c r="KHI2" s="65"/>
      <c r="KHJ2" s="65"/>
      <c r="KHK2" s="65"/>
      <c r="KHL2" s="65"/>
      <c r="KHM2" s="65"/>
      <c r="KHN2" s="65"/>
      <c r="KHO2" s="65"/>
      <c r="KHP2" s="65"/>
      <c r="KHQ2" s="65"/>
      <c r="KHR2" s="65"/>
      <c r="KHS2" s="65"/>
      <c r="KHT2" s="65"/>
      <c r="KHU2" s="65"/>
      <c r="KHV2" s="65"/>
      <c r="KHW2" s="65"/>
      <c r="KHX2" s="65"/>
      <c r="KHY2" s="65"/>
      <c r="KHZ2" s="65"/>
      <c r="KIA2" s="65"/>
      <c r="KIB2" s="65"/>
      <c r="KIC2" s="65"/>
      <c r="KID2" s="65"/>
      <c r="KIE2" s="65"/>
      <c r="KIF2" s="65"/>
      <c r="KIG2" s="65"/>
      <c r="KIH2" s="65"/>
      <c r="KII2" s="65"/>
      <c r="KIJ2" s="65"/>
      <c r="KIK2" s="65"/>
      <c r="KIL2" s="65"/>
      <c r="KIM2" s="65"/>
      <c r="KIN2" s="65"/>
      <c r="KIO2" s="65"/>
      <c r="KIP2" s="65"/>
      <c r="KIQ2" s="65"/>
      <c r="KIR2" s="65"/>
      <c r="KIS2" s="65"/>
      <c r="KIT2" s="65"/>
      <c r="KIU2" s="65"/>
      <c r="KIV2" s="65"/>
      <c r="KIW2" s="65"/>
      <c r="KIX2" s="65"/>
      <c r="KIY2" s="65"/>
      <c r="KIZ2" s="65"/>
      <c r="KJA2" s="65"/>
      <c r="KJB2" s="65"/>
      <c r="KJC2" s="65"/>
      <c r="KJD2" s="65"/>
      <c r="KJE2" s="65"/>
      <c r="KJF2" s="65"/>
      <c r="KJG2" s="65"/>
      <c r="KJH2" s="65"/>
      <c r="KJI2" s="65"/>
      <c r="KJJ2" s="65"/>
      <c r="KJK2" s="65"/>
      <c r="KJL2" s="65"/>
      <c r="KJM2" s="65"/>
      <c r="KJN2" s="65"/>
      <c r="KJO2" s="65"/>
      <c r="KJP2" s="65"/>
      <c r="KJQ2" s="65"/>
      <c r="KJR2" s="65"/>
      <c r="KJS2" s="65"/>
      <c r="KJT2" s="65"/>
      <c r="KJU2" s="65"/>
      <c r="KJV2" s="65"/>
      <c r="KJW2" s="65"/>
      <c r="KJX2" s="65"/>
      <c r="KJY2" s="65"/>
      <c r="KJZ2" s="65"/>
      <c r="KKA2" s="65"/>
      <c r="KKB2" s="65"/>
      <c r="KKC2" s="65"/>
      <c r="KKD2" s="65"/>
      <c r="KKE2" s="65"/>
      <c r="KKF2" s="65"/>
      <c r="KKG2" s="65"/>
      <c r="KKH2" s="65"/>
      <c r="KKI2" s="65"/>
      <c r="KKJ2" s="65"/>
      <c r="KKK2" s="65"/>
      <c r="KKL2" s="65"/>
      <c r="KKM2" s="65"/>
      <c r="KKN2" s="65"/>
      <c r="KKO2" s="65"/>
      <c r="KKP2" s="65"/>
      <c r="KKQ2" s="65"/>
      <c r="KKR2" s="65"/>
      <c r="KKS2" s="65"/>
      <c r="KKT2" s="65"/>
      <c r="KKU2" s="65"/>
      <c r="KKV2" s="65"/>
      <c r="KKW2" s="65"/>
      <c r="KKX2" s="65"/>
      <c r="KKY2" s="65"/>
      <c r="KKZ2" s="65"/>
      <c r="KLA2" s="65"/>
      <c r="KLB2" s="65"/>
      <c r="KLC2" s="65"/>
      <c r="KLD2" s="65"/>
      <c r="KLE2" s="65"/>
      <c r="KLF2" s="65"/>
      <c r="KLG2" s="65"/>
      <c r="KLH2" s="65"/>
      <c r="KLI2" s="65"/>
      <c r="KLJ2" s="65"/>
      <c r="KLK2" s="65"/>
      <c r="KLL2" s="65"/>
      <c r="KLM2" s="65"/>
      <c r="KLN2" s="65"/>
      <c r="KLO2" s="65"/>
      <c r="KLP2" s="65"/>
      <c r="KLQ2" s="65"/>
      <c r="KLR2" s="65"/>
      <c r="KLS2" s="65"/>
      <c r="KLT2" s="65"/>
      <c r="KLU2" s="65"/>
      <c r="KLV2" s="65"/>
      <c r="KLW2" s="65"/>
      <c r="KLX2" s="65"/>
      <c r="KLY2" s="65"/>
      <c r="KLZ2" s="65"/>
      <c r="KMA2" s="65"/>
      <c r="KMB2" s="65"/>
      <c r="KMC2" s="65"/>
      <c r="KMD2" s="65"/>
      <c r="KME2" s="65"/>
      <c r="KMF2" s="65"/>
      <c r="KMG2" s="65"/>
      <c r="KMH2" s="65"/>
      <c r="KMI2" s="65"/>
      <c r="KMJ2" s="65"/>
      <c r="KMK2" s="65"/>
      <c r="KML2" s="65"/>
      <c r="KMM2" s="65"/>
      <c r="KMN2" s="65"/>
      <c r="KMO2" s="65"/>
      <c r="KMP2" s="65"/>
      <c r="KMQ2" s="65"/>
      <c r="KMR2" s="65"/>
      <c r="KMS2" s="65"/>
      <c r="KMT2" s="65"/>
      <c r="KMU2" s="65"/>
      <c r="KMV2" s="65"/>
      <c r="KMW2" s="65"/>
      <c r="KMX2" s="65"/>
      <c r="KMY2" s="65"/>
      <c r="KMZ2" s="65"/>
      <c r="KNA2" s="65"/>
      <c r="KNB2" s="65"/>
      <c r="KNC2" s="65"/>
      <c r="KND2" s="65"/>
      <c r="KNE2" s="65"/>
      <c r="KNF2" s="65"/>
      <c r="KNG2" s="65"/>
      <c r="KNH2" s="65"/>
      <c r="KNI2" s="65"/>
      <c r="KNJ2" s="65"/>
      <c r="KNK2" s="65"/>
      <c r="KNL2" s="65"/>
      <c r="KNM2" s="65"/>
      <c r="KNN2" s="65"/>
      <c r="KNO2" s="65"/>
      <c r="KNP2" s="65"/>
      <c r="KNQ2" s="65"/>
      <c r="KNR2" s="65"/>
      <c r="KNS2" s="65"/>
      <c r="KNT2" s="65"/>
      <c r="KNU2" s="65"/>
      <c r="KNV2" s="65"/>
      <c r="KNW2" s="65"/>
      <c r="KNX2" s="65"/>
      <c r="KNY2" s="65"/>
      <c r="KNZ2" s="65"/>
      <c r="KOA2" s="65"/>
      <c r="KOB2" s="65"/>
      <c r="KOC2" s="65"/>
      <c r="KOD2" s="65"/>
      <c r="KOE2" s="65"/>
      <c r="KOF2" s="65"/>
      <c r="KOG2" s="65"/>
      <c r="KOH2" s="65"/>
      <c r="KOI2" s="65"/>
      <c r="KOJ2" s="65"/>
      <c r="KOK2" s="65"/>
      <c r="KOL2" s="65"/>
      <c r="KOM2" s="65"/>
      <c r="KON2" s="65"/>
      <c r="KOO2" s="65"/>
      <c r="KOP2" s="65"/>
      <c r="KOQ2" s="65"/>
      <c r="KOR2" s="65"/>
      <c r="KOS2" s="65"/>
      <c r="KOT2" s="65"/>
      <c r="KOU2" s="65"/>
      <c r="KOV2" s="65"/>
      <c r="KOW2" s="65"/>
      <c r="KOX2" s="65"/>
      <c r="KOY2" s="65"/>
      <c r="KOZ2" s="65"/>
      <c r="KPA2" s="65"/>
      <c r="KPB2" s="65"/>
      <c r="KPC2" s="65"/>
      <c r="KPD2" s="65"/>
      <c r="KPE2" s="65"/>
      <c r="KPF2" s="65"/>
      <c r="KPG2" s="65"/>
      <c r="KPH2" s="65"/>
      <c r="KPI2" s="65"/>
      <c r="KPJ2" s="65"/>
      <c r="KPK2" s="65"/>
      <c r="KPL2" s="65"/>
      <c r="KPM2" s="65"/>
      <c r="KPN2" s="65"/>
      <c r="KPO2" s="65"/>
      <c r="KPP2" s="65"/>
      <c r="KPQ2" s="65"/>
      <c r="KPR2" s="65"/>
      <c r="KPS2" s="65"/>
      <c r="KPT2" s="65"/>
      <c r="KPU2" s="65"/>
      <c r="KPV2" s="65"/>
      <c r="KPW2" s="65"/>
      <c r="KPX2" s="65"/>
      <c r="KPY2" s="65"/>
      <c r="KPZ2" s="65"/>
      <c r="KQA2" s="65"/>
      <c r="KQB2" s="65"/>
      <c r="KQC2" s="65"/>
      <c r="KQD2" s="65"/>
      <c r="KQE2" s="65"/>
      <c r="KQF2" s="65"/>
      <c r="KQG2" s="65"/>
      <c r="KQH2" s="65"/>
      <c r="KQI2" s="65"/>
      <c r="KQJ2" s="65"/>
      <c r="KQK2" s="65"/>
      <c r="KQL2" s="65"/>
      <c r="KQM2" s="65"/>
      <c r="KQN2" s="65"/>
      <c r="KQO2" s="65"/>
      <c r="KQP2" s="65"/>
      <c r="KQQ2" s="65"/>
      <c r="KQR2" s="65"/>
      <c r="KQS2" s="65"/>
      <c r="KQT2" s="65"/>
      <c r="KQU2" s="65"/>
      <c r="KQV2" s="65"/>
      <c r="KQW2" s="65"/>
      <c r="KQX2" s="65"/>
      <c r="KQY2" s="65"/>
      <c r="KQZ2" s="65"/>
      <c r="KRA2" s="65"/>
      <c r="KRB2" s="65"/>
      <c r="KRC2" s="65"/>
      <c r="KRD2" s="65"/>
      <c r="KRE2" s="65"/>
      <c r="KRF2" s="65"/>
      <c r="KRG2" s="65"/>
      <c r="KRH2" s="65"/>
      <c r="KRI2" s="65"/>
      <c r="KRJ2" s="65"/>
      <c r="KRK2" s="65"/>
      <c r="KRL2" s="65"/>
      <c r="KRM2" s="65"/>
      <c r="KRN2" s="65"/>
      <c r="KRO2" s="65"/>
      <c r="KRP2" s="65"/>
      <c r="KRQ2" s="65"/>
      <c r="KRR2" s="65"/>
      <c r="KRS2" s="65"/>
      <c r="KRT2" s="65"/>
      <c r="KRU2" s="65"/>
      <c r="KRV2" s="65"/>
      <c r="KRW2" s="65"/>
      <c r="KRX2" s="65"/>
      <c r="KRY2" s="65"/>
      <c r="KRZ2" s="65"/>
      <c r="KSA2" s="65"/>
      <c r="KSB2" s="65"/>
      <c r="KSC2" s="65"/>
      <c r="KSD2" s="65"/>
      <c r="KSE2" s="65"/>
      <c r="KSF2" s="65"/>
      <c r="KSG2" s="65"/>
      <c r="KSH2" s="65"/>
      <c r="KSI2" s="65"/>
      <c r="KSJ2" s="65"/>
      <c r="KSK2" s="65"/>
      <c r="KSL2" s="65"/>
      <c r="KSM2" s="65"/>
      <c r="KSN2" s="65"/>
      <c r="KSO2" s="65"/>
      <c r="KSP2" s="65"/>
      <c r="KSQ2" s="65"/>
      <c r="KSR2" s="65"/>
      <c r="KSS2" s="65"/>
      <c r="KST2" s="65"/>
      <c r="KSU2" s="65"/>
      <c r="KSV2" s="65"/>
      <c r="KSW2" s="65"/>
      <c r="KSX2" s="65"/>
      <c r="KSY2" s="65"/>
      <c r="KSZ2" s="65"/>
      <c r="KTA2" s="65"/>
      <c r="KTB2" s="65"/>
      <c r="KTC2" s="65"/>
      <c r="KTD2" s="65"/>
      <c r="KTE2" s="65"/>
      <c r="KTF2" s="65"/>
      <c r="KTG2" s="65"/>
      <c r="KTH2" s="65"/>
      <c r="KTI2" s="65"/>
      <c r="KTJ2" s="65"/>
      <c r="KTK2" s="65"/>
      <c r="KTL2" s="65"/>
      <c r="KTM2" s="65"/>
      <c r="KTN2" s="65"/>
      <c r="KTO2" s="65"/>
      <c r="KTP2" s="65"/>
      <c r="KTQ2" s="65"/>
      <c r="KTR2" s="65"/>
      <c r="KTS2" s="65"/>
      <c r="KTT2" s="65"/>
      <c r="KTU2" s="65"/>
      <c r="KTV2" s="65"/>
      <c r="KTW2" s="65"/>
      <c r="KTX2" s="65"/>
      <c r="KTY2" s="65"/>
      <c r="KTZ2" s="65"/>
      <c r="KUA2" s="65"/>
      <c r="KUB2" s="65"/>
      <c r="KUC2" s="65"/>
      <c r="KUD2" s="65"/>
      <c r="KUE2" s="65"/>
      <c r="KUF2" s="65"/>
      <c r="KUG2" s="65"/>
      <c r="KUH2" s="65"/>
      <c r="KUI2" s="65"/>
      <c r="KUJ2" s="65"/>
      <c r="KUK2" s="65"/>
      <c r="KUL2" s="65"/>
      <c r="KUM2" s="65"/>
      <c r="KUN2" s="65"/>
      <c r="KUO2" s="65"/>
      <c r="KUP2" s="65"/>
      <c r="KUQ2" s="65"/>
      <c r="KUR2" s="65"/>
      <c r="KUS2" s="65"/>
      <c r="KUT2" s="65"/>
      <c r="KUU2" s="65"/>
      <c r="KUV2" s="65"/>
      <c r="KUW2" s="65"/>
      <c r="KUX2" s="65"/>
      <c r="KUY2" s="65"/>
      <c r="KUZ2" s="65"/>
      <c r="KVA2" s="65"/>
      <c r="KVB2" s="65"/>
      <c r="KVC2" s="65"/>
      <c r="KVD2" s="65"/>
      <c r="KVE2" s="65"/>
      <c r="KVF2" s="65"/>
      <c r="KVG2" s="65"/>
      <c r="KVH2" s="65"/>
      <c r="KVI2" s="65"/>
      <c r="KVJ2" s="65"/>
      <c r="KVK2" s="65"/>
      <c r="KVL2" s="65"/>
      <c r="KVM2" s="65"/>
      <c r="KVN2" s="65"/>
      <c r="KVO2" s="65"/>
      <c r="KVP2" s="65"/>
      <c r="KVQ2" s="65"/>
      <c r="KVR2" s="65"/>
      <c r="KVS2" s="65"/>
      <c r="KVT2" s="65"/>
      <c r="KVU2" s="65"/>
      <c r="KVV2" s="65"/>
      <c r="KVW2" s="65"/>
      <c r="KVX2" s="65"/>
      <c r="KVY2" s="65"/>
      <c r="KVZ2" s="65"/>
      <c r="KWA2" s="65"/>
      <c r="KWB2" s="65"/>
      <c r="KWC2" s="65"/>
      <c r="KWD2" s="65"/>
      <c r="KWE2" s="65"/>
      <c r="KWF2" s="65"/>
      <c r="KWG2" s="65"/>
      <c r="KWH2" s="65"/>
      <c r="KWI2" s="65"/>
      <c r="KWJ2" s="65"/>
      <c r="KWK2" s="65"/>
      <c r="KWL2" s="65"/>
      <c r="KWM2" s="65"/>
      <c r="KWN2" s="65"/>
      <c r="KWO2" s="65"/>
      <c r="KWP2" s="65"/>
      <c r="KWQ2" s="65"/>
      <c r="KWR2" s="65"/>
      <c r="KWS2" s="65"/>
      <c r="KWT2" s="65"/>
      <c r="KWU2" s="65"/>
      <c r="KWV2" s="65"/>
      <c r="KWW2" s="65"/>
      <c r="KWX2" s="65"/>
      <c r="KWY2" s="65"/>
      <c r="KWZ2" s="65"/>
      <c r="KXA2" s="65"/>
      <c r="KXB2" s="65"/>
      <c r="KXC2" s="65"/>
      <c r="KXD2" s="65"/>
      <c r="KXE2" s="65"/>
      <c r="KXF2" s="65"/>
      <c r="KXG2" s="65"/>
      <c r="KXH2" s="65"/>
      <c r="KXI2" s="65"/>
      <c r="KXJ2" s="65"/>
      <c r="KXK2" s="65"/>
      <c r="KXL2" s="65"/>
      <c r="KXM2" s="65"/>
      <c r="KXN2" s="65"/>
      <c r="KXO2" s="65"/>
      <c r="KXP2" s="65"/>
      <c r="KXQ2" s="65"/>
      <c r="KXR2" s="65"/>
      <c r="KXS2" s="65"/>
      <c r="KXT2" s="65"/>
      <c r="KXU2" s="65"/>
      <c r="KXV2" s="65"/>
      <c r="KXW2" s="65"/>
      <c r="KXX2" s="65"/>
      <c r="KXY2" s="65"/>
      <c r="KXZ2" s="65"/>
      <c r="KYA2" s="65"/>
      <c r="KYB2" s="65"/>
      <c r="KYC2" s="65"/>
      <c r="KYD2" s="65"/>
      <c r="KYE2" s="65"/>
      <c r="KYF2" s="65"/>
      <c r="KYG2" s="65"/>
      <c r="KYH2" s="65"/>
      <c r="KYI2" s="65"/>
      <c r="KYJ2" s="65"/>
      <c r="KYK2" s="65"/>
      <c r="KYL2" s="65"/>
      <c r="KYM2" s="65"/>
      <c r="KYN2" s="65"/>
      <c r="KYO2" s="65"/>
      <c r="KYP2" s="65"/>
      <c r="KYQ2" s="65"/>
      <c r="KYR2" s="65"/>
      <c r="KYS2" s="65"/>
      <c r="KYT2" s="65"/>
      <c r="KYU2" s="65"/>
      <c r="KYV2" s="65"/>
      <c r="KYW2" s="65"/>
      <c r="KYX2" s="65"/>
      <c r="KYY2" s="65"/>
      <c r="KYZ2" s="65"/>
      <c r="KZA2" s="65"/>
      <c r="KZB2" s="65"/>
      <c r="KZC2" s="65"/>
      <c r="KZD2" s="65"/>
      <c r="KZE2" s="65"/>
      <c r="KZF2" s="65"/>
      <c r="KZG2" s="65"/>
      <c r="KZH2" s="65"/>
      <c r="KZI2" s="65"/>
      <c r="KZJ2" s="65"/>
      <c r="KZK2" s="65"/>
      <c r="KZL2" s="65"/>
      <c r="KZM2" s="65"/>
      <c r="KZN2" s="65"/>
      <c r="KZO2" s="65"/>
      <c r="KZP2" s="65"/>
      <c r="KZQ2" s="65"/>
      <c r="KZR2" s="65"/>
      <c r="KZS2" s="65"/>
      <c r="KZT2" s="65"/>
      <c r="KZU2" s="65"/>
      <c r="KZV2" s="65"/>
      <c r="KZW2" s="65"/>
      <c r="KZX2" s="65"/>
      <c r="KZY2" s="65"/>
      <c r="KZZ2" s="65"/>
      <c r="LAA2" s="65"/>
      <c r="LAB2" s="65"/>
      <c r="LAC2" s="65"/>
      <c r="LAD2" s="65"/>
      <c r="LAE2" s="65"/>
      <c r="LAF2" s="65"/>
      <c r="LAG2" s="65"/>
      <c r="LAH2" s="65"/>
      <c r="LAI2" s="65"/>
      <c r="LAJ2" s="65"/>
      <c r="LAK2" s="65"/>
      <c r="LAL2" s="65"/>
      <c r="LAM2" s="65"/>
      <c r="LAN2" s="65"/>
      <c r="LAO2" s="65"/>
      <c r="LAP2" s="65"/>
      <c r="LAQ2" s="65"/>
      <c r="LAR2" s="65"/>
      <c r="LAS2" s="65"/>
      <c r="LAT2" s="65"/>
      <c r="LAU2" s="65"/>
      <c r="LAV2" s="65"/>
      <c r="LAW2" s="65"/>
      <c r="LAX2" s="65"/>
      <c r="LAY2" s="65"/>
      <c r="LAZ2" s="65"/>
      <c r="LBA2" s="65"/>
      <c r="LBB2" s="65"/>
      <c r="LBC2" s="65"/>
      <c r="LBD2" s="65"/>
      <c r="LBE2" s="65"/>
      <c r="LBF2" s="65"/>
      <c r="LBG2" s="65"/>
      <c r="LBH2" s="65"/>
      <c r="LBI2" s="65"/>
      <c r="LBJ2" s="65"/>
      <c r="LBK2" s="65"/>
      <c r="LBL2" s="65"/>
      <c r="LBM2" s="65"/>
      <c r="LBN2" s="65"/>
      <c r="LBO2" s="65"/>
      <c r="LBP2" s="65"/>
      <c r="LBQ2" s="65"/>
      <c r="LBR2" s="65"/>
      <c r="LBS2" s="65"/>
      <c r="LBT2" s="65"/>
      <c r="LBU2" s="65"/>
      <c r="LBV2" s="65"/>
      <c r="LBW2" s="65"/>
      <c r="LBX2" s="65"/>
      <c r="LBY2" s="65"/>
      <c r="LBZ2" s="65"/>
      <c r="LCA2" s="65"/>
      <c r="LCB2" s="65"/>
      <c r="LCC2" s="65"/>
      <c r="LCD2" s="65"/>
      <c r="LCE2" s="65"/>
      <c r="LCF2" s="65"/>
      <c r="LCG2" s="65"/>
      <c r="LCH2" s="65"/>
      <c r="LCI2" s="65"/>
      <c r="LCJ2" s="65"/>
      <c r="LCK2" s="65"/>
      <c r="LCL2" s="65"/>
      <c r="LCM2" s="65"/>
      <c r="LCN2" s="65"/>
      <c r="LCO2" s="65"/>
      <c r="LCP2" s="65"/>
      <c r="LCQ2" s="65"/>
      <c r="LCR2" s="65"/>
      <c r="LCS2" s="65"/>
      <c r="LCT2" s="65"/>
      <c r="LCU2" s="65"/>
      <c r="LCV2" s="65"/>
      <c r="LCW2" s="65"/>
      <c r="LCX2" s="65"/>
      <c r="LCY2" s="65"/>
      <c r="LCZ2" s="65"/>
      <c r="LDA2" s="65"/>
      <c r="LDB2" s="65"/>
      <c r="LDC2" s="65"/>
      <c r="LDD2" s="65"/>
      <c r="LDE2" s="65"/>
      <c r="LDF2" s="65"/>
      <c r="LDG2" s="65"/>
      <c r="LDH2" s="65"/>
      <c r="LDI2" s="65"/>
      <c r="LDJ2" s="65"/>
      <c r="LDK2" s="65"/>
      <c r="LDL2" s="65"/>
      <c r="LDM2" s="65"/>
      <c r="LDN2" s="65"/>
      <c r="LDO2" s="65"/>
      <c r="LDP2" s="65"/>
      <c r="LDQ2" s="65"/>
      <c r="LDR2" s="65"/>
      <c r="LDS2" s="65"/>
      <c r="LDT2" s="65"/>
      <c r="LDU2" s="65"/>
      <c r="LDV2" s="65"/>
      <c r="LDW2" s="65"/>
      <c r="LDX2" s="65"/>
      <c r="LDY2" s="65"/>
      <c r="LDZ2" s="65"/>
      <c r="LEA2" s="65"/>
      <c r="LEB2" s="65"/>
      <c r="LEC2" s="65"/>
      <c r="LED2" s="65"/>
      <c r="LEE2" s="65"/>
      <c r="LEF2" s="65"/>
      <c r="LEG2" s="65"/>
      <c r="LEH2" s="65"/>
      <c r="LEI2" s="65"/>
      <c r="LEJ2" s="65"/>
      <c r="LEK2" s="65"/>
      <c r="LEL2" s="65"/>
      <c r="LEM2" s="65"/>
      <c r="LEN2" s="65"/>
      <c r="LEO2" s="65"/>
      <c r="LEP2" s="65"/>
      <c r="LEQ2" s="65"/>
      <c r="LER2" s="65"/>
      <c r="LES2" s="65"/>
      <c r="LET2" s="65"/>
      <c r="LEU2" s="65"/>
      <c r="LEV2" s="65"/>
      <c r="LEW2" s="65"/>
      <c r="LEX2" s="65"/>
      <c r="LEY2" s="65"/>
      <c r="LEZ2" s="65"/>
      <c r="LFA2" s="65"/>
      <c r="LFB2" s="65"/>
      <c r="LFC2" s="65"/>
      <c r="LFD2" s="65"/>
      <c r="LFE2" s="65"/>
      <c r="LFF2" s="65"/>
      <c r="LFG2" s="65"/>
      <c r="LFH2" s="65"/>
      <c r="LFI2" s="65"/>
      <c r="LFJ2" s="65"/>
      <c r="LFK2" s="65"/>
      <c r="LFL2" s="65"/>
      <c r="LFM2" s="65"/>
      <c r="LFN2" s="65"/>
      <c r="LFO2" s="65"/>
      <c r="LFP2" s="65"/>
      <c r="LFQ2" s="65"/>
      <c r="LFR2" s="65"/>
      <c r="LFS2" s="65"/>
      <c r="LFT2" s="65"/>
      <c r="LFU2" s="65"/>
      <c r="LFV2" s="65"/>
      <c r="LFW2" s="65"/>
      <c r="LFX2" s="65"/>
      <c r="LFY2" s="65"/>
      <c r="LFZ2" s="65"/>
      <c r="LGA2" s="65"/>
      <c r="LGB2" s="65"/>
      <c r="LGC2" s="65"/>
      <c r="LGD2" s="65"/>
      <c r="LGE2" s="65"/>
      <c r="LGF2" s="65"/>
      <c r="LGG2" s="65"/>
      <c r="LGH2" s="65"/>
      <c r="LGI2" s="65"/>
      <c r="LGJ2" s="65"/>
      <c r="LGK2" s="65"/>
      <c r="LGL2" s="65"/>
      <c r="LGM2" s="65"/>
      <c r="LGN2" s="65"/>
      <c r="LGO2" s="65"/>
      <c r="LGP2" s="65"/>
      <c r="LGQ2" s="65"/>
      <c r="LGR2" s="65"/>
      <c r="LGS2" s="65"/>
      <c r="LGT2" s="65"/>
      <c r="LGU2" s="65"/>
      <c r="LGV2" s="65"/>
      <c r="LGW2" s="65"/>
      <c r="LGX2" s="65"/>
      <c r="LGY2" s="65"/>
      <c r="LGZ2" s="65"/>
      <c r="LHA2" s="65"/>
      <c r="LHB2" s="65"/>
      <c r="LHC2" s="65"/>
      <c r="LHD2" s="65"/>
      <c r="LHE2" s="65"/>
      <c r="LHF2" s="65"/>
      <c r="LHG2" s="65"/>
      <c r="LHH2" s="65"/>
      <c r="LHI2" s="65"/>
      <c r="LHJ2" s="65"/>
      <c r="LHK2" s="65"/>
      <c r="LHL2" s="65"/>
      <c r="LHM2" s="65"/>
      <c r="LHN2" s="65"/>
      <c r="LHO2" s="65"/>
      <c r="LHP2" s="65"/>
      <c r="LHQ2" s="65"/>
      <c r="LHR2" s="65"/>
      <c r="LHS2" s="65"/>
      <c r="LHT2" s="65"/>
      <c r="LHU2" s="65"/>
      <c r="LHV2" s="65"/>
      <c r="LHW2" s="65"/>
      <c r="LHX2" s="65"/>
      <c r="LHY2" s="65"/>
      <c r="LHZ2" s="65"/>
      <c r="LIA2" s="65"/>
      <c r="LIB2" s="65"/>
      <c r="LIC2" s="65"/>
      <c r="LID2" s="65"/>
      <c r="LIE2" s="65"/>
      <c r="LIF2" s="65"/>
      <c r="LIG2" s="65"/>
      <c r="LIH2" s="65"/>
      <c r="LII2" s="65"/>
      <c r="LIJ2" s="65"/>
      <c r="LIK2" s="65"/>
      <c r="LIL2" s="65"/>
      <c r="LIM2" s="65"/>
      <c r="LIN2" s="65"/>
      <c r="LIO2" s="65"/>
      <c r="LIP2" s="65"/>
      <c r="LIQ2" s="65"/>
      <c r="LIR2" s="65"/>
      <c r="LIS2" s="65"/>
      <c r="LIT2" s="65"/>
      <c r="LIU2" s="65"/>
      <c r="LIV2" s="65"/>
      <c r="LIW2" s="65"/>
      <c r="LIX2" s="65"/>
      <c r="LIY2" s="65"/>
      <c r="LIZ2" s="65"/>
      <c r="LJA2" s="65"/>
      <c r="LJB2" s="65"/>
      <c r="LJC2" s="65"/>
      <c r="LJD2" s="65"/>
      <c r="LJE2" s="65"/>
      <c r="LJF2" s="65"/>
      <c r="LJG2" s="65"/>
      <c r="LJH2" s="65"/>
      <c r="LJI2" s="65"/>
      <c r="LJJ2" s="65"/>
      <c r="LJK2" s="65"/>
      <c r="LJL2" s="65"/>
      <c r="LJM2" s="65"/>
      <c r="LJN2" s="65"/>
      <c r="LJO2" s="65"/>
      <c r="LJP2" s="65"/>
      <c r="LJQ2" s="65"/>
      <c r="LJR2" s="65"/>
      <c r="LJS2" s="65"/>
      <c r="LJT2" s="65"/>
      <c r="LJU2" s="65"/>
      <c r="LJV2" s="65"/>
      <c r="LJW2" s="65"/>
      <c r="LJX2" s="65"/>
      <c r="LJY2" s="65"/>
      <c r="LJZ2" s="65"/>
      <c r="LKA2" s="65"/>
      <c r="LKB2" s="65"/>
      <c r="LKC2" s="65"/>
      <c r="LKD2" s="65"/>
      <c r="LKE2" s="65"/>
      <c r="LKF2" s="65"/>
      <c r="LKG2" s="65"/>
      <c r="LKH2" s="65"/>
      <c r="LKI2" s="65"/>
      <c r="LKJ2" s="65"/>
      <c r="LKK2" s="65"/>
      <c r="LKL2" s="65"/>
      <c r="LKM2" s="65"/>
      <c r="LKN2" s="65"/>
      <c r="LKO2" s="65"/>
      <c r="LKP2" s="65"/>
      <c r="LKQ2" s="65"/>
      <c r="LKR2" s="65"/>
      <c r="LKS2" s="65"/>
      <c r="LKT2" s="65"/>
      <c r="LKU2" s="65"/>
      <c r="LKV2" s="65"/>
      <c r="LKW2" s="65"/>
      <c r="LKX2" s="65"/>
      <c r="LKY2" s="65"/>
      <c r="LKZ2" s="65"/>
      <c r="LLA2" s="65"/>
      <c r="LLB2" s="65"/>
      <c r="LLC2" s="65"/>
      <c r="LLD2" s="65"/>
      <c r="LLE2" s="65"/>
      <c r="LLF2" s="65"/>
      <c r="LLG2" s="65"/>
      <c r="LLH2" s="65"/>
      <c r="LLI2" s="65"/>
      <c r="LLJ2" s="65"/>
      <c r="LLK2" s="65"/>
      <c r="LLL2" s="65"/>
      <c r="LLM2" s="65"/>
      <c r="LLN2" s="65"/>
      <c r="LLO2" s="65"/>
      <c r="LLP2" s="65"/>
      <c r="LLQ2" s="65"/>
      <c r="LLR2" s="65"/>
      <c r="LLS2" s="65"/>
      <c r="LLT2" s="65"/>
      <c r="LLU2" s="65"/>
      <c r="LLV2" s="65"/>
      <c r="LLW2" s="65"/>
      <c r="LLX2" s="65"/>
      <c r="LLY2" s="65"/>
      <c r="LLZ2" s="65"/>
      <c r="LMA2" s="65"/>
      <c r="LMB2" s="65"/>
      <c r="LMC2" s="65"/>
      <c r="LMD2" s="65"/>
      <c r="LME2" s="65"/>
      <c r="LMF2" s="65"/>
      <c r="LMG2" s="65"/>
      <c r="LMH2" s="65"/>
      <c r="LMI2" s="65"/>
      <c r="LMJ2" s="65"/>
      <c r="LMK2" s="65"/>
      <c r="LML2" s="65"/>
      <c r="LMM2" s="65"/>
      <c r="LMN2" s="65"/>
      <c r="LMO2" s="65"/>
      <c r="LMP2" s="65"/>
      <c r="LMQ2" s="65"/>
      <c r="LMR2" s="65"/>
      <c r="LMS2" s="65"/>
      <c r="LMT2" s="65"/>
      <c r="LMU2" s="65"/>
      <c r="LMV2" s="65"/>
      <c r="LMW2" s="65"/>
      <c r="LMX2" s="65"/>
      <c r="LMY2" s="65"/>
      <c r="LMZ2" s="65"/>
      <c r="LNA2" s="65"/>
      <c r="LNB2" s="65"/>
      <c r="LNC2" s="65"/>
      <c r="LND2" s="65"/>
      <c r="LNE2" s="65"/>
      <c r="LNF2" s="65"/>
      <c r="LNG2" s="65"/>
      <c r="LNH2" s="65"/>
      <c r="LNI2" s="65"/>
      <c r="LNJ2" s="65"/>
      <c r="LNK2" s="65"/>
      <c r="LNL2" s="65"/>
      <c r="LNM2" s="65"/>
      <c r="LNN2" s="65"/>
      <c r="LNO2" s="65"/>
      <c r="LNP2" s="65"/>
      <c r="LNQ2" s="65"/>
      <c r="LNR2" s="65"/>
      <c r="LNS2" s="65"/>
      <c r="LNT2" s="65"/>
      <c r="LNU2" s="65"/>
      <c r="LNV2" s="65"/>
      <c r="LNW2" s="65"/>
      <c r="LNX2" s="65"/>
      <c r="LNY2" s="65"/>
      <c r="LNZ2" s="65"/>
      <c r="LOA2" s="65"/>
      <c r="LOB2" s="65"/>
      <c r="LOC2" s="65"/>
      <c r="LOD2" s="65"/>
      <c r="LOE2" s="65"/>
      <c r="LOF2" s="65"/>
      <c r="LOG2" s="65"/>
      <c r="LOH2" s="65"/>
      <c r="LOI2" s="65"/>
      <c r="LOJ2" s="65"/>
      <c r="LOK2" s="65"/>
      <c r="LOL2" s="65"/>
      <c r="LOM2" s="65"/>
      <c r="LON2" s="65"/>
      <c r="LOO2" s="65"/>
      <c r="LOP2" s="65"/>
      <c r="LOQ2" s="65"/>
      <c r="LOR2" s="65"/>
      <c r="LOS2" s="65"/>
      <c r="LOT2" s="65"/>
      <c r="LOU2" s="65"/>
      <c r="LOV2" s="65"/>
      <c r="LOW2" s="65"/>
      <c r="LOX2" s="65"/>
      <c r="LOY2" s="65"/>
      <c r="LOZ2" s="65"/>
      <c r="LPA2" s="65"/>
      <c r="LPB2" s="65"/>
      <c r="LPC2" s="65"/>
      <c r="LPD2" s="65"/>
      <c r="LPE2" s="65"/>
      <c r="LPF2" s="65"/>
      <c r="LPG2" s="65"/>
      <c r="LPH2" s="65"/>
      <c r="LPI2" s="65"/>
      <c r="LPJ2" s="65"/>
      <c r="LPK2" s="65"/>
      <c r="LPL2" s="65"/>
      <c r="LPM2" s="65"/>
      <c r="LPN2" s="65"/>
      <c r="LPO2" s="65"/>
      <c r="LPP2" s="65"/>
      <c r="LPQ2" s="65"/>
      <c r="LPR2" s="65"/>
      <c r="LPS2" s="65"/>
      <c r="LPT2" s="65"/>
      <c r="LPU2" s="65"/>
      <c r="LPV2" s="65"/>
      <c r="LPW2" s="65"/>
      <c r="LPX2" s="65"/>
      <c r="LPY2" s="65"/>
      <c r="LPZ2" s="65"/>
      <c r="LQA2" s="65"/>
      <c r="LQB2" s="65"/>
      <c r="LQC2" s="65"/>
      <c r="LQD2" s="65"/>
      <c r="LQE2" s="65"/>
      <c r="LQF2" s="65"/>
      <c r="LQG2" s="65"/>
      <c r="LQH2" s="65"/>
      <c r="LQI2" s="65"/>
      <c r="LQJ2" s="65"/>
      <c r="LQK2" s="65"/>
      <c r="LQL2" s="65"/>
      <c r="LQM2" s="65"/>
      <c r="LQN2" s="65"/>
      <c r="LQO2" s="65"/>
      <c r="LQP2" s="65"/>
      <c r="LQQ2" s="65"/>
      <c r="LQR2" s="65"/>
      <c r="LQS2" s="65"/>
      <c r="LQT2" s="65"/>
      <c r="LQU2" s="65"/>
      <c r="LQV2" s="65"/>
      <c r="LQW2" s="65"/>
      <c r="LQX2" s="65"/>
      <c r="LQY2" s="65"/>
      <c r="LQZ2" s="65"/>
      <c r="LRA2" s="65"/>
      <c r="LRB2" s="65"/>
      <c r="LRC2" s="65"/>
      <c r="LRD2" s="65"/>
      <c r="LRE2" s="65"/>
      <c r="LRF2" s="65"/>
      <c r="LRG2" s="65"/>
      <c r="LRH2" s="65"/>
      <c r="LRI2" s="65"/>
      <c r="LRJ2" s="65"/>
      <c r="LRK2" s="65"/>
      <c r="LRL2" s="65"/>
      <c r="LRM2" s="65"/>
      <c r="LRN2" s="65"/>
      <c r="LRO2" s="65"/>
      <c r="LRP2" s="65"/>
      <c r="LRQ2" s="65"/>
      <c r="LRR2" s="65"/>
      <c r="LRS2" s="65"/>
      <c r="LRT2" s="65"/>
      <c r="LRU2" s="65"/>
      <c r="LRV2" s="65"/>
      <c r="LRW2" s="65"/>
      <c r="LRX2" s="65"/>
      <c r="LRY2" s="65"/>
      <c r="LRZ2" s="65"/>
      <c r="LSA2" s="65"/>
      <c r="LSB2" s="65"/>
      <c r="LSC2" s="65"/>
      <c r="LSD2" s="65"/>
      <c r="LSE2" s="65"/>
      <c r="LSF2" s="65"/>
      <c r="LSG2" s="65"/>
      <c r="LSH2" s="65"/>
      <c r="LSI2" s="65"/>
      <c r="LSJ2" s="65"/>
      <c r="LSK2" s="65"/>
      <c r="LSL2" s="65"/>
      <c r="LSM2" s="65"/>
      <c r="LSN2" s="65"/>
      <c r="LSO2" s="65"/>
      <c r="LSP2" s="65"/>
      <c r="LSQ2" s="65"/>
      <c r="LSR2" s="65"/>
      <c r="LSS2" s="65"/>
      <c r="LST2" s="65"/>
      <c r="LSU2" s="65"/>
      <c r="LSV2" s="65"/>
      <c r="LSW2" s="65"/>
      <c r="LSX2" s="65"/>
      <c r="LSY2" s="65"/>
      <c r="LSZ2" s="65"/>
      <c r="LTA2" s="65"/>
      <c r="LTB2" s="65"/>
      <c r="LTC2" s="65"/>
      <c r="LTD2" s="65"/>
      <c r="LTE2" s="65"/>
      <c r="LTF2" s="65"/>
      <c r="LTG2" s="65"/>
      <c r="LTH2" s="65"/>
      <c r="LTI2" s="65"/>
      <c r="LTJ2" s="65"/>
      <c r="LTK2" s="65"/>
      <c r="LTL2" s="65"/>
      <c r="LTM2" s="65"/>
      <c r="LTN2" s="65"/>
      <c r="LTO2" s="65"/>
      <c r="LTP2" s="65"/>
      <c r="LTQ2" s="65"/>
      <c r="LTR2" s="65"/>
      <c r="LTS2" s="65"/>
      <c r="LTT2" s="65"/>
      <c r="LTU2" s="65"/>
      <c r="LTV2" s="65"/>
      <c r="LTW2" s="65"/>
      <c r="LTX2" s="65"/>
      <c r="LTY2" s="65"/>
      <c r="LTZ2" s="65"/>
      <c r="LUA2" s="65"/>
      <c r="LUB2" s="65"/>
      <c r="LUC2" s="65"/>
      <c r="LUD2" s="65"/>
      <c r="LUE2" s="65"/>
      <c r="LUF2" s="65"/>
      <c r="LUG2" s="65"/>
      <c r="LUH2" s="65"/>
      <c r="LUI2" s="65"/>
      <c r="LUJ2" s="65"/>
      <c r="LUK2" s="65"/>
      <c r="LUL2" s="65"/>
      <c r="LUM2" s="65"/>
      <c r="LUN2" s="65"/>
      <c r="LUO2" s="65"/>
      <c r="LUP2" s="65"/>
      <c r="LUQ2" s="65"/>
      <c r="LUR2" s="65"/>
      <c r="LUS2" s="65"/>
      <c r="LUT2" s="65"/>
      <c r="LUU2" s="65"/>
      <c r="LUV2" s="65"/>
      <c r="LUW2" s="65"/>
      <c r="LUX2" s="65"/>
      <c r="LUY2" s="65"/>
      <c r="LUZ2" s="65"/>
      <c r="LVA2" s="65"/>
      <c r="LVB2" s="65"/>
      <c r="LVC2" s="65"/>
      <c r="LVD2" s="65"/>
      <c r="LVE2" s="65"/>
      <c r="LVF2" s="65"/>
      <c r="LVG2" s="65"/>
      <c r="LVH2" s="65"/>
      <c r="LVI2" s="65"/>
      <c r="LVJ2" s="65"/>
      <c r="LVK2" s="65"/>
      <c r="LVL2" s="65"/>
      <c r="LVM2" s="65"/>
      <c r="LVN2" s="65"/>
      <c r="LVO2" s="65"/>
      <c r="LVP2" s="65"/>
      <c r="LVQ2" s="65"/>
      <c r="LVR2" s="65"/>
      <c r="LVS2" s="65"/>
      <c r="LVT2" s="65"/>
      <c r="LVU2" s="65"/>
      <c r="LVV2" s="65"/>
      <c r="LVW2" s="65"/>
      <c r="LVX2" s="65"/>
      <c r="LVY2" s="65"/>
      <c r="LVZ2" s="65"/>
      <c r="LWA2" s="65"/>
      <c r="LWB2" s="65"/>
      <c r="LWC2" s="65"/>
      <c r="LWD2" s="65"/>
      <c r="LWE2" s="65"/>
      <c r="LWF2" s="65"/>
      <c r="LWG2" s="65"/>
      <c r="LWH2" s="65"/>
      <c r="LWI2" s="65"/>
      <c r="LWJ2" s="65"/>
      <c r="LWK2" s="65"/>
      <c r="LWL2" s="65"/>
      <c r="LWM2" s="65"/>
      <c r="LWN2" s="65"/>
      <c r="LWO2" s="65"/>
      <c r="LWP2" s="65"/>
      <c r="LWQ2" s="65"/>
      <c r="LWR2" s="65"/>
      <c r="LWS2" s="65"/>
      <c r="LWT2" s="65"/>
      <c r="LWU2" s="65"/>
      <c r="LWV2" s="65"/>
      <c r="LWW2" s="65"/>
      <c r="LWX2" s="65"/>
      <c r="LWY2" s="65"/>
      <c r="LWZ2" s="65"/>
      <c r="LXA2" s="65"/>
      <c r="LXB2" s="65"/>
      <c r="LXC2" s="65"/>
      <c r="LXD2" s="65"/>
      <c r="LXE2" s="65"/>
      <c r="LXF2" s="65"/>
      <c r="LXG2" s="65"/>
      <c r="LXH2" s="65"/>
      <c r="LXI2" s="65"/>
      <c r="LXJ2" s="65"/>
      <c r="LXK2" s="65"/>
      <c r="LXL2" s="65"/>
      <c r="LXM2" s="65"/>
      <c r="LXN2" s="65"/>
      <c r="LXO2" s="65"/>
      <c r="LXP2" s="65"/>
      <c r="LXQ2" s="65"/>
      <c r="LXR2" s="65"/>
      <c r="LXS2" s="65"/>
      <c r="LXT2" s="65"/>
      <c r="LXU2" s="65"/>
      <c r="LXV2" s="65"/>
      <c r="LXW2" s="65"/>
      <c r="LXX2" s="65"/>
      <c r="LXY2" s="65"/>
      <c r="LXZ2" s="65"/>
      <c r="LYA2" s="65"/>
      <c r="LYB2" s="65"/>
      <c r="LYC2" s="65"/>
      <c r="LYD2" s="65"/>
      <c r="LYE2" s="65"/>
      <c r="LYF2" s="65"/>
      <c r="LYG2" s="65"/>
      <c r="LYH2" s="65"/>
      <c r="LYI2" s="65"/>
      <c r="LYJ2" s="65"/>
      <c r="LYK2" s="65"/>
      <c r="LYL2" s="65"/>
      <c r="LYM2" s="65"/>
      <c r="LYN2" s="65"/>
      <c r="LYO2" s="65"/>
      <c r="LYP2" s="65"/>
      <c r="LYQ2" s="65"/>
      <c r="LYR2" s="65"/>
      <c r="LYS2" s="65"/>
      <c r="LYT2" s="65"/>
      <c r="LYU2" s="65"/>
      <c r="LYV2" s="65"/>
      <c r="LYW2" s="65"/>
      <c r="LYX2" s="65"/>
      <c r="LYY2" s="65"/>
      <c r="LYZ2" s="65"/>
      <c r="LZA2" s="65"/>
      <c r="LZB2" s="65"/>
      <c r="LZC2" s="65"/>
      <c r="LZD2" s="65"/>
      <c r="LZE2" s="65"/>
      <c r="LZF2" s="65"/>
      <c r="LZG2" s="65"/>
      <c r="LZH2" s="65"/>
      <c r="LZI2" s="65"/>
      <c r="LZJ2" s="65"/>
      <c r="LZK2" s="65"/>
      <c r="LZL2" s="65"/>
      <c r="LZM2" s="65"/>
      <c r="LZN2" s="65"/>
      <c r="LZO2" s="65"/>
      <c r="LZP2" s="65"/>
      <c r="LZQ2" s="65"/>
      <c r="LZR2" s="65"/>
      <c r="LZS2" s="65"/>
      <c r="LZT2" s="65"/>
      <c r="LZU2" s="65"/>
      <c r="LZV2" s="65"/>
      <c r="LZW2" s="65"/>
      <c r="LZX2" s="65"/>
      <c r="LZY2" s="65"/>
      <c r="LZZ2" s="65"/>
      <c r="MAA2" s="65"/>
      <c r="MAB2" s="65"/>
      <c r="MAC2" s="65"/>
      <c r="MAD2" s="65"/>
      <c r="MAE2" s="65"/>
      <c r="MAF2" s="65"/>
      <c r="MAG2" s="65"/>
      <c r="MAH2" s="65"/>
      <c r="MAI2" s="65"/>
      <c r="MAJ2" s="65"/>
      <c r="MAK2" s="65"/>
      <c r="MAL2" s="65"/>
      <c r="MAM2" s="65"/>
      <c r="MAN2" s="65"/>
      <c r="MAO2" s="65"/>
      <c r="MAP2" s="65"/>
      <c r="MAQ2" s="65"/>
      <c r="MAR2" s="65"/>
      <c r="MAS2" s="65"/>
      <c r="MAT2" s="65"/>
      <c r="MAU2" s="65"/>
      <c r="MAV2" s="65"/>
      <c r="MAW2" s="65"/>
      <c r="MAX2" s="65"/>
      <c r="MAY2" s="65"/>
      <c r="MAZ2" s="65"/>
      <c r="MBA2" s="65"/>
      <c r="MBB2" s="65"/>
      <c r="MBC2" s="65"/>
      <c r="MBD2" s="65"/>
      <c r="MBE2" s="65"/>
      <c r="MBF2" s="65"/>
      <c r="MBG2" s="65"/>
      <c r="MBH2" s="65"/>
      <c r="MBI2" s="65"/>
      <c r="MBJ2" s="65"/>
      <c r="MBK2" s="65"/>
      <c r="MBL2" s="65"/>
      <c r="MBM2" s="65"/>
      <c r="MBN2" s="65"/>
      <c r="MBO2" s="65"/>
      <c r="MBP2" s="65"/>
      <c r="MBQ2" s="65"/>
      <c r="MBR2" s="65"/>
      <c r="MBS2" s="65"/>
      <c r="MBT2" s="65"/>
      <c r="MBU2" s="65"/>
      <c r="MBV2" s="65"/>
      <c r="MBW2" s="65"/>
      <c r="MBX2" s="65"/>
      <c r="MBY2" s="65"/>
      <c r="MBZ2" s="65"/>
      <c r="MCA2" s="65"/>
      <c r="MCB2" s="65"/>
      <c r="MCC2" s="65"/>
      <c r="MCD2" s="65"/>
      <c r="MCE2" s="65"/>
      <c r="MCF2" s="65"/>
      <c r="MCG2" s="65"/>
      <c r="MCH2" s="65"/>
      <c r="MCI2" s="65"/>
      <c r="MCJ2" s="65"/>
      <c r="MCK2" s="65"/>
      <c r="MCL2" s="65"/>
      <c r="MCM2" s="65"/>
      <c r="MCN2" s="65"/>
      <c r="MCO2" s="65"/>
      <c r="MCP2" s="65"/>
      <c r="MCQ2" s="65"/>
      <c r="MCR2" s="65"/>
      <c r="MCS2" s="65"/>
      <c r="MCT2" s="65"/>
      <c r="MCU2" s="65"/>
      <c r="MCV2" s="65"/>
      <c r="MCW2" s="65"/>
      <c r="MCX2" s="65"/>
      <c r="MCY2" s="65"/>
      <c r="MCZ2" s="65"/>
      <c r="MDA2" s="65"/>
      <c r="MDB2" s="65"/>
      <c r="MDC2" s="65"/>
      <c r="MDD2" s="65"/>
      <c r="MDE2" s="65"/>
      <c r="MDF2" s="65"/>
      <c r="MDG2" s="65"/>
      <c r="MDH2" s="65"/>
      <c r="MDI2" s="65"/>
      <c r="MDJ2" s="65"/>
      <c r="MDK2" s="65"/>
      <c r="MDL2" s="65"/>
      <c r="MDM2" s="65"/>
      <c r="MDN2" s="65"/>
      <c r="MDO2" s="65"/>
      <c r="MDP2" s="65"/>
      <c r="MDQ2" s="65"/>
      <c r="MDR2" s="65"/>
      <c r="MDS2" s="65"/>
      <c r="MDT2" s="65"/>
      <c r="MDU2" s="65"/>
      <c r="MDV2" s="65"/>
      <c r="MDW2" s="65"/>
      <c r="MDX2" s="65"/>
      <c r="MDY2" s="65"/>
      <c r="MDZ2" s="65"/>
      <c r="MEA2" s="65"/>
      <c r="MEB2" s="65"/>
      <c r="MEC2" s="65"/>
      <c r="MED2" s="65"/>
      <c r="MEE2" s="65"/>
      <c r="MEF2" s="65"/>
      <c r="MEG2" s="65"/>
      <c r="MEH2" s="65"/>
      <c r="MEI2" s="65"/>
      <c r="MEJ2" s="65"/>
      <c r="MEK2" s="65"/>
      <c r="MEL2" s="65"/>
      <c r="MEM2" s="65"/>
      <c r="MEN2" s="65"/>
      <c r="MEO2" s="65"/>
      <c r="MEP2" s="65"/>
      <c r="MEQ2" s="65"/>
      <c r="MER2" s="65"/>
      <c r="MES2" s="65"/>
      <c r="MET2" s="65"/>
      <c r="MEU2" s="65"/>
      <c r="MEV2" s="65"/>
      <c r="MEW2" s="65"/>
      <c r="MEX2" s="65"/>
      <c r="MEY2" s="65"/>
      <c r="MEZ2" s="65"/>
      <c r="MFA2" s="65"/>
      <c r="MFB2" s="65"/>
      <c r="MFC2" s="65"/>
      <c r="MFD2" s="65"/>
      <c r="MFE2" s="65"/>
      <c r="MFF2" s="65"/>
      <c r="MFG2" s="65"/>
      <c r="MFH2" s="65"/>
      <c r="MFI2" s="65"/>
      <c r="MFJ2" s="65"/>
      <c r="MFK2" s="65"/>
      <c r="MFL2" s="65"/>
      <c r="MFM2" s="65"/>
      <c r="MFN2" s="65"/>
      <c r="MFO2" s="65"/>
      <c r="MFP2" s="65"/>
      <c r="MFQ2" s="65"/>
      <c r="MFR2" s="65"/>
      <c r="MFS2" s="65"/>
      <c r="MFT2" s="65"/>
      <c r="MFU2" s="65"/>
      <c r="MFV2" s="65"/>
      <c r="MFW2" s="65"/>
      <c r="MFX2" s="65"/>
      <c r="MFY2" s="65"/>
      <c r="MFZ2" s="65"/>
      <c r="MGA2" s="65"/>
      <c r="MGB2" s="65"/>
      <c r="MGC2" s="65"/>
      <c r="MGD2" s="65"/>
      <c r="MGE2" s="65"/>
      <c r="MGF2" s="65"/>
      <c r="MGG2" s="65"/>
      <c r="MGH2" s="65"/>
      <c r="MGI2" s="65"/>
      <c r="MGJ2" s="65"/>
      <c r="MGK2" s="65"/>
      <c r="MGL2" s="65"/>
      <c r="MGM2" s="65"/>
      <c r="MGN2" s="65"/>
      <c r="MGO2" s="65"/>
      <c r="MGP2" s="65"/>
      <c r="MGQ2" s="65"/>
      <c r="MGR2" s="65"/>
      <c r="MGS2" s="65"/>
      <c r="MGT2" s="65"/>
      <c r="MGU2" s="65"/>
      <c r="MGV2" s="65"/>
      <c r="MGW2" s="65"/>
      <c r="MGX2" s="65"/>
      <c r="MGY2" s="65"/>
      <c r="MGZ2" s="65"/>
      <c r="MHA2" s="65"/>
      <c r="MHB2" s="65"/>
      <c r="MHC2" s="65"/>
      <c r="MHD2" s="65"/>
      <c r="MHE2" s="65"/>
      <c r="MHF2" s="65"/>
      <c r="MHG2" s="65"/>
      <c r="MHH2" s="65"/>
      <c r="MHI2" s="65"/>
      <c r="MHJ2" s="65"/>
      <c r="MHK2" s="65"/>
      <c r="MHL2" s="65"/>
      <c r="MHM2" s="65"/>
      <c r="MHN2" s="65"/>
      <c r="MHO2" s="65"/>
      <c r="MHP2" s="65"/>
      <c r="MHQ2" s="65"/>
      <c r="MHR2" s="65"/>
      <c r="MHS2" s="65"/>
      <c r="MHT2" s="65"/>
      <c r="MHU2" s="65"/>
      <c r="MHV2" s="65"/>
      <c r="MHW2" s="65"/>
      <c r="MHX2" s="65"/>
      <c r="MHY2" s="65"/>
      <c r="MHZ2" s="65"/>
      <c r="MIA2" s="65"/>
      <c r="MIB2" s="65"/>
      <c r="MIC2" s="65"/>
      <c r="MID2" s="65"/>
      <c r="MIE2" s="65"/>
      <c r="MIF2" s="65"/>
      <c r="MIG2" s="65"/>
      <c r="MIH2" s="65"/>
      <c r="MII2" s="65"/>
      <c r="MIJ2" s="65"/>
      <c r="MIK2" s="65"/>
      <c r="MIL2" s="65"/>
      <c r="MIM2" s="65"/>
      <c r="MIN2" s="65"/>
      <c r="MIO2" s="65"/>
      <c r="MIP2" s="65"/>
      <c r="MIQ2" s="65"/>
      <c r="MIR2" s="65"/>
      <c r="MIS2" s="65"/>
      <c r="MIT2" s="65"/>
      <c r="MIU2" s="65"/>
      <c r="MIV2" s="65"/>
      <c r="MIW2" s="65"/>
      <c r="MIX2" s="65"/>
      <c r="MIY2" s="65"/>
      <c r="MIZ2" s="65"/>
      <c r="MJA2" s="65"/>
      <c r="MJB2" s="65"/>
      <c r="MJC2" s="65"/>
      <c r="MJD2" s="65"/>
      <c r="MJE2" s="65"/>
      <c r="MJF2" s="65"/>
      <c r="MJG2" s="65"/>
      <c r="MJH2" s="65"/>
      <c r="MJI2" s="65"/>
      <c r="MJJ2" s="65"/>
      <c r="MJK2" s="65"/>
      <c r="MJL2" s="65"/>
      <c r="MJM2" s="65"/>
      <c r="MJN2" s="65"/>
      <c r="MJO2" s="65"/>
      <c r="MJP2" s="65"/>
      <c r="MJQ2" s="65"/>
      <c r="MJR2" s="65"/>
      <c r="MJS2" s="65"/>
      <c r="MJT2" s="65"/>
      <c r="MJU2" s="65"/>
      <c r="MJV2" s="65"/>
      <c r="MJW2" s="65"/>
      <c r="MJX2" s="65"/>
      <c r="MJY2" s="65"/>
      <c r="MJZ2" s="65"/>
      <c r="MKA2" s="65"/>
      <c r="MKB2" s="65"/>
      <c r="MKC2" s="65"/>
      <c r="MKD2" s="65"/>
      <c r="MKE2" s="65"/>
      <c r="MKF2" s="65"/>
      <c r="MKG2" s="65"/>
      <c r="MKH2" s="65"/>
      <c r="MKI2" s="65"/>
      <c r="MKJ2" s="65"/>
      <c r="MKK2" s="65"/>
      <c r="MKL2" s="65"/>
      <c r="MKM2" s="65"/>
      <c r="MKN2" s="65"/>
      <c r="MKO2" s="65"/>
      <c r="MKP2" s="65"/>
      <c r="MKQ2" s="65"/>
      <c r="MKR2" s="65"/>
      <c r="MKS2" s="65"/>
      <c r="MKT2" s="65"/>
      <c r="MKU2" s="65"/>
      <c r="MKV2" s="65"/>
      <c r="MKW2" s="65"/>
      <c r="MKX2" s="65"/>
      <c r="MKY2" s="65"/>
      <c r="MKZ2" s="65"/>
      <c r="MLA2" s="65"/>
      <c r="MLB2" s="65"/>
      <c r="MLC2" s="65"/>
      <c r="MLD2" s="65"/>
      <c r="MLE2" s="65"/>
      <c r="MLF2" s="65"/>
      <c r="MLG2" s="65"/>
      <c r="MLH2" s="65"/>
      <c r="MLI2" s="65"/>
      <c r="MLJ2" s="65"/>
      <c r="MLK2" s="65"/>
      <c r="MLL2" s="65"/>
      <c r="MLM2" s="65"/>
      <c r="MLN2" s="65"/>
      <c r="MLO2" s="65"/>
      <c r="MLP2" s="65"/>
      <c r="MLQ2" s="65"/>
      <c r="MLR2" s="65"/>
      <c r="MLS2" s="65"/>
      <c r="MLT2" s="65"/>
      <c r="MLU2" s="65"/>
      <c r="MLV2" s="65"/>
      <c r="MLW2" s="65"/>
      <c r="MLX2" s="65"/>
      <c r="MLY2" s="65"/>
      <c r="MLZ2" s="65"/>
      <c r="MMA2" s="65"/>
      <c r="MMB2" s="65"/>
      <c r="MMC2" s="65"/>
      <c r="MMD2" s="65"/>
      <c r="MME2" s="65"/>
      <c r="MMF2" s="65"/>
      <c r="MMG2" s="65"/>
      <c r="MMH2" s="65"/>
      <c r="MMI2" s="65"/>
      <c r="MMJ2" s="65"/>
      <c r="MMK2" s="65"/>
      <c r="MML2" s="65"/>
      <c r="MMM2" s="65"/>
      <c r="MMN2" s="65"/>
      <c r="MMO2" s="65"/>
      <c r="MMP2" s="65"/>
      <c r="MMQ2" s="65"/>
      <c r="MMR2" s="65"/>
      <c r="MMS2" s="65"/>
      <c r="MMT2" s="65"/>
      <c r="MMU2" s="65"/>
      <c r="MMV2" s="65"/>
      <c r="MMW2" s="65"/>
      <c r="MMX2" s="65"/>
      <c r="MMY2" s="65"/>
      <c r="MMZ2" s="65"/>
      <c r="MNA2" s="65"/>
      <c r="MNB2" s="65"/>
      <c r="MNC2" s="65"/>
      <c r="MND2" s="65"/>
      <c r="MNE2" s="65"/>
      <c r="MNF2" s="65"/>
      <c r="MNG2" s="65"/>
      <c r="MNH2" s="65"/>
      <c r="MNI2" s="65"/>
      <c r="MNJ2" s="65"/>
      <c r="MNK2" s="65"/>
      <c r="MNL2" s="65"/>
      <c r="MNM2" s="65"/>
      <c r="MNN2" s="65"/>
      <c r="MNO2" s="65"/>
      <c r="MNP2" s="65"/>
      <c r="MNQ2" s="65"/>
      <c r="MNR2" s="65"/>
      <c r="MNS2" s="65"/>
      <c r="MNT2" s="65"/>
      <c r="MNU2" s="65"/>
      <c r="MNV2" s="65"/>
      <c r="MNW2" s="65"/>
      <c r="MNX2" s="65"/>
      <c r="MNY2" s="65"/>
      <c r="MNZ2" s="65"/>
      <c r="MOA2" s="65"/>
      <c r="MOB2" s="65"/>
      <c r="MOC2" s="65"/>
      <c r="MOD2" s="65"/>
      <c r="MOE2" s="65"/>
      <c r="MOF2" s="65"/>
      <c r="MOG2" s="65"/>
      <c r="MOH2" s="65"/>
      <c r="MOI2" s="65"/>
      <c r="MOJ2" s="65"/>
      <c r="MOK2" s="65"/>
      <c r="MOL2" s="65"/>
      <c r="MOM2" s="65"/>
      <c r="MON2" s="65"/>
      <c r="MOO2" s="65"/>
      <c r="MOP2" s="65"/>
      <c r="MOQ2" s="65"/>
      <c r="MOR2" s="65"/>
      <c r="MOS2" s="65"/>
      <c r="MOT2" s="65"/>
      <c r="MOU2" s="65"/>
      <c r="MOV2" s="65"/>
      <c r="MOW2" s="65"/>
      <c r="MOX2" s="65"/>
      <c r="MOY2" s="65"/>
      <c r="MOZ2" s="65"/>
      <c r="MPA2" s="65"/>
      <c r="MPB2" s="65"/>
      <c r="MPC2" s="65"/>
      <c r="MPD2" s="65"/>
      <c r="MPE2" s="65"/>
      <c r="MPF2" s="65"/>
      <c r="MPG2" s="65"/>
      <c r="MPH2" s="65"/>
      <c r="MPI2" s="65"/>
      <c r="MPJ2" s="65"/>
      <c r="MPK2" s="65"/>
      <c r="MPL2" s="65"/>
      <c r="MPM2" s="65"/>
      <c r="MPN2" s="65"/>
      <c r="MPO2" s="65"/>
      <c r="MPP2" s="65"/>
      <c r="MPQ2" s="65"/>
      <c r="MPR2" s="65"/>
      <c r="MPS2" s="65"/>
      <c r="MPT2" s="65"/>
      <c r="MPU2" s="65"/>
      <c r="MPV2" s="65"/>
      <c r="MPW2" s="65"/>
      <c r="MPX2" s="65"/>
      <c r="MPY2" s="65"/>
      <c r="MPZ2" s="65"/>
      <c r="MQA2" s="65"/>
      <c r="MQB2" s="65"/>
      <c r="MQC2" s="65"/>
      <c r="MQD2" s="65"/>
      <c r="MQE2" s="65"/>
      <c r="MQF2" s="65"/>
      <c r="MQG2" s="65"/>
      <c r="MQH2" s="65"/>
      <c r="MQI2" s="65"/>
      <c r="MQJ2" s="65"/>
      <c r="MQK2" s="65"/>
      <c r="MQL2" s="65"/>
      <c r="MQM2" s="65"/>
      <c r="MQN2" s="65"/>
      <c r="MQO2" s="65"/>
      <c r="MQP2" s="65"/>
      <c r="MQQ2" s="65"/>
      <c r="MQR2" s="65"/>
      <c r="MQS2" s="65"/>
      <c r="MQT2" s="65"/>
      <c r="MQU2" s="65"/>
      <c r="MQV2" s="65"/>
      <c r="MQW2" s="65"/>
      <c r="MQX2" s="65"/>
      <c r="MQY2" s="65"/>
      <c r="MQZ2" s="65"/>
      <c r="MRA2" s="65"/>
      <c r="MRB2" s="65"/>
      <c r="MRC2" s="65"/>
      <c r="MRD2" s="65"/>
      <c r="MRE2" s="65"/>
      <c r="MRF2" s="65"/>
      <c r="MRG2" s="65"/>
      <c r="MRH2" s="65"/>
      <c r="MRI2" s="65"/>
      <c r="MRJ2" s="65"/>
      <c r="MRK2" s="65"/>
      <c r="MRL2" s="65"/>
      <c r="MRM2" s="65"/>
      <c r="MRN2" s="65"/>
      <c r="MRO2" s="65"/>
      <c r="MRP2" s="65"/>
      <c r="MRQ2" s="65"/>
      <c r="MRR2" s="65"/>
      <c r="MRS2" s="65"/>
      <c r="MRT2" s="65"/>
      <c r="MRU2" s="65"/>
      <c r="MRV2" s="65"/>
      <c r="MRW2" s="65"/>
      <c r="MRX2" s="65"/>
      <c r="MRY2" s="65"/>
      <c r="MRZ2" s="65"/>
      <c r="MSA2" s="65"/>
      <c r="MSB2" s="65"/>
      <c r="MSC2" s="65"/>
      <c r="MSD2" s="65"/>
      <c r="MSE2" s="65"/>
      <c r="MSF2" s="65"/>
      <c r="MSG2" s="65"/>
      <c r="MSH2" s="65"/>
      <c r="MSI2" s="65"/>
      <c r="MSJ2" s="65"/>
      <c r="MSK2" s="65"/>
      <c r="MSL2" s="65"/>
      <c r="MSM2" s="65"/>
      <c r="MSN2" s="65"/>
      <c r="MSO2" s="65"/>
      <c r="MSP2" s="65"/>
      <c r="MSQ2" s="65"/>
      <c r="MSR2" s="65"/>
      <c r="MSS2" s="65"/>
      <c r="MST2" s="65"/>
      <c r="MSU2" s="65"/>
      <c r="MSV2" s="65"/>
      <c r="MSW2" s="65"/>
      <c r="MSX2" s="65"/>
      <c r="MSY2" s="65"/>
      <c r="MSZ2" s="65"/>
      <c r="MTA2" s="65"/>
      <c r="MTB2" s="65"/>
      <c r="MTC2" s="65"/>
      <c r="MTD2" s="65"/>
      <c r="MTE2" s="65"/>
      <c r="MTF2" s="65"/>
      <c r="MTG2" s="65"/>
      <c r="MTH2" s="65"/>
      <c r="MTI2" s="65"/>
      <c r="MTJ2" s="65"/>
      <c r="MTK2" s="65"/>
      <c r="MTL2" s="65"/>
      <c r="MTM2" s="65"/>
      <c r="MTN2" s="65"/>
      <c r="MTO2" s="65"/>
      <c r="MTP2" s="65"/>
      <c r="MTQ2" s="65"/>
      <c r="MTR2" s="65"/>
      <c r="MTS2" s="65"/>
      <c r="MTT2" s="65"/>
      <c r="MTU2" s="65"/>
      <c r="MTV2" s="65"/>
      <c r="MTW2" s="65"/>
      <c r="MTX2" s="65"/>
      <c r="MTY2" s="65"/>
      <c r="MTZ2" s="65"/>
      <c r="MUA2" s="65"/>
      <c r="MUB2" s="65"/>
      <c r="MUC2" s="65"/>
      <c r="MUD2" s="65"/>
      <c r="MUE2" s="65"/>
      <c r="MUF2" s="65"/>
      <c r="MUG2" s="65"/>
      <c r="MUH2" s="65"/>
      <c r="MUI2" s="65"/>
      <c r="MUJ2" s="65"/>
      <c r="MUK2" s="65"/>
      <c r="MUL2" s="65"/>
      <c r="MUM2" s="65"/>
      <c r="MUN2" s="65"/>
      <c r="MUO2" s="65"/>
      <c r="MUP2" s="65"/>
      <c r="MUQ2" s="65"/>
      <c r="MUR2" s="65"/>
      <c r="MUS2" s="65"/>
      <c r="MUT2" s="65"/>
      <c r="MUU2" s="65"/>
      <c r="MUV2" s="65"/>
      <c r="MUW2" s="65"/>
      <c r="MUX2" s="65"/>
      <c r="MUY2" s="65"/>
      <c r="MUZ2" s="65"/>
      <c r="MVA2" s="65"/>
      <c r="MVB2" s="65"/>
      <c r="MVC2" s="65"/>
      <c r="MVD2" s="65"/>
      <c r="MVE2" s="65"/>
      <c r="MVF2" s="65"/>
      <c r="MVG2" s="65"/>
      <c r="MVH2" s="65"/>
      <c r="MVI2" s="65"/>
      <c r="MVJ2" s="65"/>
      <c r="MVK2" s="65"/>
      <c r="MVL2" s="65"/>
      <c r="MVM2" s="65"/>
      <c r="MVN2" s="65"/>
      <c r="MVO2" s="65"/>
      <c r="MVP2" s="65"/>
      <c r="MVQ2" s="65"/>
      <c r="MVR2" s="65"/>
      <c r="MVS2" s="65"/>
      <c r="MVT2" s="65"/>
      <c r="MVU2" s="65"/>
      <c r="MVV2" s="65"/>
      <c r="MVW2" s="65"/>
      <c r="MVX2" s="65"/>
      <c r="MVY2" s="65"/>
      <c r="MVZ2" s="65"/>
      <c r="MWA2" s="65"/>
      <c r="MWB2" s="65"/>
      <c r="MWC2" s="65"/>
      <c r="MWD2" s="65"/>
      <c r="MWE2" s="65"/>
      <c r="MWF2" s="65"/>
      <c r="MWG2" s="65"/>
      <c r="MWH2" s="65"/>
      <c r="MWI2" s="65"/>
      <c r="MWJ2" s="65"/>
      <c r="MWK2" s="65"/>
      <c r="MWL2" s="65"/>
      <c r="MWM2" s="65"/>
      <c r="MWN2" s="65"/>
      <c r="MWO2" s="65"/>
      <c r="MWP2" s="65"/>
      <c r="MWQ2" s="65"/>
      <c r="MWR2" s="65"/>
      <c r="MWS2" s="65"/>
      <c r="MWT2" s="65"/>
      <c r="MWU2" s="65"/>
      <c r="MWV2" s="65"/>
      <c r="MWW2" s="65"/>
      <c r="MWX2" s="65"/>
      <c r="MWY2" s="65"/>
      <c r="MWZ2" s="65"/>
      <c r="MXA2" s="65"/>
      <c r="MXB2" s="65"/>
      <c r="MXC2" s="65"/>
      <c r="MXD2" s="65"/>
      <c r="MXE2" s="65"/>
      <c r="MXF2" s="65"/>
      <c r="MXG2" s="65"/>
      <c r="MXH2" s="65"/>
      <c r="MXI2" s="65"/>
      <c r="MXJ2" s="65"/>
      <c r="MXK2" s="65"/>
      <c r="MXL2" s="65"/>
      <c r="MXM2" s="65"/>
      <c r="MXN2" s="65"/>
      <c r="MXO2" s="65"/>
      <c r="MXP2" s="65"/>
      <c r="MXQ2" s="65"/>
      <c r="MXR2" s="65"/>
      <c r="MXS2" s="65"/>
      <c r="MXT2" s="65"/>
      <c r="MXU2" s="65"/>
      <c r="MXV2" s="65"/>
      <c r="MXW2" s="65"/>
      <c r="MXX2" s="65"/>
      <c r="MXY2" s="65"/>
      <c r="MXZ2" s="65"/>
      <c r="MYA2" s="65"/>
      <c r="MYB2" s="65"/>
      <c r="MYC2" s="65"/>
      <c r="MYD2" s="65"/>
      <c r="MYE2" s="65"/>
      <c r="MYF2" s="65"/>
      <c r="MYG2" s="65"/>
      <c r="MYH2" s="65"/>
      <c r="MYI2" s="65"/>
      <c r="MYJ2" s="65"/>
      <c r="MYK2" s="65"/>
      <c r="MYL2" s="65"/>
      <c r="MYM2" s="65"/>
      <c r="MYN2" s="65"/>
      <c r="MYO2" s="65"/>
      <c r="MYP2" s="65"/>
      <c r="MYQ2" s="65"/>
      <c r="MYR2" s="65"/>
      <c r="MYS2" s="65"/>
      <c r="MYT2" s="65"/>
      <c r="MYU2" s="65"/>
      <c r="MYV2" s="65"/>
      <c r="MYW2" s="65"/>
      <c r="MYX2" s="65"/>
      <c r="MYY2" s="65"/>
      <c r="MYZ2" s="65"/>
      <c r="MZA2" s="65"/>
      <c r="MZB2" s="65"/>
      <c r="MZC2" s="65"/>
      <c r="MZD2" s="65"/>
      <c r="MZE2" s="65"/>
      <c r="MZF2" s="65"/>
      <c r="MZG2" s="65"/>
      <c r="MZH2" s="65"/>
      <c r="MZI2" s="65"/>
      <c r="MZJ2" s="65"/>
      <c r="MZK2" s="65"/>
      <c r="MZL2" s="65"/>
      <c r="MZM2" s="65"/>
      <c r="MZN2" s="65"/>
      <c r="MZO2" s="65"/>
      <c r="MZP2" s="65"/>
      <c r="MZQ2" s="65"/>
      <c r="MZR2" s="65"/>
      <c r="MZS2" s="65"/>
      <c r="MZT2" s="65"/>
      <c r="MZU2" s="65"/>
      <c r="MZV2" s="65"/>
      <c r="MZW2" s="65"/>
      <c r="MZX2" s="65"/>
      <c r="MZY2" s="65"/>
      <c r="MZZ2" s="65"/>
      <c r="NAA2" s="65"/>
      <c r="NAB2" s="65"/>
      <c r="NAC2" s="65"/>
      <c r="NAD2" s="65"/>
      <c r="NAE2" s="65"/>
      <c r="NAF2" s="65"/>
      <c r="NAG2" s="65"/>
      <c r="NAH2" s="65"/>
      <c r="NAI2" s="65"/>
      <c r="NAJ2" s="65"/>
      <c r="NAK2" s="65"/>
      <c r="NAL2" s="65"/>
      <c r="NAM2" s="65"/>
      <c r="NAN2" s="65"/>
      <c r="NAO2" s="65"/>
      <c r="NAP2" s="65"/>
      <c r="NAQ2" s="65"/>
      <c r="NAR2" s="65"/>
      <c r="NAS2" s="65"/>
      <c r="NAT2" s="65"/>
      <c r="NAU2" s="65"/>
      <c r="NAV2" s="65"/>
      <c r="NAW2" s="65"/>
      <c r="NAX2" s="65"/>
      <c r="NAY2" s="65"/>
      <c r="NAZ2" s="65"/>
      <c r="NBA2" s="65"/>
      <c r="NBB2" s="65"/>
      <c r="NBC2" s="65"/>
      <c r="NBD2" s="65"/>
      <c r="NBE2" s="65"/>
      <c r="NBF2" s="65"/>
      <c r="NBG2" s="65"/>
      <c r="NBH2" s="65"/>
      <c r="NBI2" s="65"/>
      <c r="NBJ2" s="65"/>
      <c r="NBK2" s="65"/>
      <c r="NBL2" s="65"/>
      <c r="NBM2" s="65"/>
      <c r="NBN2" s="65"/>
      <c r="NBO2" s="65"/>
      <c r="NBP2" s="65"/>
      <c r="NBQ2" s="65"/>
      <c r="NBR2" s="65"/>
      <c r="NBS2" s="65"/>
      <c r="NBT2" s="65"/>
      <c r="NBU2" s="65"/>
      <c r="NBV2" s="65"/>
      <c r="NBW2" s="65"/>
      <c r="NBX2" s="65"/>
      <c r="NBY2" s="65"/>
      <c r="NBZ2" s="65"/>
      <c r="NCA2" s="65"/>
      <c r="NCB2" s="65"/>
      <c r="NCC2" s="65"/>
      <c r="NCD2" s="65"/>
      <c r="NCE2" s="65"/>
      <c r="NCF2" s="65"/>
      <c r="NCG2" s="65"/>
      <c r="NCH2" s="65"/>
      <c r="NCI2" s="65"/>
      <c r="NCJ2" s="65"/>
      <c r="NCK2" s="65"/>
      <c r="NCL2" s="65"/>
      <c r="NCM2" s="65"/>
      <c r="NCN2" s="65"/>
      <c r="NCO2" s="65"/>
      <c r="NCP2" s="65"/>
      <c r="NCQ2" s="65"/>
      <c r="NCR2" s="65"/>
      <c r="NCS2" s="65"/>
      <c r="NCT2" s="65"/>
      <c r="NCU2" s="65"/>
      <c r="NCV2" s="65"/>
      <c r="NCW2" s="65"/>
      <c r="NCX2" s="65"/>
      <c r="NCY2" s="65"/>
      <c r="NCZ2" s="65"/>
      <c r="NDA2" s="65"/>
      <c r="NDB2" s="65"/>
      <c r="NDC2" s="65"/>
      <c r="NDD2" s="65"/>
      <c r="NDE2" s="65"/>
      <c r="NDF2" s="65"/>
      <c r="NDG2" s="65"/>
      <c r="NDH2" s="65"/>
      <c r="NDI2" s="65"/>
      <c r="NDJ2" s="65"/>
      <c r="NDK2" s="65"/>
      <c r="NDL2" s="65"/>
      <c r="NDM2" s="65"/>
      <c r="NDN2" s="65"/>
      <c r="NDO2" s="65"/>
      <c r="NDP2" s="65"/>
      <c r="NDQ2" s="65"/>
      <c r="NDR2" s="65"/>
      <c r="NDS2" s="65"/>
      <c r="NDT2" s="65"/>
      <c r="NDU2" s="65"/>
      <c r="NDV2" s="65"/>
      <c r="NDW2" s="65"/>
      <c r="NDX2" s="65"/>
      <c r="NDY2" s="65"/>
      <c r="NDZ2" s="65"/>
      <c r="NEA2" s="65"/>
      <c r="NEB2" s="65"/>
      <c r="NEC2" s="65"/>
      <c r="NED2" s="65"/>
      <c r="NEE2" s="65"/>
      <c r="NEF2" s="65"/>
      <c r="NEG2" s="65"/>
      <c r="NEH2" s="65"/>
      <c r="NEI2" s="65"/>
      <c r="NEJ2" s="65"/>
      <c r="NEK2" s="65"/>
      <c r="NEL2" s="65"/>
      <c r="NEM2" s="65"/>
      <c r="NEN2" s="65"/>
      <c r="NEO2" s="65"/>
      <c r="NEP2" s="65"/>
      <c r="NEQ2" s="65"/>
      <c r="NER2" s="65"/>
      <c r="NES2" s="65"/>
      <c r="NET2" s="65"/>
      <c r="NEU2" s="65"/>
      <c r="NEV2" s="65"/>
      <c r="NEW2" s="65"/>
      <c r="NEX2" s="65"/>
      <c r="NEY2" s="65"/>
      <c r="NEZ2" s="65"/>
      <c r="NFA2" s="65"/>
      <c r="NFB2" s="65"/>
      <c r="NFC2" s="65"/>
      <c r="NFD2" s="65"/>
      <c r="NFE2" s="65"/>
      <c r="NFF2" s="65"/>
      <c r="NFG2" s="65"/>
      <c r="NFH2" s="65"/>
      <c r="NFI2" s="65"/>
      <c r="NFJ2" s="65"/>
      <c r="NFK2" s="65"/>
      <c r="NFL2" s="65"/>
      <c r="NFM2" s="65"/>
      <c r="NFN2" s="65"/>
      <c r="NFO2" s="65"/>
      <c r="NFP2" s="65"/>
      <c r="NFQ2" s="65"/>
      <c r="NFR2" s="65"/>
      <c r="NFS2" s="65"/>
      <c r="NFT2" s="65"/>
      <c r="NFU2" s="65"/>
      <c r="NFV2" s="65"/>
      <c r="NFW2" s="65"/>
      <c r="NFX2" s="65"/>
      <c r="NFY2" s="65"/>
      <c r="NFZ2" s="65"/>
      <c r="NGA2" s="65"/>
      <c r="NGB2" s="65"/>
      <c r="NGC2" s="65"/>
      <c r="NGD2" s="65"/>
      <c r="NGE2" s="65"/>
      <c r="NGF2" s="65"/>
      <c r="NGG2" s="65"/>
      <c r="NGH2" s="65"/>
      <c r="NGI2" s="65"/>
      <c r="NGJ2" s="65"/>
      <c r="NGK2" s="65"/>
      <c r="NGL2" s="65"/>
      <c r="NGM2" s="65"/>
      <c r="NGN2" s="65"/>
      <c r="NGO2" s="65"/>
      <c r="NGP2" s="65"/>
      <c r="NGQ2" s="65"/>
      <c r="NGR2" s="65"/>
      <c r="NGS2" s="65"/>
      <c r="NGT2" s="65"/>
      <c r="NGU2" s="65"/>
      <c r="NGV2" s="65"/>
      <c r="NGW2" s="65"/>
      <c r="NGX2" s="65"/>
      <c r="NGY2" s="65"/>
      <c r="NGZ2" s="65"/>
      <c r="NHA2" s="65"/>
      <c r="NHB2" s="65"/>
      <c r="NHC2" s="65"/>
      <c r="NHD2" s="65"/>
      <c r="NHE2" s="65"/>
      <c r="NHF2" s="65"/>
      <c r="NHG2" s="65"/>
      <c r="NHH2" s="65"/>
      <c r="NHI2" s="65"/>
      <c r="NHJ2" s="65"/>
      <c r="NHK2" s="65"/>
      <c r="NHL2" s="65"/>
      <c r="NHM2" s="65"/>
      <c r="NHN2" s="65"/>
      <c r="NHO2" s="65"/>
      <c r="NHP2" s="65"/>
      <c r="NHQ2" s="65"/>
      <c r="NHR2" s="65"/>
      <c r="NHS2" s="65"/>
      <c r="NHT2" s="65"/>
      <c r="NHU2" s="65"/>
      <c r="NHV2" s="65"/>
      <c r="NHW2" s="65"/>
      <c r="NHX2" s="65"/>
      <c r="NHY2" s="65"/>
      <c r="NHZ2" s="65"/>
      <c r="NIA2" s="65"/>
      <c r="NIB2" s="65"/>
      <c r="NIC2" s="65"/>
      <c r="NID2" s="65"/>
      <c r="NIE2" s="65"/>
      <c r="NIF2" s="65"/>
      <c r="NIG2" s="65"/>
      <c r="NIH2" s="65"/>
      <c r="NII2" s="65"/>
      <c r="NIJ2" s="65"/>
      <c r="NIK2" s="65"/>
      <c r="NIL2" s="65"/>
      <c r="NIM2" s="65"/>
      <c r="NIN2" s="65"/>
      <c r="NIO2" s="65"/>
      <c r="NIP2" s="65"/>
      <c r="NIQ2" s="65"/>
      <c r="NIR2" s="65"/>
      <c r="NIS2" s="65"/>
      <c r="NIT2" s="65"/>
      <c r="NIU2" s="65"/>
      <c r="NIV2" s="65"/>
      <c r="NIW2" s="65"/>
      <c r="NIX2" s="65"/>
      <c r="NIY2" s="65"/>
      <c r="NIZ2" s="65"/>
      <c r="NJA2" s="65"/>
      <c r="NJB2" s="65"/>
      <c r="NJC2" s="65"/>
      <c r="NJD2" s="65"/>
      <c r="NJE2" s="65"/>
      <c r="NJF2" s="65"/>
      <c r="NJG2" s="65"/>
      <c r="NJH2" s="65"/>
      <c r="NJI2" s="65"/>
      <c r="NJJ2" s="65"/>
      <c r="NJK2" s="65"/>
      <c r="NJL2" s="65"/>
      <c r="NJM2" s="65"/>
      <c r="NJN2" s="65"/>
      <c r="NJO2" s="65"/>
      <c r="NJP2" s="65"/>
      <c r="NJQ2" s="65"/>
      <c r="NJR2" s="65"/>
      <c r="NJS2" s="65"/>
      <c r="NJT2" s="65"/>
      <c r="NJU2" s="65"/>
      <c r="NJV2" s="65"/>
      <c r="NJW2" s="65"/>
      <c r="NJX2" s="65"/>
      <c r="NJY2" s="65"/>
      <c r="NJZ2" s="65"/>
      <c r="NKA2" s="65"/>
      <c r="NKB2" s="65"/>
      <c r="NKC2" s="65"/>
      <c r="NKD2" s="65"/>
      <c r="NKE2" s="65"/>
      <c r="NKF2" s="65"/>
      <c r="NKG2" s="65"/>
      <c r="NKH2" s="65"/>
      <c r="NKI2" s="65"/>
      <c r="NKJ2" s="65"/>
      <c r="NKK2" s="65"/>
      <c r="NKL2" s="65"/>
      <c r="NKM2" s="65"/>
      <c r="NKN2" s="65"/>
      <c r="NKO2" s="65"/>
      <c r="NKP2" s="65"/>
      <c r="NKQ2" s="65"/>
      <c r="NKR2" s="65"/>
      <c r="NKS2" s="65"/>
      <c r="NKT2" s="65"/>
      <c r="NKU2" s="65"/>
      <c r="NKV2" s="65"/>
      <c r="NKW2" s="65"/>
      <c r="NKX2" s="65"/>
      <c r="NKY2" s="65"/>
      <c r="NKZ2" s="65"/>
      <c r="NLA2" s="65"/>
      <c r="NLB2" s="65"/>
      <c r="NLC2" s="65"/>
      <c r="NLD2" s="65"/>
      <c r="NLE2" s="65"/>
      <c r="NLF2" s="65"/>
      <c r="NLG2" s="65"/>
      <c r="NLH2" s="65"/>
      <c r="NLI2" s="65"/>
      <c r="NLJ2" s="65"/>
      <c r="NLK2" s="65"/>
      <c r="NLL2" s="65"/>
      <c r="NLM2" s="65"/>
      <c r="NLN2" s="65"/>
      <c r="NLO2" s="65"/>
      <c r="NLP2" s="65"/>
      <c r="NLQ2" s="65"/>
      <c r="NLR2" s="65"/>
      <c r="NLS2" s="65"/>
      <c r="NLT2" s="65"/>
      <c r="NLU2" s="65"/>
      <c r="NLV2" s="65"/>
      <c r="NLW2" s="65"/>
      <c r="NLX2" s="65"/>
      <c r="NLY2" s="65"/>
      <c r="NLZ2" s="65"/>
      <c r="NMA2" s="65"/>
      <c r="NMB2" s="65"/>
      <c r="NMC2" s="65"/>
      <c r="NMD2" s="65"/>
      <c r="NME2" s="65"/>
      <c r="NMF2" s="65"/>
      <c r="NMG2" s="65"/>
      <c r="NMH2" s="65"/>
      <c r="NMI2" s="65"/>
      <c r="NMJ2" s="65"/>
      <c r="NMK2" s="65"/>
      <c r="NML2" s="65"/>
      <c r="NMM2" s="65"/>
      <c r="NMN2" s="65"/>
      <c r="NMO2" s="65"/>
      <c r="NMP2" s="65"/>
      <c r="NMQ2" s="65"/>
      <c r="NMR2" s="65"/>
      <c r="NMS2" s="65"/>
      <c r="NMT2" s="65"/>
      <c r="NMU2" s="65"/>
      <c r="NMV2" s="65"/>
      <c r="NMW2" s="65"/>
      <c r="NMX2" s="65"/>
      <c r="NMY2" s="65"/>
      <c r="NMZ2" s="65"/>
      <c r="NNA2" s="65"/>
      <c r="NNB2" s="65"/>
      <c r="NNC2" s="65"/>
      <c r="NND2" s="65"/>
      <c r="NNE2" s="65"/>
      <c r="NNF2" s="65"/>
      <c r="NNG2" s="65"/>
      <c r="NNH2" s="65"/>
      <c r="NNI2" s="65"/>
      <c r="NNJ2" s="65"/>
      <c r="NNK2" s="65"/>
      <c r="NNL2" s="65"/>
      <c r="NNM2" s="65"/>
      <c r="NNN2" s="65"/>
      <c r="NNO2" s="65"/>
      <c r="NNP2" s="65"/>
      <c r="NNQ2" s="65"/>
      <c r="NNR2" s="65"/>
      <c r="NNS2" s="65"/>
      <c r="NNT2" s="65"/>
      <c r="NNU2" s="65"/>
      <c r="NNV2" s="65"/>
      <c r="NNW2" s="65"/>
      <c r="NNX2" s="65"/>
      <c r="NNY2" s="65"/>
      <c r="NNZ2" s="65"/>
      <c r="NOA2" s="65"/>
      <c r="NOB2" s="65"/>
      <c r="NOC2" s="65"/>
      <c r="NOD2" s="65"/>
      <c r="NOE2" s="65"/>
      <c r="NOF2" s="65"/>
      <c r="NOG2" s="65"/>
      <c r="NOH2" s="65"/>
      <c r="NOI2" s="65"/>
      <c r="NOJ2" s="65"/>
      <c r="NOK2" s="65"/>
      <c r="NOL2" s="65"/>
      <c r="NOM2" s="65"/>
      <c r="NON2" s="65"/>
      <c r="NOO2" s="65"/>
      <c r="NOP2" s="65"/>
      <c r="NOQ2" s="65"/>
      <c r="NOR2" s="65"/>
      <c r="NOS2" s="65"/>
      <c r="NOT2" s="65"/>
      <c r="NOU2" s="65"/>
      <c r="NOV2" s="65"/>
      <c r="NOW2" s="65"/>
      <c r="NOX2" s="65"/>
      <c r="NOY2" s="65"/>
      <c r="NOZ2" s="65"/>
      <c r="NPA2" s="65"/>
      <c r="NPB2" s="65"/>
      <c r="NPC2" s="65"/>
      <c r="NPD2" s="65"/>
      <c r="NPE2" s="65"/>
      <c r="NPF2" s="65"/>
      <c r="NPG2" s="65"/>
      <c r="NPH2" s="65"/>
      <c r="NPI2" s="65"/>
      <c r="NPJ2" s="65"/>
      <c r="NPK2" s="65"/>
      <c r="NPL2" s="65"/>
      <c r="NPM2" s="65"/>
      <c r="NPN2" s="65"/>
      <c r="NPO2" s="65"/>
      <c r="NPP2" s="65"/>
      <c r="NPQ2" s="65"/>
      <c r="NPR2" s="65"/>
      <c r="NPS2" s="65"/>
      <c r="NPT2" s="65"/>
      <c r="NPU2" s="65"/>
      <c r="NPV2" s="65"/>
      <c r="NPW2" s="65"/>
      <c r="NPX2" s="65"/>
      <c r="NPY2" s="65"/>
      <c r="NPZ2" s="65"/>
      <c r="NQA2" s="65"/>
      <c r="NQB2" s="65"/>
      <c r="NQC2" s="65"/>
      <c r="NQD2" s="65"/>
      <c r="NQE2" s="65"/>
      <c r="NQF2" s="65"/>
      <c r="NQG2" s="65"/>
      <c r="NQH2" s="65"/>
      <c r="NQI2" s="65"/>
      <c r="NQJ2" s="65"/>
      <c r="NQK2" s="65"/>
      <c r="NQL2" s="65"/>
      <c r="NQM2" s="65"/>
      <c r="NQN2" s="65"/>
      <c r="NQO2" s="65"/>
      <c r="NQP2" s="65"/>
      <c r="NQQ2" s="65"/>
      <c r="NQR2" s="65"/>
      <c r="NQS2" s="65"/>
      <c r="NQT2" s="65"/>
      <c r="NQU2" s="65"/>
      <c r="NQV2" s="65"/>
      <c r="NQW2" s="65"/>
      <c r="NQX2" s="65"/>
      <c r="NQY2" s="65"/>
      <c r="NQZ2" s="65"/>
      <c r="NRA2" s="65"/>
      <c r="NRB2" s="65"/>
      <c r="NRC2" s="65"/>
      <c r="NRD2" s="65"/>
      <c r="NRE2" s="65"/>
      <c r="NRF2" s="65"/>
      <c r="NRG2" s="65"/>
      <c r="NRH2" s="65"/>
      <c r="NRI2" s="65"/>
      <c r="NRJ2" s="65"/>
      <c r="NRK2" s="65"/>
      <c r="NRL2" s="65"/>
      <c r="NRM2" s="65"/>
      <c r="NRN2" s="65"/>
      <c r="NRO2" s="65"/>
      <c r="NRP2" s="65"/>
      <c r="NRQ2" s="65"/>
      <c r="NRR2" s="65"/>
      <c r="NRS2" s="65"/>
      <c r="NRT2" s="65"/>
      <c r="NRU2" s="65"/>
      <c r="NRV2" s="65"/>
      <c r="NRW2" s="65"/>
      <c r="NRX2" s="65"/>
      <c r="NRY2" s="65"/>
      <c r="NRZ2" s="65"/>
      <c r="NSA2" s="65"/>
      <c r="NSB2" s="65"/>
      <c r="NSC2" s="65"/>
      <c r="NSD2" s="65"/>
      <c r="NSE2" s="65"/>
      <c r="NSF2" s="65"/>
      <c r="NSG2" s="65"/>
      <c r="NSH2" s="65"/>
      <c r="NSI2" s="65"/>
      <c r="NSJ2" s="65"/>
      <c r="NSK2" s="65"/>
      <c r="NSL2" s="65"/>
      <c r="NSM2" s="65"/>
      <c r="NSN2" s="65"/>
      <c r="NSO2" s="65"/>
      <c r="NSP2" s="65"/>
      <c r="NSQ2" s="65"/>
      <c r="NSR2" s="65"/>
      <c r="NSS2" s="65"/>
      <c r="NST2" s="65"/>
      <c r="NSU2" s="65"/>
      <c r="NSV2" s="65"/>
      <c r="NSW2" s="65"/>
      <c r="NSX2" s="65"/>
      <c r="NSY2" s="65"/>
      <c r="NSZ2" s="65"/>
      <c r="NTA2" s="65"/>
      <c r="NTB2" s="65"/>
      <c r="NTC2" s="65"/>
      <c r="NTD2" s="65"/>
      <c r="NTE2" s="65"/>
      <c r="NTF2" s="65"/>
      <c r="NTG2" s="65"/>
      <c r="NTH2" s="65"/>
      <c r="NTI2" s="65"/>
      <c r="NTJ2" s="65"/>
      <c r="NTK2" s="65"/>
      <c r="NTL2" s="65"/>
      <c r="NTM2" s="65"/>
      <c r="NTN2" s="65"/>
      <c r="NTO2" s="65"/>
      <c r="NTP2" s="65"/>
      <c r="NTQ2" s="65"/>
      <c r="NTR2" s="65"/>
      <c r="NTS2" s="65"/>
      <c r="NTT2" s="65"/>
      <c r="NTU2" s="65"/>
      <c r="NTV2" s="65"/>
      <c r="NTW2" s="65"/>
      <c r="NTX2" s="65"/>
      <c r="NTY2" s="65"/>
      <c r="NTZ2" s="65"/>
      <c r="NUA2" s="65"/>
      <c r="NUB2" s="65"/>
      <c r="NUC2" s="65"/>
      <c r="NUD2" s="65"/>
      <c r="NUE2" s="65"/>
      <c r="NUF2" s="65"/>
      <c r="NUG2" s="65"/>
      <c r="NUH2" s="65"/>
      <c r="NUI2" s="65"/>
      <c r="NUJ2" s="65"/>
      <c r="NUK2" s="65"/>
      <c r="NUL2" s="65"/>
      <c r="NUM2" s="65"/>
      <c r="NUN2" s="65"/>
      <c r="NUO2" s="65"/>
      <c r="NUP2" s="65"/>
      <c r="NUQ2" s="65"/>
      <c r="NUR2" s="65"/>
      <c r="NUS2" s="65"/>
      <c r="NUT2" s="65"/>
      <c r="NUU2" s="65"/>
      <c r="NUV2" s="65"/>
      <c r="NUW2" s="65"/>
      <c r="NUX2" s="65"/>
      <c r="NUY2" s="65"/>
      <c r="NUZ2" s="65"/>
      <c r="NVA2" s="65"/>
      <c r="NVB2" s="65"/>
      <c r="NVC2" s="65"/>
      <c r="NVD2" s="65"/>
      <c r="NVE2" s="65"/>
      <c r="NVF2" s="65"/>
      <c r="NVG2" s="65"/>
      <c r="NVH2" s="65"/>
      <c r="NVI2" s="65"/>
      <c r="NVJ2" s="65"/>
      <c r="NVK2" s="65"/>
      <c r="NVL2" s="65"/>
      <c r="NVM2" s="65"/>
      <c r="NVN2" s="65"/>
      <c r="NVO2" s="65"/>
      <c r="NVP2" s="65"/>
      <c r="NVQ2" s="65"/>
      <c r="NVR2" s="65"/>
      <c r="NVS2" s="65"/>
      <c r="NVT2" s="65"/>
      <c r="NVU2" s="65"/>
      <c r="NVV2" s="65"/>
      <c r="NVW2" s="65"/>
      <c r="NVX2" s="65"/>
      <c r="NVY2" s="65"/>
      <c r="NVZ2" s="65"/>
      <c r="NWA2" s="65"/>
      <c r="NWB2" s="65"/>
      <c r="NWC2" s="65"/>
      <c r="NWD2" s="65"/>
      <c r="NWE2" s="65"/>
      <c r="NWF2" s="65"/>
      <c r="NWG2" s="65"/>
      <c r="NWH2" s="65"/>
      <c r="NWI2" s="65"/>
      <c r="NWJ2" s="65"/>
      <c r="NWK2" s="65"/>
      <c r="NWL2" s="65"/>
      <c r="NWM2" s="65"/>
      <c r="NWN2" s="65"/>
      <c r="NWO2" s="65"/>
      <c r="NWP2" s="65"/>
      <c r="NWQ2" s="65"/>
      <c r="NWR2" s="65"/>
      <c r="NWS2" s="65"/>
      <c r="NWT2" s="65"/>
      <c r="NWU2" s="65"/>
      <c r="NWV2" s="65"/>
      <c r="NWW2" s="65"/>
      <c r="NWX2" s="65"/>
      <c r="NWY2" s="65"/>
      <c r="NWZ2" s="65"/>
      <c r="NXA2" s="65"/>
      <c r="NXB2" s="65"/>
      <c r="NXC2" s="65"/>
      <c r="NXD2" s="65"/>
      <c r="NXE2" s="65"/>
      <c r="NXF2" s="65"/>
      <c r="NXG2" s="65"/>
      <c r="NXH2" s="65"/>
      <c r="NXI2" s="65"/>
      <c r="NXJ2" s="65"/>
      <c r="NXK2" s="65"/>
      <c r="NXL2" s="65"/>
      <c r="NXM2" s="65"/>
      <c r="NXN2" s="65"/>
      <c r="NXO2" s="65"/>
      <c r="NXP2" s="65"/>
      <c r="NXQ2" s="65"/>
      <c r="NXR2" s="65"/>
      <c r="NXS2" s="65"/>
      <c r="NXT2" s="65"/>
      <c r="NXU2" s="65"/>
      <c r="NXV2" s="65"/>
      <c r="NXW2" s="65"/>
      <c r="NXX2" s="65"/>
      <c r="NXY2" s="65"/>
      <c r="NXZ2" s="65"/>
      <c r="NYA2" s="65"/>
      <c r="NYB2" s="65"/>
      <c r="NYC2" s="65"/>
      <c r="NYD2" s="65"/>
      <c r="NYE2" s="65"/>
      <c r="NYF2" s="65"/>
      <c r="NYG2" s="65"/>
      <c r="NYH2" s="65"/>
      <c r="NYI2" s="65"/>
      <c r="NYJ2" s="65"/>
      <c r="NYK2" s="65"/>
      <c r="NYL2" s="65"/>
      <c r="NYM2" s="65"/>
      <c r="NYN2" s="65"/>
      <c r="NYO2" s="65"/>
      <c r="NYP2" s="65"/>
      <c r="NYQ2" s="65"/>
      <c r="NYR2" s="65"/>
      <c r="NYS2" s="65"/>
      <c r="NYT2" s="65"/>
      <c r="NYU2" s="65"/>
      <c r="NYV2" s="65"/>
      <c r="NYW2" s="65"/>
      <c r="NYX2" s="65"/>
      <c r="NYY2" s="65"/>
      <c r="NYZ2" s="65"/>
      <c r="NZA2" s="65"/>
      <c r="NZB2" s="65"/>
      <c r="NZC2" s="65"/>
      <c r="NZD2" s="65"/>
      <c r="NZE2" s="65"/>
      <c r="NZF2" s="65"/>
      <c r="NZG2" s="65"/>
      <c r="NZH2" s="65"/>
      <c r="NZI2" s="65"/>
      <c r="NZJ2" s="65"/>
      <c r="NZK2" s="65"/>
      <c r="NZL2" s="65"/>
      <c r="NZM2" s="65"/>
      <c r="NZN2" s="65"/>
      <c r="NZO2" s="65"/>
      <c r="NZP2" s="65"/>
      <c r="NZQ2" s="65"/>
      <c r="NZR2" s="65"/>
      <c r="NZS2" s="65"/>
      <c r="NZT2" s="65"/>
      <c r="NZU2" s="65"/>
      <c r="NZV2" s="65"/>
      <c r="NZW2" s="65"/>
      <c r="NZX2" s="65"/>
      <c r="NZY2" s="65"/>
      <c r="NZZ2" s="65"/>
      <c r="OAA2" s="65"/>
      <c r="OAB2" s="65"/>
      <c r="OAC2" s="65"/>
      <c r="OAD2" s="65"/>
      <c r="OAE2" s="65"/>
      <c r="OAF2" s="65"/>
      <c r="OAG2" s="65"/>
      <c r="OAH2" s="65"/>
      <c r="OAI2" s="65"/>
      <c r="OAJ2" s="65"/>
      <c r="OAK2" s="65"/>
      <c r="OAL2" s="65"/>
      <c r="OAM2" s="65"/>
      <c r="OAN2" s="65"/>
      <c r="OAO2" s="65"/>
      <c r="OAP2" s="65"/>
      <c r="OAQ2" s="65"/>
      <c r="OAR2" s="65"/>
      <c r="OAS2" s="65"/>
      <c r="OAT2" s="65"/>
      <c r="OAU2" s="65"/>
      <c r="OAV2" s="65"/>
      <c r="OAW2" s="65"/>
      <c r="OAX2" s="65"/>
      <c r="OAY2" s="65"/>
      <c r="OAZ2" s="65"/>
      <c r="OBA2" s="65"/>
      <c r="OBB2" s="65"/>
      <c r="OBC2" s="65"/>
      <c r="OBD2" s="65"/>
      <c r="OBE2" s="65"/>
      <c r="OBF2" s="65"/>
      <c r="OBG2" s="65"/>
      <c r="OBH2" s="65"/>
      <c r="OBI2" s="65"/>
      <c r="OBJ2" s="65"/>
      <c r="OBK2" s="65"/>
      <c r="OBL2" s="65"/>
      <c r="OBM2" s="65"/>
      <c r="OBN2" s="65"/>
      <c r="OBO2" s="65"/>
      <c r="OBP2" s="65"/>
      <c r="OBQ2" s="65"/>
      <c r="OBR2" s="65"/>
      <c r="OBS2" s="65"/>
      <c r="OBT2" s="65"/>
      <c r="OBU2" s="65"/>
      <c r="OBV2" s="65"/>
      <c r="OBW2" s="65"/>
      <c r="OBX2" s="65"/>
      <c r="OBY2" s="65"/>
      <c r="OBZ2" s="65"/>
      <c r="OCA2" s="65"/>
      <c r="OCB2" s="65"/>
      <c r="OCC2" s="65"/>
      <c r="OCD2" s="65"/>
      <c r="OCE2" s="65"/>
      <c r="OCF2" s="65"/>
      <c r="OCG2" s="65"/>
      <c r="OCH2" s="65"/>
      <c r="OCI2" s="65"/>
      <c r="OCJ2" s="65"/>
      <c r="OCK2" s="65"/>
      <c r="OCL2" s="65"/>
      <c r="OCM2" s="65"/>
      <c r="OCN2" s="65"/>
      <c r="OCO2" s="65"/>
      <c r="OCP2" s="65"/>
      <c r="OCQ2" s="65"/>
      <c r="OCR2" s="65"/>
      <c r="OCS2" s="65"/>
      <c r="OCT2" s="65"/>
      <c r="OCU2" s="65"/>
      <c r="OCV2" s="65"/>
      <c r="OCW2" s="65"/>
      <c r="OCX2" s="65"/>
      <c r="OCY2" s="65"/>
      <c r="OCZ2" s="65"/>
      <c r="ODA2" s="65"/>
      <c r="ODB2" s="65"/>
      <c r="ODC2" s="65"/>
      <c r="ODD2" s="65"/>
      <c r="ODE2" s="65"/>
      <c r="ODF2" s="65"/>
      <c r="ODG2" s="65"/>
      <c r="ODH2" s="65"/>
      <c r="ODI2" s="65"/>
      <c r="ODJ2" s="65"/>
      <c r="ODK2" s="65"/>
      <c r="ODL2" s="65"/>
      <c r="ODM2" s="65"/>
      <c r="ODN2" s="65"/>
      <c r="ODO2" s="65"/>
      <c r="ODP2" s="65"/>
      <c r="ODQ2" s="65"/>
      <c r="ODR2" s="65"/>
      <c r="ODS2" s="65"/>
      <c r="ODT2" s="65"/>
      <c r="ODU2" s="65"/>
      <c r="ODV2" s="65"/>
      <c r="ODW2" s="65"/>
      <c r="ODX2" s="65"/>
      <c r="ODY2" s="65"/>
      <c r="ODZ2" s="65"/>
      <c r="OEA2" s="65"/>
      <c r="OEB2" s="65"/>
      <c r="OEC2" s="65"/>
      <c r="OED2" s="65"/>
      <c r="OEE2" s="65"/>
      <c r="OEF2" s="65"/>
      <c r="OEG2" s="65"/>
      <c r="OEH2" s="65"/>
      <c r="OEI2" s="65"/>
      <c r="OEJ2" s="65"/>
      <c r="OEK2" s="65"/>
      <c r="OEL2" s="65"/>
      <c r="OEM2" s="65"/>
      <c r="OEN2" s="65"/>
      <c r="OEO2" s="65"/>
      <c r="OEP2" s="65"/>
      <c r="OEQ2" s="65"/>
      <c r="OER2" s="65"/>
      <c r="OES2" s="65"/>
      <c r="OET2" s="65"/>
      <c r="OEU2" s="65"/>
      <c r="OEV2" s="65"/>
      <c r="OEW2" s="65"/>
      <c r="OEX2" s="65"/>
      <c r="OEY2" s="65"/>
      <c r="OEZ2" s="65"/>
      <c r="OFA2" s="65"/>
      <c r="OFB2" s="65"/>
      <c r="OFC2" s="65"/>
      <c r="OFD2" s="65"/>
      <c r="OFE2" s="65"/>
      <c r="OFF2" s="65"/>
      <c r="OFG2" s="65"/>
      <c r="OFH2" s="65"/>
      <c r="OFI2" s="65"/>
      <c r="OFJ2" s="65"/>
      <c r="OFK2" s="65"/>
      <c r="OFL2" s="65"/>
      <c r="OFM2" s="65"/>
      <c r="OFN2" s="65"/>
      <c r="OFO2" s="65"/>
      <c r="OFP2" s="65"/>
      <c r="OFQ2" s="65"/>
      <c r="OFR2" s="65"/>
      <c r="OFS2" s="65"/>
      <c r="OFT2" s="65"/>
      <c r="OFU2" s="65"/>
      <c r="OFV2" s="65"/>
      <c r="OFW2" s="65"/>
      <c r="OFX2" s="65"/>
      <c r="OFY2" s="65"/>
      <c r="OFZ2" s="65"/>
      <c r="OGA2" s="65"/>
      <c r="OGB2" s="65"/>
      <c r="OGC2" s="65"/>
      <c r="OGD2" s="65"/>
      <c r="OGE2" s="65"/>
      <c r="OGF2" s="65"/>
      <c r="OGG2" s="65"/>
      <c r="OGH2" s="65"/>
      <c r="OGI2" s="65"/>
      <c r="OGJ2" s="65"/>
      <c r="OGK2" s="65"/>
      <c r="OGL2" s="65"/>
      <c r="OGM2" s="65"/>
      <c r="OGN2" s="65"/>
      <c r="OGO2" s="65"/>
      <c r="OGP2" s="65"/>
      <c r="OGQ2" s="65"/>
      <c r="OGR2" s="65"/>
      <c r="OGS2" s="65"/>
      <c r="OGT2" s="65"/>
      <c r="OGU2" s="65"/>
      <c r="OGV2" s="65"/>
      <c r="OGW2" s="65"/>
      <c r="OGX2" s="65"/>
      <c r="OGY2" s="65"/>
      <c r="OGZ2" s="65"/>
      <c r="OHA2" s="65"/>
      <c r="OHB2" s="65"/>
      <c r="OHC2" s="65"/>
      <c r="OHD2" s="65"/>
      <c r="OHE2" s="65"/>
      <c r="OHF2" s="65"/>
      <c r="OHG2" s="65"/>
      <c r="OHH2" s="65"/>
      <c r="OHI2" s="65"/>
      <c r="OHJ2" s="65"/>
      <c r="OHK2" s="65"/>
      <c r="OHL2" s="65"/>
      <c r="OHM2" s="65"/>
      <c r="OHN2" s="65"/>
      <c r="OHO2" s="65"/>
      <c r="OHP2" s="65"/>
      <c r="OHQ2" s="65"/>
      <c r="OHR2" s="65"/>
      <c r="OHS2" s="65"/>
      <c r="OHT2" s="65"/>
      <c r="OHU2" s="65"/>
      <c r="OHV2" s="65"/>
      <c r="OHW2" s="65"/>
      <c r="OHX2" s="65"/>
      <c r="OHY2" s="65"/>
      <c r="OHZ2" s="65"/>
      <c r="OIA2" s="65"/>
      <c r="OIB2" s="65"/>
      <c r="OIC2" s="65"/>
      <c r="OID2" s="65"/>
      <c r="OIE2" s="65"/>
      <c r="OIF2" s="65"/>
      <c r="OIG2" s="65"/>
      <c r="OIH2" s="65"/>
      <c r="OII2" s="65"/>
      <c r="OIJ2" s="65"/>
      <c r="OIK2" s="65"/>
      <c r="OIL2" s="65"/>
      <c r="OIM2" s="65"/>
      <c r="OIN2" s="65"/>
      <c r="OIO2" s="65"/>
      <c r="OIP2" s="65"/>
      <c r="OIQ2" s="65"/>
      <c r="OIR2" s="65"/>
      <c r="OIS2" s="65"/>
      <c r="OIT2" s="65"/>
      <c r="OIU2" s="65"/>
      <c r="OIV2" s="65"/>
      <c r="OIW2" s="65"/>
      <c r="OIX2" s="65"/>
      <c r="OIY2" s="65"/>
      <c r="OIZ2" s="65"/>
      <c r="OJA2" s="65"/>
      <c r="OJB2" s="65"/>
      <c r="OJC2" s="65"/>
      <c r="OJD2" s="65"/>
      <c r="OJE2" s="65"/>
      <c r="OJF2" s="65"/>
      <c r="OJG2" s="65"/>
      <c r="OJH2" s="65"/>
      <c r="OJI2" s="65"/>
      <c r="OJJ2" s="65"/>
      <c r="OJK2" s="65"/>
      <c r="OJL2" s="65"/>
      <c r="OJM2" s="65"/>
      <c r="OJN2" s="65"/>
      <c r="OJO2" s="65"/>
      <c r="OJP2" s="65"/>
      <c r="OJQ2" s="65"/>
      <c r="OJR2" s="65"/>
      <c r="OJS2" s="65"/>
      <c r="OJT2" s="65"/>
      <c r="OJU2" s="65"/>
      <c r="OJV2" s="65"/>
      <c r="OJW2" s="65"/>
      <c r="OJX2" s="65"/>
      <c r="OJY2" s="65"/>
      <c r="OJZ2" s="65"/>
      <c r="OKA2" s="65"/>
      <c r="OKB2" s="65"/>
      <c r="OKC2" s="65"/>
      <c r="OKD2" s="65"/>
      <c r="OKE2" s="65"/>
      <c r="OKF2" s="65"/>
      <c r="OKG2" s="65"/>
      <c r="OKH2" s="65"/>
      <c r="OKI2" s="65"/>
      <c r="OKJ2" s="65"/>
      <c r="OKK2" s="65"/>
      <c r="OKL2" s="65"/>
      <c r="OKM2" s="65"/>
      <c r="OKN2" s="65"/>
      <c r="OKO2" s="65"/>
      <c r="OKP2" s="65"/>
      <c r="OKQ2" s="65"/>
      <c r="OKR2" s="65"/>
      <c r="OKS2" s="65"/>
      <c r="OKT2" s="65"/>
      <c r="OKU2" s="65"/>
      <c r="OKV2" s="65"/>
      <c r="OKW2" s="65"/>
      <c r="OKX2" s="65"/>
      <c r="OKY2" s="65"/>
      <c r="OKZ2" s="65"/>
      <c r="OLA2" s="65"/>
      <c r="OLB2" s="65"/>
      <c r="OLC2" s="65"/>
      <c r="OLD2" s="65"/>
      <c r="OLE2" s="65"/>
      <c r="OLF2" s="65"/>
      <c r="OLG2" s="65"/>
      <c r="OLH2" s="65"/>
      <c r="OLI2" s="65"/>
      <c r="OLJ2" s="65"/>
      <c r="OLK2" s="65"/>
      <c r="OLL2" s="65"/>
      <c r="OLM2" s="65"/>
      <c r="OLN2" s="65"/>
      <c r="OLO2" s="65"/>
      <c r="OLP2" s="65"/>
      <c r="OLQ2" s="65"/>
      <c r="OLR2" s="65"/>
      <c r="OLS2" s="65"/>
      <c r="OLT2" s="65"/>
      <c r="OLU2" s="65"/>
      <c r="OLV2" s="65"/>
      <c r="OLW2" s="65"/>
      <c r="OLX2" s="65"/>
      <c r="OLY2" s="65"/>
      <c r="OLZ2" s="65"/>
      <c r="OMA2" s="65"/>
      <c r="OMB2" s="65"/>
      <c r="OMC2" s="65"/>
      <c r="OMD2" s="65"/>
      <c r="OME2" s="65"/>
      <c r="OMF2" s="65"/>
      <c r="OMG2" s="65"/>
      <c r="OMH2" s="65"/>
      <c r="OMI2" s="65"/>
      <c r="OMJ2" s="65"/>
      <c r="OMK2" s="65"/>
      <c r="OML2" s="65"/>
      <c r="OMM2" s="65"/>
      <c r="OMN2" s="65"/>
      <c r="OMO2" s="65"/>
      <c r="OMP2" s="65"/>
      <c r="OMQ2" s="65"/>
      <c r="OMR2" s="65"/>
      <c r="OMS2" s="65"/>
      <c r="OMT2" s="65"/>
      <c r="OMU2" s="65"/>
      <c r="OMV2" s="65"/>
      <c r="OMW2" s="65"/>
      <c r="OMX2" s="65"/>
      <c r="OMY2" s="65"/>
      <c r="OMZ2" s="65"/>
      <c r="ONA2" s="65"/>
      <c r="ONB2" s="65"/>
      <c r="ONC2" s="65"/>
      <c r="OND2" s="65"/>
      <c r="ONE2" s="65"/>
      <c r="ONF2" s="65"/>
      <c r="ONG2" s="65"/>
      <c r="ONH2" s="65"/>
      <c r="ONI2" s="65"/>
      <c r="ONJ2" s="65"/>
      <c r="ONK2" s="65"/>
      <c r="ONL2" s="65"/>
      <c r="ONM2" s="65"/>
      <c r="ONN2" s="65"/>
      <c r="ONO2" s="65"/>
      <c r="ONP2" s="65"/>
      <c r="ONQ2" s="65"/>
      <c r="ONR2" s="65"/>
      <c r="ONS2" s="65"/>
      <c r="ONT2" s="65"/>
      <c r="ONU2" s="65"/>
      <c r="ONV2" s="65"/>
      <c r="ONW2" s="65"/>
      <c r="ONX2" s="65"/>
      <c r="ONY2" s="65"/>
      <c r="ONZ2" s="65"/>
      <c r="OOA2" s="65"/>
      <c r="OOB2" s="65"/>
      <c r="OOC2" s="65"/>
      <c r="OOD2" s="65"/>
      <c r="OOE2" s="65"/>
      <c r="OOF2" s="65"/>
      <c r="OOG2" s="65"/>
      <c r="OOH2" s="65"/>
      <c r="OOI2" s="65"/>
      <c r="OOJ2" s="65"/>
      <c r="OOK2" s="65"/>
      <c r="OOL2" s="65"/>
      <c r="OOM2" s="65"/>
      <c r="OON2" s="65"/>
      <c r="OOO2" s="65"/>
      <c r="OOP2" s="65"/>
      <c r="OOQ2" s="65"/>
      <c r="OOR2" s="65"/>
      <c r="OOS2" s="65"/>
      <c r="OOT2" s="65"/>
      <c r="OOU2" s="65"/>
      <c r="OOV2" s="65"/>
      <c r="OOW2" s="65"/>
      <c r="OOX2" s="65"/>
      <c r="OOY2" s="65"/>
      <c r="OOZ2" s="65"/>
      <c r="OPA2" s="65"/>
      <c r="OPB2" s="65"/>
      <c r="OPC2" s="65"/>
      <c r="OPD2" s="65"/>
      <c r="OPE2" s="65"/>
      <c r="OPF2" s="65"/>
      <c r="OPG2" s="65"/>
      <c r="OPH2" s="65"/>
      <c r="OPI2" s="65"/>
      <c r="OPJ2" s="65"/>
      <c r="OPK2" s="65"/>
      <c r="OPL2" s="65"/>
      <c r="OPM2" s="65"/>
      <c r="OPN2" s="65"/>
      <c r="OPO2" s="65"/>
      <c r="OPP2" s="65"/>
      <c r="OPQ2" s="65"/>
      <c r="OPR2" s="65"/>
      <c r="OPS2" s="65"/>
      <c r="OPT2" s="65"/>
      <c r="OPU2" s="65"/>
      <c r="OPV2" s="65"/>
      <c r="OPW2" s="65"/>
      <c r="OPX2" s="65"/>
      <c r="OPY2" s="65"/>
      <c r="OPZ2" s="65"/>
      <c r="OQA2" s="65"/>
      <c r="OQB2" s="65"/>
      <c r="OQC2" s="65"/>
      <c r="OQD2" s="65"/>
      <c r="OQE2" s="65"/>
      <c r="OQF2" s="65"/>
      <c r="OQG2" s="65"/>
      <c r="OQH2" s="65"/>
      <c r="OQI2" s="65"/>
      <c r="OQJ2" s="65"/>
      <c r="OQK2" s="65"/>
      <c r="OQL2" s="65"/>
      <c r="OQM2" s="65"/>
      <c r="OQN2" s="65"/>
      <c r="OQO2" s="65"/>
      <c r="OQP2" s="65"/>
      <c r="OQQ2" s="65"/>
      <c r="OQR2" s="65"/>
      <c r="OQS2" s="65"/>
      <c r="OQT2" s="65"/>
      <c r="OQU2" s="65"/>
      <c r="OQV2" s="65"/>
      <c r="OQW2" s="65"/>
      <c r="OQX2" s="65"/>
      <c r="OQY2" s="65"/>
      <c r="OQZ2" s="65"/>
      <c r="ORA2" s="65"/>
      <c r="ORB2" s="65"/>
      <c r="ORC2" s="65"/>
      <c r="ORD2" s="65"/>
      <c r="ORE2" s="65"/>
      <c r="ORF2" s="65"/>
      <c r="ORG2" s="65"/>
      <c r="ORH2" s="65"/>
      <c r="ORI2" s="65"/>
      <c r="ORJ2" s="65"/>
      <c r="ORK2" s="65"/>
      <c r="ORL2" s="65"/>
      <c r="ORM2" s="65"/>
      <c r="ORN2" s="65"/>
      <c r="ORO2" s="65"/>
      <c r="ORP2" s="65"/>
      <c r="ORQ2" s="65"/>
      <c r="ORR2" s="65"/>
      <c r="ORS2" s="65"/>
      <c r="ORT2" s="65"/>
      <c r="ORU2" s="65"/>
      <c r="ORV2" s="65"/>
      <c r="ORW2" s="65"/>
      <c r="ORX2" s="65"/>
      <c r="ORY2" s="65"/>
      <c r="ORZ2" s="65"/>
      <c r="OSA2" s="65"/>
      <c r="OSB2" s="65"/>
      <c r="OSC2" s="65"/>
      <c r="OSD2" s="65"/>
      <c r="OSE2" s="65"/>
      <c r="OSF2" s="65"/>
      <c r="OSG2" s="65"/>
      <c r="OSH2" s="65"/>
      <c r="OSI2" s="65"/>
      <c r="OSJ2" s="65"/>
      <c r="OSK2" s="65"/>
      <c r="OSL2" s="65"/>
      <c r="OSM2" s="65"/>
      <c r="OSN2" s="65"/>
      <c r="OSO2" s="65"/>
      <c r="OSP2" s="65"/>
      <c r="OSQ2" s="65"/>
      <c r="OSR2" s="65"/>
      <c r="OSS2" s="65"/>
      <c r="OST2" s="65"/>
      <c r="OSU2" s="65"/>
      <c r="OSV2" s="65"/>
      <c r="OSW2" s="65"/>
      <c r="OSX2" s="65"/>
      <c r="OSY2" s="65"/>
      <c r="OSZ2" s="65"/>
      <c r="OTA2" s="65"/>
      <c r="OTB2" s="65"/>
      <c r="OTC2" s="65"/>
      <c r="OTD2" s="65"/>
      <c r="OTE2" s="65"/>
      <c r="OTF2" s="65"/>
      <c r="OTG2" s="65"/>
      <c r="OTH2" s="65"/>
      <c r="OTI2" s="65"/>
      <c r="OTJ2" s="65"/>
      <c r="OTK2" s="65"/>
      <c r="OTL2" s="65"/>
      <c r="OTM2" s="65"/>
      <c r="OTN2" s="65"/>
      <c r="OTO2" s="65"/>
      <c r="OTP2" s="65"/>
      <c r="OTQ2" s="65"/>
      <c r="OTR2" s="65"/>
      <c r="OTS2" s="65"/>
      <c r="OTT2" s="65"/>
      <c r="OTU2" s="65"/>
      <c r="OTV2" s="65"/>
      <c r="OTW2" s="65"/>
      <c r="OTX2" s="65"/>
      <c r="OTY2" s="65"/>
      <c r="OTZ2" s="65"/>
      <c r="OUA2" s="65"/>
      <c r="OUB2" s="65"/>
      <c r="OUC2" s="65"/>
      <c r="OUD2" s="65"/>
      <c r="OUE2" s="65"/>
      <c r="OUF2" s="65"/>
      <c r="OUG2" s="65"/>
      <c r="OUH2" s="65"/>
      <c r="OUI2" s="65"/>
      <c r="OUJ2" s="65"/>
      <c r="OUK2" s="65"/>
      <c r="OUL2" s="65"/>
      <c r="OUM2" s="65"/>
      <c r="OUN2" s="65"/>
      <c r="OUO2" s="65"/>
      <c r="OUP2" s="65"/>
      <c r="OUQ2" s="65"/>
      <c r="OUR2" s="65"/>
      <c r="OUS2" s="65"/>
      <c r="OUT2" s="65"/>
      <c r="OUU2" s="65"/>
      <c r="OUV2" s="65"/>
      <c r="OUW2" s="65"/>
      <c r="OUX2" s="65"/>
      <c r="OUY2" s="65"/>
      <c r="OUZ2" s="65"/>
      <c r="OVA2" s="65"/>
      <c r="OVB2" s="65"/>
      <c r="OVC2" s="65"/>
      <c r="OVD2" s="65"/>
      <c r="OVE2" s="65"/>
      <c r="OVF2" s="65"/>
      <c r="OVG2" s="65"/>
      <c r="OVH2" s="65"/>
      <c r="OVI2" s="65"/>
      <c r="OVJ2" s="65"/>
      <c r="OVK2" s="65"/>
      <c r="OVL2" s="65"/>
      <c r="OVM2" s="65"/>
      <c r="OVN2" s="65"/>
      <c r="OVO2" s="65"/>
      <c r="OVP2" s="65"/>
      <c r="OVQ2" s="65"/>
      <c r="OVR2" s="65"/>
      <c r="OVS2" s="65"/>
      <c r="OVT2" s="65"/>
      <c r="OVU2" s="65"/>
      <c r="OVV2" s="65"/>
      <c r="OVW2" s="65"/>
      <c r="OVX2" s="65"/>
      <c r="OVY2" s="65"/>
      <c r="OVZ2" s="65"/>
      <c r="OWA2" s="65"/>
      <c r="OWB2" s="65"/>
      <c r="OWC2" s="65"/>
      <c r="OWD2" s="65"/>
      <c r="OWE2" s="65"/>
      <c r="OWF2" s="65"/>
      <c r="OWG2" s="65"/>
      <c r="OWH2" s="65"/>
      <c r="OWI2" s="65"/>
      <c r="OWJ2" s="65"/>
      <c r="OWK2" s="65"/>
      <c r="OWL2" s="65"/>
      <c r="OWM2" s="65"/>
      <c r="OWN2" s="65"/>
      <c r="OWO2" s="65"/>
      <c r="OWP2" s="65"/>
      <c r="OWQ2" s="65"/>
      <c r="OWR2" s="65"/>
      <c r="OWS2" s="65"/>
      <c r="OWT2" s="65"/>
      <c r="OWU2" s="65"/>
      <c r="OWV2" s="65"/>
      <c r="OWW2" s="65"/>
      <c r="OWX2" s="65"/>
      <c r="OWY2" s="65"/>
      <c r="OWZ2" s="65"/>
      <c r="OXA2" s="65"/>
      <c r="OXB2" s="65"/>
      <c r="OXC2" s="65"/>
      <c r="OXD2" s="65"/>
      <c r="OXE2" s="65"/>
      <c r="OXF2" s="65"/>
      <c r="OXG2" s="65"/>
      <c r="OXH2" s="65"/>
      <c r="OXI2" s="65"/>
      <c r="OXJ2" s="65"/>
      <c r="OXK2" s="65"/>
      <c r="OXL2" s="65"/>
      <c r="OXM2" s="65"/>
      <c r="OXN2" s="65"/>
      <c r="OXO2" s="65"/>
      <c r="OXP2" s="65"/>
      <c r="OXQ2" s="65"/>
      <c r="OXR2" s="65"/>
      <c r="OXS2" s="65"/>
      <c r="OXT2" s="65"/>
      <c r="OXU2" s="65"/>
      <c r="OXV2" s="65"/>
      <c r="OXW2" s="65"/>
      <c r="OXX2" s="65"/>
      <c r="OXY2" s="65"/>
      <c r="OXZ2" s="65"/>
      <c r="OYA2" s="65"/>
      <c r="OYB2" s="65"/>
      <c r="OYC2" s="65"/>
      <c r="OYD2" s="65"/>
      <c r="OYE2" s="65"/>
      <c r="OYF2" s="65"/>
      <c r="OYG2" s="65"/>
      <c r="OYH2" s="65"/>
      <c r="OYI2" s="65"/>
      <c r="OYJ2" s="65"/>
      <c r="OYK2" s="65"/>
      <c r="OYL2" s="65"/>
      <c r="OYM2" s="65"/>
      <c r="OYN2" s="65"/>
      <c r="OYO2" s="65"/>
      <c r="OYP2" s="65"/>
      <c r="OYQ2" s="65"/>
      <c r="OYR2" s="65"/>
      <c r="OYS2" s="65"/>
      <c r="OYT2" s="65"/>
      <c r="OYU2" s="65"/>
      <c r="OYV2" s="65"/>
      <c r="OYW2" s="65"/>
      <c r="OYX2" s="65"/>
      <c r="OYY2" s="65"/>
      <c r="OYZ2" s="65"/>
      <c r="OZA2" s="65"/>
      <c r="OZB2" s="65"/>
      <c r="OZC2" s="65"/>
      <c r="OZD2" s="65"/>
      <c r="OZE2" s="65"/>
      <c r="OZF2" s="65"/>
      <c r="OZG2" s="65"/>
      <c r="OZH2" s="65"/>
      <c r="OZI2" s="65"/>
      <c r="OZJ2" s="65"/>
      <c r="OZK2" s="65"/>
      <c r="OZL2" s="65"/>
      <c r="OZM2" s="65"/>
      <c r="OZN2" s="65"/>
      <c r="OZO2" s="65"/>
      <c r="OZP2" s="65"/>
      <c r="OZQ2" s="65"/>
      <c r="OZR2" s="65"/>
      <c r="OZS2" s="65"/>
      <c r="OZT2" s="65"/>
      <c r="OZU2" s="65"/>
      <c r="OZV2" s="65"/>
      <c r="OZW2" s="65"/>
      <c r="OZX2" s="65"/>
      <c r="OZY2" s="65"/>
      <c r="OZZ2" s="65"/>
      <c r="PAA2" s="65"/>
      <c r="PAB2" s="65"/>
      <c r="PAC2" s="65"/>
      <c r="PAD2" s="65"/>
      <c r="PAE2" s="65"/>
      <c r="PAF2" s="65"/>
      <c r="PAG2" s="65"/>
      <c r="PAH2" s="65"/>
      <c r="PAI2" s="65"/>
      <c r="PAJ2" s="65"/>
      <c r="PAK2" s="65"/>
      <c r="PAL2" s="65"/>
      <c r="PAM2" s="65"/>
      <c r="PAN2" s="65"/>
      <c r="PAO2" s="65"/>
      <c r="PAP2" s="65"/>
      <c r="PAQ2" s="65"/>
      <c r="PAR2" s="65"/>
      <c r="PAS2" s="65"/>
      <c r="PAT2" s="65"/>
      <c r="PAU2" s="65"/>
      <c r="PAV2" s="65"/>
      <c r="PAW2" s="65"/>
      <c r="PAX2" s="65"/>
      <c r="PAY2" s="65"/>
      <c r="PAZ2" s="65"/>
      <c r="PBA2" s="65"/>
      <c r="PBB2" s="65"/>
      <c r="PBC2" s="65"/>
      <c r="PBD2" s="65"/>
      <c r="PBE2" s="65"/>
      <c r="PBF2" s="65"/>
      <c r="PBG2" s="65"/>
      <c r="PBH2" s="65"/>
      <c r="PBI2" s="65"/>
      <c r="PBJ2" s="65"/>
      <c r="PBK2" s="65"/>
      <c r="PBL2" s="65"/>
      <c r="PBM2" s="65"/>
      <c r="PBN2" s="65"/>
      <c r="PBO2" s="65"/>
      <c r="PBP2" s="65"/>
      <c r="PBQ2" s="65"/>
      <c r="PBR2" s="65"/>
      <c r="PBS2" s="65"/>
      <c r="PBT2" s="65"/>
      <c r="PBU2" s="65"/>
      <c r="PBV2" s="65"/>
      <c r="PBW2" s="65"/>
      <c r="PBX2" s="65"/>
      <c r="PBY2" s="65"/>
      <c r="PBZ2" s="65"/>
      <c r="PCA2" s="65"/>
      <c r="PCB2" s="65"/>
      <c r="PCC2" s="65"/>
      <c r="PCD2" s="65"/>
      <c r="PCE2" s="65"/>
      <c r="PCF2" s="65"/>
      <c r="PCG2" s="65"/>
      <c r="PCH2" s="65"/>
      <c r="PCI2" s="65"/>
      <c r="PCJ2" s="65"/>
      <c r="PCK2" s="65"/>
      <c r="PCL2" s="65"/>
      <c r="PCM2" s="65"/>
      <c r="PCN2" s="65"/>
      <c r="PCO2" s="65"/>
      <c r="PCP2" s="65"/>
      <c r="PCQ2" s="65"/>
      <c r="PCR2" s="65"/>
      <c r="PCS2" s="65"/>
      <c r="PCT2" s="65"/>
      <c r="PCU2" s="65"/>
      <c r="PCV2" s="65"/>
      <c r="PCW2" s="65"/>
      <c r="PCX2" s="65"/>
      <c r="PCY2" s="65"/>
      <c r="PCZ2" s="65"/>
      <c r="PDA2" s="65"/>
      <c r="PDB2" s="65"/>
      <c r="PDC2" s="65"/>
      <c r="PDD2" s="65"/>
      <c r="PDE2" s="65"/>
      <c r="PDF2" s="65"/>
      <c r="PDG2" s="65"/>
      <c r="PDH2" s="65"/>
      <c r="PDI2" s="65"/>
      <c r="PDJ2" s="65"/>
      <c r="PDK2" s="65"/>
      <c r="PDL2" s="65"/>
      <c r="PDM2" s="65"/>
      <c r="PDN2" s="65"/>
      <c r="PDO2" s="65"/>
      <c r="PDP2" s="65"/>
      <c r="PDQ2" s="65"/>
      <c r="PDR2" s="65"/>
      <c r="PDS2" s="65"/>
      <c r="PDT2" s="65"/>
      <c r="PDU2" s="65"/>
      <c r="PDV2" s="65"/>
      <c r="PDW2" s="65"/>
      <c r="PDX2" s="65"/>
      <c r="PDY2" s="65"/>
      <c r="PDZ2" s="65"/>
      <c r="PEA2" s="65"/>
      <c r="PEB2" s="65"/>
      <c r="PEC2" s="65"/>
      <c r="PED2" s="65"/>
      <c r="PEE2" s="65"/>
      <c r="PEF2" s="65"/>
      <c r="PEG2" s="65"/>
      <c r="PEH2" s="65"/>
      <c r="PEI2" s="65"/>
      <c r="PEJ2" s="65"/>
      <c r="PEK2" s="65"/>
      <c r="PEL2" s="65"/>
      <c r="PEM2" s="65"/>
      <c r="PEN2" s="65"/>
      <c r="PEO2" s="65"/>
      <c r="PEP2" s="65"/>
      <c r="PEQ2" s="65"/>
      <c r="PER2" s="65"/>
      <c r="PES2" s="65"/>
      <c r="PET2" s="65"/>
      <c r="PEU2" s="65"/>
      <c r="PEV2" s="65"/>
      <c r="PEW2" s="65"/>
      <c r="PEX2" s="65"/>
      <c r="PEY2" s="65"/>
      <c r="PEZ2" s="65"/>
      <c r="PFA2" s="65"/>
      <c r="PFB2" s="65"/>
      <c r="PFC2" s="65"/>
      <c r="PFD2" s="65"/>
      <c r="PFE2" s="65"/>
      <c r="PFF2" s="65"/>
      <c r="PFG2" s="65"/>
      <c r="PFH2" s="65"/>
      <c r="PFI2" s="65"/>
      <c r="PFJ2" s="65"/>
      <c r="PFK2" s="65"/>
      <c r="PFL2" s="65"/>
      <c r="PFM2" s="65"/>
      <c r="PFN2" s="65"/>
      <c r="PFO2" s="65"/>
      <c r="PFP2" s="65"/>
      <c r="PFQ2" s="65"/>
      <c r="PFR2" s="65"/>
      <c r="PFS2" s="65"/>
      <c r="PFT2" s="65"/>
      <c r="PFU2" s="65"/>
      <c r="PFV2" s="65"/>
      <c r="PFW2" s="65"/>
      <c r="PFX2" s="65"/>
      <c r="PFY2" s="65"/>
      <c r="PFZ2" s="65"/>
      <c r="PGA2" s="65"/>
      <c r="PGB2" s="65"/>
      <c r="PGC2" s="65"/>
      <c r="PGD2" s="65"/>
      <c r="PGE2" s="65"/>
      <c r="PGF2" s="65"/>
      <c r="PGG2" s="65"/>
      <c r="PGH2" s="65"/>
      <c r="PGI2" s="65"/>
      <c r="PGJ2" s="65"/>
      <c r="PGK2" s="65"/>
      <c r="PGL2" s="65"/>
      <c r="PGM2" s="65"/>
      <c r="PGN2" s="65"/>
      <c r="PGO2" s="65"/>
      <c r="PGP2" s="65"/>
      <c r="PGQ2" s="65"/>
      <c r="PGR2" s="65"/>
      <c r="PGS2" s="65"/>
      <c r="PGT2" s="65"/>
      <c r="PGU2" s="65"/>
      <c r="PGV2" s="65"/>
      <c r="PGW2" s="65"/>
      <c r="PGX2" s="65"/>
      <c r="PGY2" s="65"/>
      <c r="PGZ2" s="65"/>
      <c r="PHA2" s="65"/>
      <c r="PHB2" s="65"/>
      <c r="PHC2" s="65"/>
      <c r="PHD2" s="65"/>
      <c r="PHE2" s="65"/>
      <c r="PHF2" s="65"/>
      <c r="PHG2" s="65"/>
      <c r="PHH2" s="65"/>
      <c r="PHI2" s="65"/>
      <c r="PHJ2" s="65"/>
      <c r="PHK2" s="65"/>
      <c r="PHL2" s="65"/>
      <c r="PHM2" s="65"/>
      <c r="PHN2" s="65"/>
      <c r="PHO2" s="65"/>
      <c r="PHP2" s="65"/>
      <c r="PHQ2" s="65"/>
      <c r="PHR2" s="65"/>
      <c r="PHS2" s="65"/>
      <c r="PHT2" s="65"/>
      <c r="PHU2" s="65"/>
      <c r="PHV2" s="65"/>
      <c r="PHW2" s="65"/>
      <c r="PHX2" s="65"/>
      <c r="PHY2" s="65"/>
      <c r="PHZ2" s="65"/>
      <c r="PIA2" s="65"/>
      <c r="PIB2" s="65"/>
      <c r="PIC2" s="65"/>
      <c r="PID2" s="65"/>
      <c r="PIE2" s="65"/>
      <c r="PIF2" s="65"/>
      <c r="PIG2" s="65"/>
      <c r="PIH2" s="65"/>
      <c r="PII2" s="65"/>
      <c r="PIJ2" s="65"/>
      <c r="PIK2" s="65"/>
      <c r="PIL2" s="65"/>
      <c r="PIM2" s="65"/>
      <c r="PIN2" s="65"/>
      <c r="PIO2" s="65"/>
      <c r="PIP2" s="65"/>
      <c r="PIQ2" s="65"/>
      <c r="PIR2" s="65"/>
      <c r="PIS2" s="65"/>
      <c r="PIT2" s="65"/>
      <c r="PIU2" s="65"/>
      <c r="PIV2" s="65"/>
      <c r="PIW2" s="65"/>
      <c r="PIX2" s="65"/>
      <c r="PIY2" s="65"/>
      <c r="PIZ2" s="65"/>
      <c r="PJA2" s="65"/>
      <c r="PJB2" s="65"/>
      <c r="PJC2" s="65"/>
      <c r="PJD2" s="65"/>
      <c r="PJE2" s="65"/>
      <c r="PJF2" s="65"/>
      <c r="PJG2" s="65"/>
      <c r="PJH2" s="65"/>
      <c r="PJI2" s="65"/>
      <c r="PJJ2" s="65"/>
      <c r="PJK2" s="65"/>
      <c r="PJL2" s="65"/>
      <c r="PJM2" s="65"/>
      <c r="PJN2" s="65"/>
      <c r="PJO2" s="65"/>
      <c r="PJP2" s="65"/>
      <c r="PJQ2" s="65"/>
      <c r="PJR2" s="65"/>
      <c r="PJS2" s="65"/>
      <c r="PJT2" s="65"/>
      <c r="PJU2" s="65"/>
      <c r="PJV2" s="65"/>
      <c r="PJW2" s="65"/>
      <c r="PJX2" s="65"/>
      <c r="PJY2" s="65"/>
      <c r="PJZ2" s="65"/>
      <c r="PKA2" s="65"/>
      <c r="PKB2" s="65"/>
      <c r="PKC2" s="65"/>
      <c r="PKD2" s="65"/>
      <c r="PKE2" s="65"/>
      <c r="PKF2" s="65"/>
      <c r="PKG2" s="65"/>
      <c r="PKH2" s="65"/>
      <c r="PKI2" s="65"/>
      <c r="PKJ2" s="65"/>
      <c r="PKK2" s="65"/>
      <c r="PKL2" s="65"/>
      <c r="PKM2" s="65"/>
      <c r="PKN2" s="65"/>
      <c r="PKO2" s="65"/>
      <c r="PKP2" s="65"/>
      <c r="PKQ2" s="65"/>
      <c r="PKR2" s="65"/>
      <c r="PKS2" s="65"/>
      <c r="PKT2" s="65"/>
      <c r="PKU2" s="65"/>
      <c r="PKV2" s="65"/>
      <c r="PKW2" s="65"/>
      <c r="PKX2" s="65"/>
      <c r="PKY2" s="65"/>
      <c r="PKZ2" s="65"/>
      <c r="PLA2" s="65"/>
      <c r="PLB2" s="65"/>
      <c r="PLC2" s="65"/>
      <c r="PLD2" s="65"/>
      <c r="PLE2" s="65"/>
      <c r="PLF2" s="65"/>
      <c r="PLG2" s="65"/>
      <c r="PLH2" s="65"/>
      <c r="PLI2" s="65"/>
      <c r="PLJ2" s="65"/>
      <c r="PLK2" s="65"/>
      <c r="PLL2" s="65"/>
      <c r="PLM2" s="65"/>
      <c r="PLN2" s="65"/>
      <c r="PLO2" s="65"/>
      <c r="PLP2" s="65"/>
      <c r="PLQ2" s="65"/>
      <c r="PLR2" s="65"/>
      <c r="PLS2" s="65"/>
      <c r="PLT2" s="65"/>
      <c r="PLU2" s="65"/>
      <c r="PLV2" s="65"/>
      <c r="PLW2" s="65"/>
      <c r="PLX2" s="65"/>
      <c r="PLY2" s="65"/>
      <c r="PLZ2" s="65"/>
      <c r="PMA2" s="65"/>
      <c r="PMB2" s="65"/>
      <c r="PMC2" s="65"/>
      <c r="PMD2" s="65"/>
      <c r="PME2" s="65"/>
      <c r="PMF2" s="65"/>
      <c r="PMG2" s="65"/>
      <c r="PMH2" s="65"/>
      <c r="PMI2" s="65"/>
      <c r="PMJ2" s="65"/>
      <c r="PMK2" s="65"/>
      <c r="PML2" s="65"/>
      <c r="PMM2" s="65"/>
      <c r="PMN2" s="65"/>
      <c r="PMO2" s="65"/>
      <c r="PMP2" s="65"/>
      <c r="PMQ2" s="65"/>
      <c r="PMR2" s="65"/>
      <c r="PMS2" s="65"/>
      <c r="PMT2" s="65"/>
      <c r="PMU2" s="65"/>
      <c r="PMV2" s="65"/>
      <c r="PMW2" s="65"/>
      <c r="PMX2" s="65"/>
      <c r="PMY2" s="65"/>
      <c r="PMZ2" s="65"/>
      <c r="PNA2" s="65"/>
      <c r="PNB2" s="65"/>
      <c r="PNC2" s="65"/>
      <c r="PND2" s="65"/>
      <c r="PNE2" s="65"/>
      <c r="PNF2" s="65"/>
      <c r="PNG2" s="65"/>
      <c r="PNH2" s="65"/>
      <c r="PNI2" s="65"/>
      <c r="PNJ2" s="65"/>
      <c r="PNK2" s="65"/>
      <c r="PNL2" s="65"/>
      <c r="PNM2" s="65"/>
      <c r="PNN2" s="65"/>
      <c r="PNO2" s="65"/>
      <c r="PNP2" s="65"/>
      <c r="PNQ2" s="65"/>
      <c r="PNR2" s="65"/>
      <c r="PNS2" s="65"/>
      <c r="PNT2" s="65"/>
      <c r="PNU2" s="65"/>
      <c r="PNV2" s="65"/>
      <c r="PNW2" s="65"/>
      <c r="PNX2" s="65"/>
      <c r="PNY2" s="65"/>
      <c r="PNZ2" s="65"/>
      <c r="POA2" s="65"/>
      <c r="POB2" s="65"/>
      <c r="POC2" s="65"/>
      <c r="POD2" s="65"/>
      <c r="POE2" s="65"/>
      <c r="POF2" s="65"/>
      <c r="POG2" s="65"/>
      <c r="POH2" s="65"/>
      <c r="POI2" s="65"/>
      <c r="POJ2" s="65"/>
      <c r="POK2" s="65"/>
      <c r="POL2" s="65"/>
      <c r="POM2" s="65"/>
      <c r="PON2" s="65"/>
      <c r="POO2" s="65"/>
      <c r="POP2" s="65"/>
      <c r="POQ2" s="65"/>
      <c r="POR2" s="65"/>
      <c r="POS2" s="65"/>
      <c r="POT2" s="65"/>
      <c r="POU2" s="65"/>
      <c r="POV2" s="65"/>
      <c r="POW2" s="65"/>
      <c r="POX2" s="65"/>
      <c r="POY2" s="65"/>
      <c r="POZ2" s="65"/>
      <c r="PPA2" s="65"/>
      <c r="PPB2" s="65"/>
      <c r="PPC2" s="65"/>
      <c r="PPD2" s="65"/>
      <c r="PPE2" s="65"/>
      <c r="PPF2" s="65"/>
      <c r="PPG2" s="65"/>
      <c r="PPH2" s="65"/>
      <c r="PPI2" s="65"/>
      <c r="PPJ2" s="65"/>
      <c r="PPK2" s="65"/>
      <c r="PPL2" s="65"/>
      <c r="PPM2" s="65"/>
      <c r="PPN2" s="65"/>
      <c r="PPO2" s="65"/>
      <c r="PPP2" s="65"/>
      <c r="PPQ2" s="65"/>
      <c r="PPR2" s="65"/>
      <c r="PPS2" s="65"/>
      <c r="PPT2" s="65"/>
      <c r="PPU2" s="65"/>
      <c r="PPV2" s="65"/>
      <c r="PPW2" s="65"/>
      <c r="PPX2" s="65"/>
      <c r="PPY2" s="65"/>
      <c r="PPZ2" s="65"/>
      <c r="PQA2" s="65"/>
      <c r="PQB2" s="65"/>
      <c r="PQC2" s="65"/>
      <c r="PQD2" s="65"/>
      <c r="PQE2" s="65"/>
      <c r="PQF2" s="65"/>
      <c r="PQG2" s="65"/>
      <c r="PQH2" s="65"/>
      <c r="PQI2" s="65"/>
      <c r="PQJ2" s="65"/>
      <c r="PQK2" s="65"/>
      <c r="PQL2" s="65"/>
      <c r="PQM2" s="65"/>
      <c r="PQN2" s="65"/>
      <c r="PQO2" s="65"/>
      <c r="PQP2" s="65"/>
      <c r="PQQ2" s="65"/>
      <c r="PQR2" s="65"/>
      <c r="PQS2" s="65"/>
      <c r="PQT2" s="65"/>
      <c r="PQU2" s="65"/>
      <c r="PQV2" s="65"/>
      <c r="PQW2" s="65"/>
      <c r="PQX2" s="65"/>
      <c r="PQY2" s="65"/>
      <c r="PQZ2" s="65"/>
      <c r="PRA2" s="65"/>
      <c r="PRB2" s="65"/>
      <c r="PRC2" s="65"/>
      <c r="PRD2" s="65"/>
      <c r="PRE2" s="65"/>
      <c r="PRF2" s="65"/>
      <c r="PRG2" s="65"/>
      <c r="PRH2" s="65"/>
      <c r="PRI2" s="65"/>
      <c r="PRJ2" s="65"/>
      <c r="PRK2" s="65"/>
      <c r="PRL2" s="65"/>
      <c r="PRM2" s="65"/>
      <c r="PRN2" s="65"/>
      <c r="PRO2" s="65"/>
      <c r="PRP2" s="65"/>
      <c r="PRQ2" s="65"/>
      <c r="PRR2" s="65"/>
      <c r="PRS2" s="65"/>
      <c r="PRT2" s="65"/>
      <c r="PRU2" s="65"/>
      <c r="PRV2" s="65"/>
      <c r="PRW2" s="65"/>
      <c r="PRX2" s="65"/>
      <c r="PRY2" s="65"/>
      <c r="PRZ2" s="65"/>
      <c r="PSA2" s="65"/>
      <c r="PSB2" s="65"/>
      <c r="PSC2" s="65"/>
      <c r="PSD2" s="65"/>
      <c r="PSE2" s="65"/>
      <c r="PSF2" s="65"/>
      <c r="PSG2" s="65"/>
      <c r="PSH2" s="65"/>
      <c r="PSI2" s="65"/>
      <c r="PSJ2" s="65"/>
      <c r="PSK2" s="65"/>
      <c r="PSL2" s="65"/>
      <c r="PSM2" s="65"/>
      <c r="PSN2" s="65"/>
      <c r="PSO2" s="65"/>
      <c r="PSP2" s="65"/>
      <c r="PSQ2" s="65"/>
      <c r="PSR2" s="65"/>
      <c r="PSS2" s="65"/>
      <c r="PST2" s="65"/>
      <c r="PSU2" s="65"/>
      <c r="PSV2" s="65"/>
      <c r="PSW2" s="65"/>
      <c r="PSX2" s="65"/>
      <c r="PSY2" s="65"/>
      <c r="PSZ2" s="65"/>
      <c r="PTA2" s="65"/>
      <c r="PTB2" s="65"/>
      <c r="PTC2" s="65"/>
      <c r="PTD2" s="65"/>
      <c r="PTE2" s="65"/>
      <c r="PTF2" s="65"/>
      <c r="PTG2" s="65"/>
      <c r="PTH2" s="65"/>
      <c r="PTI2" s="65"/>
      <c r="PTJ2" s="65"/>
      <c r="PTK2" s="65"/>
      <c r="PTL2" s="65"/>
      <c r="PTM2" s="65"/>
      <c r="PTN2" s="65"/>
      <c r="PTO2" s="65"/>
      <c r="PTP2" s="65"/>
      <c r="PTQ2" s="65"/>
      <c r="PTR2" s="65"/>
      <c r="PTS2" s="65"/>
      <c r="PTT2" s="65"/>
      <c r="PTU2" s="65"/>
      <c r="PTV2" s="65"/>
      <c r="PTW2" s="65"/>
      <c r="PTX2" s="65"/>
      <c r="PTY2" s="65"/>
      <c r="PTZ2" s="65"/>
      <c r="PUA2" s="65"/>
      <c r="PUB2" s="65"/>
      <c r="PUC2" s="65"/>
      <c r="PUD2" s="65"/>
      <c r="PUE2" s="65"/>
      <c r="PUF2" s="65"/>
      <c r="PUG2" s="65"/>
      <c r="PUH2" s="65"/>
      <c r="PUI2" s="65"/>
      <c r="PUJ2" s="65"/>
      <c r="PUK2" s="65"/>
      <c r="PUL2" s="65"/>
      <c r="PUM2" s="65"/>
      <c r="PUN2" s="65"/>
      <c r="PUO2" s="65"/>
      <c r="PUP2" s="65"/>
      <c r="PUQ2" s="65"/>
      <c r="PUR2" s="65"/>
      <c r="PUS2" s="65"/>
      <c r="PUT2" s="65"/>
      <c r="PUU2" s="65"/>
      <c r="PUV2" s="65"/>
      <c r="PUW2" s="65"/>
      <c r="PUX2" s="65"/>
      <c r="PUY2" s="65"/>
      <c r="PUZ2" s="65"/>
      <c r="PVA2" s="65"/>
      <c r="PVB2" s="65"/>
      <c r="PVC2" s="65"/>
      <c r="PVD2" s="65"/>
      <c r="PVE2" s="65"/>
      <c r="PVF2" s="65"/>
      <c r="PVG2" s="65"/>
      <c r="PVH2" s="65"/>
      <c r="PVI2" s="65"/>
      <c r="PVJ2" s="65"/>
      <c r="PVK2" s="65"/>
      <c r="PVL2" s="65"/>
      <c r="PVM2" s="65"/>
      <c r="PVN2" s="65"/>
      <c r="PVO2" s="65"/>
      <c r="PVP2" s="65"/>
      <c r="PVQ2" s="65"/>
      <c r="PVR2" s="65"/>
      <c r="PVS2" s="65"/>
      <c r="PVT2" s="65"/>
      <c r="PVU2" s="65"/>
      <c r="PVV2" s="65"/>
      <c r="PVW2" s="65"/>
      <c r="PVX2" s="65"/>
      <c r="PVY2" s="65"/>
      <c r="PVZ2" s="65"/>
      <c r="PWA2" s="65"/>
      <c r="PWB2" s="65"/>
      <c r="PWC2" s="65"/>
      <c r="PWD2" s="65"/>
      <c r="PWE2" s="65"/>
      <c r="PWF2" s="65"/>
      <c r="PWG2" s="65"/>
      <c r="PWH2" s="65"/>
      <c r="PWI2" s="65"/>
      <c r="PWJ2" s="65"/>
      <c r="PWK2" s="65"/>
      <c r="PWL2" s="65"/>
      <c r="PWM2" s="65"/>
      <c r="PWN2" s="65"/>
      <c r="PWO2" s="65"/>
      <c r="PWP2" s="65"/>
      <c r="PWQ2" s="65"/>
      <c r="PWR2" s="65"/>
      <c r="PWS2" s="65"/>
      <c r="PWT2" s="65"/>
      <c r="PWU2" s="65"/>
      <c r="PWV2" s="65"/>
      <c r="PWW2" s="65"/>
      <c r="PWX2" s="65"/>
      <c r="PWY2" s="65"/>
      <c r="PWZ2" s="65"/>
      <c r="PXA2" s="65"/>
      <c r="PXB2" s="65"/>
      <c r="PXC2" s="65"/>
      <c r="PXD2" s="65"/>
      <c r="PXE2" s="65"/>
      <c r="PXF2" s="65"/>
      <c r="PXG2" s="65"/>
      <c r="PXH2" s="65"/>
      <c r="PXI2" s="65"/>
      <c r="PXJ2" s="65"/>
      <c r="PXK2" s="65"/>
      <c r="PXL2" s="65"/>
      <c r="PXM2" s="65"/>
      <c r="PXN2" s="65"/>
      <c r="PXO2" s="65"/>
      <c r="PXP2" s="65"/>
      <c r="PXQ2" s="65"/>
      <c r="PXR2" s="65"/>
      <c r="PXS2" s="65"/>
      <c r="PXT2" s="65"/>
      <c r="PXU2" s="65"/>
      <c r="PXV2" s="65"/>
      <c r="PXW2" s="65"/>
      <c r="PXX2" s="65"/>
      <c r="PXY2" s="65"/>
      <c r="PXZ2" s="65"/>
      <c r="PYA2" s="65"/>
      <c r="PYB2" s="65"/>
      <c r="PYC2" s="65"/>
      <c r="PYD2" s="65"/>
      <c r="PYE2" s="65"/>
      <c r="PYF2" s="65"/>
      <c r="PYG2" s="65"/>
      <c r="PYH2" s="65"/>
      <c r="PYI2" s="65"/>
      <c r="PYJ2" s="65"/>
      <c r="PYK2" s="65"/>
      <c r="PYL2" s="65"/>
      <c r="PYM2" s="65"/>
      <c r="PYN2" s="65"/>
      <c r="PYO2" s="65"/>
      <c r="PYP2" s="65"/>
      <c r="PYQ2" s="65"/>
      <c r="PYR2" s="65"/>
      <c r="PYS2" s="65"/>
      <c r="PYT2" s="65"/>
      <c r="PYU2" s="65"/>
      <c r="PYV2" s="65"/>
      <c r="PYW2" s="65"/>
      <c r="PYX2" s="65"/>
      <c r="PYY2" s="65"/>
      <c r="PYZ2" s="65"/>
      <c r="PZA2" s="65"/>
      <c r="PZB2" s="65"/>
      <c r="PZC2" s="65"/>
      <c r="PZD2" s="65"/>
      <c r="PZE2" s="65"/>
      <c r="PZF2" s="65"/>
      <c r="PZG2" s="65"/>
      <c r="PZH2" s="65"/>
      <c r="PZI2" s="65"/>
      <c r="PZJ2" s="65"/>
      <c r="PZK2" s="65"/>
      <c r="PZL2" s="65"/>
      <c r="PZM2" s="65"/>
      <c r="PZN2" s="65"/>
      <c r="PZO2" s="65"/>
      <c r="PZP2" s="65"/>
      <c r="PZQ2" s="65"/>
      <c r="PZR2" s="65"/>
      <c r="PZS2" s="65"/>
      <c r="PZT2" s="65"/>
      <c r="PZU2" s="65"/>
      <c r="PZV2" s="65"/>
      <c r="PZW2" s="65"/>
      <c r="PZX2" s="65"/>
      <c r="PZY2" s="65"/>
      <c r="PZZ2" s="65"/>
      <c r="QAA2" s="65"/>
      <c r="QAB2" s="65"/>
      <c r="QAC2" s="65"/>
      <c r="QAD2" s="65"/>
      <c r="QAE2" s="65"/>
      <c r="QAF2" s="65"/>
      <c r="QAG2" s="65"/>
      <c r="QAH2" s="65"/>
      <c r="QAI2" s="65"/>
      <c r="QAJ2" s="65"/>
      <c r="QAK2" s="65"/>
      <c r="QAL2" s="65"/>
      <c r="QAM2" s="65"/>
      <c r="QAN2" s="65"/>
      <c r="QAO2" s="65"/>
      <c r="QAP2" s="65"/>
      <c r="QAQ2" s="65"/>
      <c r="QAR2" s="65"/>
      <c r="QAS2" s="65"/>
      <c r="QAT2" s="65"/>
      <c r="QAU2" s="65"/>
      <c r="QAV2" s="65"/>
      <c r="QAW2" s="65"/>
      <c r="QAX2" s="65"/>
      <c r="QAY2" s="65"/>
      <c r="QAZ2" s="65"/>
      <c r="QBA2" s="65"/>
      <c r="QBB2" s="65"/>
      <c r="QBC2" s="65"/>
      <c r="QBD2" s="65"/>
      <c r="QBE2" s="65"/>
      <c r="QBF2" s="65"/>
      <c r="QBG2" s="65"/>
      <c r="QBH2" s="65"/>
      <c r="QBI2" s="65"/>
      <c r="QBJ2" s="65"/>
      <c r="QBK2" s="65"/>
      <c r="QBL2" s="65"/>
      <c r="QBM2" s="65"/>
      <c r="QBN2" s="65"/>
      <c r="QBO2" s="65"/>
      <c r="QBP2" s="65"/>
      <c r="QBQ2" s="65"/>
      <c r="QBR2" s="65"/>
      <c r="QBS2" s="65"/>
      <c r="QBT2" s="65"/>
      <c r="QBU2" s="65"/>
      <c r="QBV2" s="65"/>
      <c r="QBW2" s="65"/>
      <c r="QBX2" s="65"/>
      <c r="QBY2" s="65"/>
      <c r="QBZ2" s="65"/>
      <c r="QCA2" s="65"/>
      <c r="QCB2" s="65"/>
      <c r="QCC2" s="65"/>
      <c r="QCD2" s="65"/>
      <c r="QCE2" s="65"/>
      <c r="QCF2" s="65"/>
      <c r="QCG2" s="65"/>
      <c r="QCH2" s="65"/>
      <c r="QCI2" s="65"/>
      <c r="QCJ2" s="65"/>
      <c r="QCK2" s="65"/>
      <c r="QCL2" s="65"/>
      <c r="QCM2" s="65"/>
      <c r="QCN2" s="65"/>
      <c r="QCO2" s="65"/>
      <c r="QCP2" s="65"/>
      <c r="QCQ2" s="65"/>
      <c r="QCR2" s="65"/>
      <c r="QCS2" s="65"/>
      <c r="QCT2" s="65"/>
      <c r="QCU2" s="65"/>
      <c r="QCV2" s="65"/>
      <c r="QCW2" s="65"/>
      <c r="QCX2" s="65"/>
      <c r="QCY2" s="65"/>
      <c r="QCZ2" s="65"/>
      <c r="QDA2" s="65"/>
      <c r="QDB2" s="65"/>
      <c r="QDC2" s="65"/>
      <c r="QDD2" s="65"/>
      <c r="QDE2" s="65"/>
      <c r="QDF2" s="65"/>
      <c r="QDG2" s="65"/>
      <c r="QDH2" s="65"/>
      <c r="QDI2" s="65"/>
      <c r="QDJ2" s="65"/>
      <c r="QDK2" s="65"/>
      <c r="QDL2" s="65"/>
      <c r="QDM2" s="65"/>
      <c r="QDN2" s="65"/>
      <c r="QDO2" s="65"/>
      <c r="QDP2" s="65"/>
      <c r="QDQ2" s="65"/>
      <c r="QDR2" s="65"/>
      <c r="QDS2" s="65"/>
      <c r="QDT2" s="65"/>
      <c r="QDU2" s="65"/>
      <c r="QDV2" s="65"/>
      <c r="QDW2" s="65"/>
      <c r="QDX2" s="65"/>
      <c r="QDY2" s="65"/>
      <c r="QDZ2" s="65"/>
      <c r="QEA2" s="65"/>
      <c r="QEB2" s="65"/>
      <c r="QEC2" s="65"/>
      <c r="QED2" s="65"/>
      <c r="QEE2" s="65"/>
      <c r="QEF2" s="65"/>
      <c r="QEG2" s="65"/>
      <c r="QEH2" s="65"/>
      <c r="QEI2" s="65"/>
      <c r="QEJ2" s="65"/>
      <c r="QEK2" s="65"/>
      <c r="QEL2" s="65"/>
      <c r="QEM2" s="65"/>
      <c r="QEN2" s="65"/>
      <c r="QEO2" s="65"/>
      <c r="QEP2" s="65"/>
      <c r="QEQ2" s="65"/>
      <c r="QER2" s="65"/>
      <c r="QES2" s="65"/>
      <c r="QET2" s="65"/>
      <c r="QEU2" s="65"/>
      <c r="QEV2" s="65"/>
      <c r="QEW2" s="65"/>
      <c r="QEX2" s="65"/>
      <c r="QEY2" s="65"/>
      <c r="QEZ2" s="65"/>
      <c r="QFA2" s="65"/>
      <c r="QFB2" s="65"/>
      <c r="QFC2" s="65"/>
      <c r="QFD2" s="65"/>
      <c r="QFE2" s="65"/>
      <c r="QFF2" s="65"/>
      <c r="QFG2" s="65"/>
      <c r="QFH2" s="65"/>
      <c r="QFI2" s="65"/>
      <c r="QFJ2" s="65"/>
      <c r="QFK2" s="65"/>
      <c r="QFL2" s="65"/>
      <c r="QFM2" s="65"/>
      <c r="QFN2" s="65"/>
      <c r="QFO2" s="65"/>
      <c r="QFP2" s="65"/>
      <c r="QFQ2" s="65"/>
      <c r="QFR2" s="65"/>
      <c r="QFS2" s="65"/>
      <c r="QFT2" s="65"/>
      <c r="QFU2" s="65"/>
      <c r="QFV2" s="65"/>
      <c r="QFW2" s="65"/>
      <c r="QFX2" s="65"/>
      <c r="QFY2" s="65"/>
      <c r="QFZ2" s="65"/>
      <c r="QGA2" s="65"/>
      <c r="QGB2" s="65"/>
      <c r="QGC2" s="65"/>
      <c r="QGD2" s="65"/>
      <c r="QGE2" s="65"/>
      <c r="QGF2" s="65"/>
      <c r="QGG2" s="65"/>
      <c r="QGH2" s="65"/>
      <c r="QGI2" s="65"/>
      <c r="QGJ2" s="65"/>
      <c r="QGK2" s="65"/>
      <c r="QGL2" s="65"/>
      <c r="QGM2" s="65"/>
      <c r="QGN2" s="65"/>
      <c r="QGO2" s="65"/>
      <c r="QGP2" s="65"/>
      <c r="QGQ2" s="65"/>
      <c r="QGR2" s="65"/>
      <c r="QGS2" s="65"/>
      <c r="QGT2" s="65"/>
      <c r="QGU2" s="65"/>
      <c r="QGV2" s="65"/>
      <c r="QGW2" s="65"/>
      <c r="QGX2" s="65"/>
      <c r="QGY2" s="65"/>
      <c r="QGZ2" s="65"/>
      <c r="QHA2" s="65"/>
      <c r="QHB2" s="65"/>
      <c r="QHC2" s="65"/>
      <c r="QHD2" s="65"/>
      <c r="QHE2" s="65"/>
      <c r="QHF2" s="65"/>
      <c r="QHG2" s="65"/>
      <c r="QHH2" s="65"/>
      <c r="QHI2" s="65"/>
      <c r="QHJ2" s="65"/>
      <c r="QHK2" s="65"/>
      <c r="QHL2" s="65"/>
      <c r="QHM2" s="65"/>
      <c r="QHN2" s="65"/>
      <c r="QHO2" s="65"/>
      <c r="QHP2" s="65"/>
      <c r="QHQ2" s="65"/>
      <c r="QHR2" s="65"/>
      <c r="QHS2" s="65"/>
      <c r="QHT2" s="65"/>
      <c r="QHU2" s="65"/>
      <c r="QHV2" s="65"/>
      <c r="QHW2" s="65"/>
      <c r="QHX2" s="65"/>
      <c r="QHY2" s="65"/>
      <c r="QHZ2" s="65"/>
      <c r="QIA2" s="65"/>
      <c r="QIB2" s="65"/>
      <c r="QIC2" s="65"/>
      <c r="QID2" s="65"/>
      <c r="QIE2" s="65"/>
      <c r="QIF2" s="65"/>
      <c r="QIG2" s="65"/>
      <c r="QIH2" s="65"/>
      <c r="QII2" s="65"/>
      <c r="QIJ2" s="65"/>
      <c r="QIK2" s="65"/>
      <c r="QIL2" s="65"/>
      <c r="QIM2" s="65"/>
      <c r="QIN2" s="65"/>
      <c r="QIO2" s="65"/>
      <c r="QIP2" s="65"/>
      <c r="QIQ2" s="65"/>
      <c r="QIR2" s="65"/>
      <c r="QIS2" s="65"/>
      <c r="QIT2" s="65"/>
      <c r="QIU2" s="65"/>
      <c r="QIV2" s="65"/>
      <c r="QIW2" s="65"/>
      <c r="QIX2" s="65"/>
      <c r="QIY2" s="65"/>
      <c r="QIZ2" s="65"/>
      <c r="QJA2" s="65"/>
      <c r="QJB2" s="65"/>
      <c r="QJC2" s="65"/>
      <c r="QJD2" s="65"/>
      <c r="QJE2" s="65"/>
      <c r="QJF2" s="65"/>
      <c r="QJG2" s="65"/>
      <c r="QJH2" s="65"/>
      <c r="QJI2" s="65"/>
      <c r="QJJ2" s="65"/>
      <c r="QJK2" s="65"/>
      <c r="QJL2" s="65"/>
      <c r="QJM2" s="65"/>
      <c r="QJN2" s="65"/>
      <c r="QJO2" s="65"/>
      <c r="QJP2" s="65"/>
      <c r="QJQ2" s="65"/>
      <c r="QJR2" s="65"/>
      <c r="QJS2" s="65"/>
      <c r="QJT2" s="65"/>
      <c r="QJU2" s="65"/>
      <c r="QJV2" s="65"/>
      <c r="QJW2" s="65"/>
      <c r="QJX2" s="65"/>
      <c r="QJY2" s="65"/>
      <c r="QJZ2" s="65"/>
      <c r="QKA2" s="65"/>
      <c r="QKB2" s="65"/>
      <c r="QKC2" s="65"/>
      <c r="QKD2" s="65"/>
      <c r="QKE2" s="65"/>
      <c r="QKF2" s="65"/>
      <c r="QKG2" s="65"/>
      <c r="QKH2" s="65"/>
      <c r="QKI2" s="65"/>
      <c r="QKJ2" s="65"/>
      <c r="QKK2" s="65"/>
      <c r="QKL2" s="65"/>
      <c r="QKM2" s="65"/>
      <c r="QKN2" s="65"/>
      <c r="QKO2" s="65"/>
      <c r="QKP2" s="65"/>
      <c r="QKQ2" s="65"/>
      <c r="QKR2" s="65"/>
      <c r="QKS2" s="65"/>
      <c r="QKT2" s="65"/>
      <c r="QKU2" s="65"/>
      <c r="QKV2" s="65"/>
      <c r="QKW2" s="65"/>
      <c r="QKX2" s="65"/>
      <c r="QKY2" s="65"/>
      <c r="QKZ2" s="65"/>
      <c r="QLA2" s="65"/>
      <c r="QLB2" s="65"/>
      <c r="QLC2" s="65"/>
      <c r="QLD2" s="65"/>
      <c r="QLE2" s="65"/>
      <c r="QLF2" s="65"/>
      <c r="QLG2" s="65"/>
      <c r="QLH2" s="65"/>
      <c r="QLI2" s="65"/>
      <c r="QLJ2" s="65"/>
      <c r="QLK2" s="65"/>
      <c r="QLL2" s="65"/>
      <c r="QLM2" s="65"/>
      <c r="QLN2" s="65"/>
      <c r="QLO2" s="65"/>
      <c r="QLP2" s="65"/>
      <c r="QLQ2" s="65"/>
      <c r="QLR2" s="65"/>
      <c r="QLS2" s="65"/>
      <c r="QLT2" s="65"/>
      <c r="QLU2" s="65"/>
      <c r="QLV2" s="65"/>
      <c r="QLW2" s="65"/>
      <c r="QLX2" s="65"/>
      <c r="QLY2" s="65"/>
      <c r="QLZ2" s="65"/>
      <c r="QMA2" s="65"/>
      <c r="QMB2" s="65"/>
      <c r="QMC2" s="65"/>
      <c r="QMD2" s="65"/>
      <c r="QME2" s="65"/>
      <c r="QMF2" s="65"/>
      <c r="QMG2" s="65"/>
      <c r="QMH2" s="65"/>
      <c r="QMI2" s="65"/>
      <c r="QMJ2" s="65"/>
      <c r="QMK2" s="65"/>
      <c r="QML2" s="65"/>
      <c r="QMM2" s="65"/>
      <c r="QMN2" s="65"/>
      <c r="QMO2" s="65"/>
      <c r="QMP2" s="65"/>
      <c r="QMQ2" s="65"/>
      <c r="QMR2" s="65"/>
      <c r="QMS2" s="65"/>
      <c r="QMT2" s="65"/>
      <c r="QMU2" s="65"/>
      <c r="QMV2" s="65"/>
      <c r="QMW2" s="65"/>
      <c r="QMX2" s="65"/>
      <c r="QMY2" s="65"/>
      <c r="QMZ2" s="65"/>
      <c r="QNA2" s="65"/>
      <c r="QNB2" s="65"/>
      <c r="QNC2" s="65"/>
      <c r="QND2" s="65"/>
      <c r="QNE2" s="65"/>
      <c r="QNF2" s="65"/>
      <c r="QNG2" s="65"/>
      <c r="QNH2" s="65"/>
      <c r="QNI2" s="65"/>
      <c r="QNJ2" s="65"/>
      <c r="QNK2" s="65"/>
      <c r="QNL2" s="65"/>
      <c r="QNM2" s="65"/>
      <c r="QNN2" s="65"/>
      <c r="QNO2" s="65"/>
      <c r="QNP2" s="65"/>
      <c r="QNQ2" s="65"/>
      <c r="QNR2" s="65"/>
      <c r="QNS2" s="65"/>
      <c r="QNT2" s="65"/>
      <c r="QNU2" s="65"/>
      <c r="QNV2" s="65"/>
      <c r="QNW2" s="65"/>
      <c r="QNX2" s="65"/>
      <c r="QNY2" s="65"/>
      <c r="QNZ2" s="65"/>
      <c r="QOA2" s="65"/>
      <c r="QOB2" s="65"/>
      <c r="QOC2" s="65"/>
      <c r="QOD2" s="65"/>
      <c r="QOE2" s="65"/>
      <c r="QOF2" s="65"/>
      <c r="QOG2" s="65"/>
      <c r="QOH2" s="65"/>
      <c r="QOI2" s="65"/>
      <c r="QOJ2" s="65"/>
      <c r="QOK2" s="65"/>
      <c r="QOL2" s="65"/>
      <c r="QOM2" s="65"/>
      <c r="QON2" s="65"/>
      <c r="QOO2" s="65"/>
      <c r="QOP2" s="65"/>
      <c r="QOQ2" s="65"/>
      <c r="QOR2" s="65"/>
      <c r="QOS2" s="65"/>
      <c r="QOT2" s="65"/>
      <c r="QOU2" s="65"/>
      <c r="QOV2" s="65"/>
      <c r="QOW2" s="65"/>
      <c r="QOX2" s="65"/>
      <c r="QOY2" s="65"/>
      <c r="QOZ2" s="65"/>
      <c r="QPA2" s="65"/>
      <c r="QPB2" s="65"/>
      <c r="QPC2" s="65"/>
      <c r="QPD2" s="65"/>
      <c r="QPE2" s="65"/>
      <c r="QPF2" s="65"/>
      <c r="QPG2" s="65"/>
      <c r="QPH2" s="65"/>
      <c r="QPI2" s="65"/>
      <c r="QPJ2" s="65"/>
      <c r="QPK2" s="65"/>
      <c r="QPL2" s="65"/>
      <c r="QPM2" s="65"/>
      <c r="QPN2" s="65"/>
      <c r="QPO2" s="65"/>
      <c r="QPP2" s="65"/>
      <c r="QPQ2" s="65"/>
      <c r="QPR2" s="65"/>
      <c r="QPS2" s="65"/>
      <c r="QPT2" s="65"/>
      <c r="QPU2" s="65"/>
      <c r="QPV2" s="65"/>
      <c r="QPW2" s="65"/>
      <c r="QPX2" s="65"/>
      <c r="QPY2" s="65"/>
      <c r="QPZ2" s="65"/>
      <c r="QQA2" s="65"/>
      <c r="QQB2" s="65"/>
      <c r="QQC2" s="65"/>
      <c r="QQD2" s="65"/>
      <c r="QQE2" s="65"/>
      <c r="QQF2" s="65"/>
      <c r="QQG2" s="65"/>
      <c r="QQH2" s="65"/>
      <c r="QQI2" s="65"/>
      <c r="QQJ2" s="65"/>
      <c r="QQK2" s="65"/>
      <c r="QQL2" s="65"/>
      <c r="QQM2" s="65"/>
      <c r="QQN2" s="65"/>
      <c r="QQO2" s="65"/>
      <c r="QQP2" s="65"/>
      <c r="QQQ2" s="65"/>
      <c r="QQR2" s="65"/>
      <c r="QQS2" s="65"/>
      <c r="QQT2" s="65"/>
      <c r="QQU2" s="65"/>
      <c r="QQV2" s="65"/>
      <c r="QQW2" s="65"/>
      <c r="QQX2" s="65"/>
      <c r="QQY2" s="65"/>
      <c r="QQZ2" s="65"/>
      <c r="QRA2" s="65"/>
      <c r="QRB2" s="65"/>
      <c r="QRC2" s="65"/>
      <c r="QRD2" s="65"/>
      <c r="QRE2" s="65"/>
      <c r="QRF2" s="65"/>
      <c r="QRG2" s="65"/>
      <c r="QRH2" s="65"/>
      <c r="QRI2" s="65"/>
      <c r="QRJ2" s="65"/>
      <c r="QRK2" s="65"/>
      <c r="QRL2" s="65"/>
      <c r="QRM2" s="65"/>
      <c r="QRN2" s="65"/>
      <c r="QRO2" s="65"/>
      <c r="QRP2" s="65"/>
      <c r="QRQ2" s="65"/>
      <c r="QRR2" s="65"/>
      <c r="QRS2" s="65"/>
      <c r="QRT2" s="65"/>
      <c r="QRU2" s="65"/>
      <c r="QRV2" s="65"/>
      <c r="QRW2" s="65"/>
      <c r="QRX2" s="65"/>
      <c r="QRY2" s="65"/>
      <c r="QRZ2" s="65"/>
      <c r="QSA2" s="65"/>
      <c r="QSB2" s="65"/>
      <c r="QSC2" s="65"/>
      <c r="QSD2" s="65"/>
      <c r="QSE2" s="65"/>
      <c r="QSF2" s="65"/>
      <c r="QSG2" s="65"/>
      <c r="QSH2" s="65"/>
      <c r="QSI2" s="65"/>
      <c r="QSJ2" s="65"/>
      <c r="QSK2" s="65"/>
      <c r="QSL2" s="65"/>
      <c r="QSM2" s="65"/>
      <c r="QSN2" s="65"/>
      <c r="QSO2" s="65"/>
      <c r="QSP2" s="65"/>
      <c r="QSQ2" s="65"/>
      <c r="QSR2" s="65"/>
      <c r="QSS2" s="65"/>
      <c r="QST2" s="65"/>
      <c r="QSU2" s="65"/>
      <c r="QSV2" s="65"/>
      <c r="QSW2" s="65"/>
      <c r="QSX2" s="65"/>
      <c r="QSY2" s="65"/>
      <c r="QSZ2" s="65"/>
      <c r="QTA2" s="65"/>
      <c r="QTB2" s="65"/>
      <c r="QTC2" s="65"/>
      <c r="QTD2" s="65"/>
      <c r="QTE2" s="65"/>
      <c r="QTF2" s="65"/>
      <c r="QTG2" s="65"/>
      <c r="QTH2" s="65"/>
      <c r="QTI2" s="65"/>
      <c r="QTJ2" s="65"/>
      <c r="QTK2" s="65"/>
      <c r="QTL2" s="65"/>
      <c r="QTM2" s="65"/>
      <c r="QTN2" s="65"/>
      <c r="QTO2" s="65"/>
      <c r="QTP2" s="65"/>
      <c r="QTQ2" s="65"/>
      <c r="QTR2" s="65"/>
      <c r="QTS2" s="65"/>
      <c r="QTT2" s="65"/>
      <c r="QTU2" s="65"/>
      <c r="QTV2" s="65"/>
      <c r="QTW2" s="65"/>
      <c r="QTX2" s="65"/>
      <c r="QTY2" s="65"/>
      <c r="QTZ2" s="65"/>
      <c r="QUA2" s="65"/>
      <c r="QUB2" s="65"/>
      <c r="QUC2" s="65"/>
      <c r="QUD2" s="65"/>
      <c r="QUE2" s="65"/>
      <c r="QUF2" s="65"/>
      <c r="QUG2" s="65"/>
      <c r="QUH2" s="65"/>
      <c r="QUI2" s="65"/>
      <c r="QUJ2" s="65"/>
      <c r="QUK2" s="65"/>
      <c r="QUL2" s="65"/>
      <c r="QUM2" s="65"/>
      <c r="QUN2" s="65"/>
      <c r="QUO2" s="65"/>
      <c r="QUP2" s="65"/>
      <c r="QUQ2" s="65"/>
      <c r="QUR2" s="65"/>
      <c r="QUS2" s="65"/>
      <c r="QUT2" s="65"/>
      <c r="QUU2" s="65"/>
      <c r="QUV2" s="65"/>
      <c r="QUW2" s="65"/>
      <c r="QUX2" s="65"/>
      <c r="QUY2" s="65"/>
      <c r="QUZ2" s="65"/>
      <c r="QVA2" s="65"/>
      <c r="QVB2" s="65"/>
      <c r="QVC2" s="65"/>
      <c r="QVD2" s="65"/>
      <c r="QVE2" s="65"/>
      <c r="QVF2" s="65"/>
      <c r="QVG2" s="65"/>
      <c r="QVH2" s="65"/>
      <c r="QVI2" s="65"/>
      <c r="QVJ2" s="65"/>
      <c r="QVK2" s="65"/>
      <c r="QVL2" s="65"/>
      <c r="QVM2" s="65"/>
      <c r="QVN2" s="65"/>
      <c r="QVO2" s="65"/>
      <c r="QVP2" s="65"/>
      <c r="QVQ2" s="65"/>
      <c r="QVR2" s="65"/>
      <c r="QVS2" s="65"/>
      <c r="QVT2" s="65"/>
      <c r="QVU2" s="65"/>
      <c r="QVV2" s="65"/>
      <c r="QVW2" s="65"/>
      <c r="QVX2" s="65"/>
      <c r="QVY2" s="65"/>
      <c r="QVZ2" s="65"/>
      <c r="QWA2" s="65"/>
      <c r="QWB2" s="65"/>
      <c r="QWC2" s="65"/>
      <c r="QWD2" s="65"/>
      <c r="QWE2" s="65"/>
      <c r="QWF2" s="65"/>
      <c r="QWG2" s="65"/>
      <c r="QWH2" s="65"/>
      <c r="QWI2" s="65"/>
      <c r="QWJ2" s="65"/>
      <c r="QWK2" s="65"/>
      <c r="QWL2" s="65"/>
      <c r="QWM2" s="65"/>
      <c r="QWN2" s="65"/>
      <c r="QWO2" s="65"/>
      <c r="QWP2" s="65"/>
      <c r="QWQ2" s="65"/>
      <c r="QWR2" s="65"/>
      <c r="QWS2" s="65"/>
      <c r="QWT2" s="65"/>
      <c r="QWU2" s="65"/>
      <c r="QWV2" s="65"/>
      <c r="QWW2" s="65"/>
      <c r="QWX2" s="65"/>
      <c r="QWY2" s="65"/>
      <c r="QWZ2" s="65"/>
      <c r="QXA2" s="65"/>
      <c r="QXB2" s="65"/>
      <c r="QXC2" s="65"/>
      <c r="QXD2" s="65"/>
      <c r="QXE2" s="65"/>
      <c r="QXF2" s="65"/>
      <c r="QXG2" s="65"/>
      <c r="QXH2" s="65"/>
      <c r="QXI2" s="65"/>
      <c r="QXJ2" s="65"/>
      <c r="QXK2" s="65"/>
      <c r="QXL2" s="65"/>
      <c r="QXM2" s="65"/>
      <c r="QXN2" s="65"/>
      <c r="QXO2" s="65"/>
      <c r="QXP2" s="65"/>
      <c r="QXQ2" s="65"/>
      <c r="QXR2" s="65"/>
      <c r="QXS2" s="65"/>
      <c r="QXT2" s="65"/>
      <c r="QXU2" s="65"/>
      <c r="QXV2" s="65"/>
      <c r="QXW2" s="65"/>
      <c r="QXX2" s="65"/>
      <c r="QXY2" s="65"/>
      <c r="QXZ2" s="65"/>
      <c r="QYA2" s="65"/>
      <c r="QYB2" s="65"/>
      <c r="QYC2" s="65"/>
      <c r="QYD2" s="65"/>
      <c r="QYE2" s="65"/>
      <c r="QYF2" s="65"/>
      <c r="QYG2" s="65"/>
      <c r="QYH2" s="65"/>
      <c r="QYI2" s="65"/>
      <c r="QYJ2" s="65"/>
      <c r="QYK2" s="65"/>
      <c r="QYL2" s="65"/>
      <c r="QYM2" s="65"/>
      <c r="QYN2" s="65"/>
      <c r="QYO2" s="65"/>
      <c r="QYP2" s="65"/>
      <c r="QYQ2" s="65"/>
      <c r="QYR2" s="65"/>
      <c r="QYS2" s="65"/>
      <c r="QYT2" s="65"/>
      <c r="QYU2" s="65"/>
      <c r="QYV2" s="65"/>
      <c r="QYW2" s="65"/>
      <c r="QYX2" s="65"/>
      <c r="QYY2" s="65"/>
      <c r="QYZ2" s="65"/>
      <c r="QZA2" s="65"/>
      <c r="QZB2" s="65"/>
      <c r="QZC2" s="65"/>
      <c r="QZD2" s="65"/>
      <c r="QZE2" s="65"/>
      <c r="QZF2" s="65"/>
      <c r="QZG2" s="65"/>
      <c r="QZH2" s="65"/>
      <c r="QZI2" s="65"/>
      <c r="QZJ2" s="65"/>
      <c r="QZK2" s="65"/>
      <c r="QZL2" s="65"/>
      <c r="QZM2" s="65"/>
      <c r="QZN2" s="65"/>
      <c r="QZO2" s="65"/>
      <c r="QZP2" s="65"/>
      <c r="QZQ2" s="65"/>
      <c r="QZR2" s="65"/>
      <c r="QZS2" s="65"/>
      <c r="QZT2" s="65"/>
      <c r="QZU2" s="65"/>
      <c r="QZV2" s="65"/>
      <c r="QZW2" s="65"/>
      <c r="QZX2" s="65"/>
      <c r="QZY2" s="65"/>
      <c r="QZZ2" s="65"/>
      <c r="RAA2" s="65"/>
      <c r="RAB2" s="65"/>
      <c r="RAC2" s="65"/>
      <c r="RAD2" s="65"/>
      <c r="RAE2" s="65"/>
      <c r="RAF2" s="65"/>
      <c r="RAG2" s="65"/>
      <c r="RAH2" s="65"/>
      <c r="RAI2" s="65"/>
      <c r="RAJ2" s="65"/>
      <c r="RAK2" s="65"/>
      <c r="RAL2" s="65"/>
      <c r="RAM2" s="65"/>
      <c r="RAN2" s="65"/>
      <c r="RAO2" s="65"/>
      <c r="RAP2" s="65"/>
      <c r="RAQ2" s="65"/>
      <c r="RAR2" s="65"/>
      <c r="RAS2" s="65"/>
      <c r="RAT2" s="65"/>
      <c r="RAU2" s="65"/>
      <c r="RAV2" s="65"/>
      <c r="RAW2" s="65"/>
      <c r="RAX2" s="65"/>
      <c r="RAY2" s="65"/>
      <c r="RAZ2" s="65"/>
      <c r="RBA2" s="65"/>
      <c r="RBB2" s="65"/>
      <c r="RBC2" s="65"/>
      <c r="RBD2" s="65"/>
      <c r="RBE2" s="65"/>
      <c r="RBF2" s="65"/>
      <c r="RBG2" s="65"/>
      <c r="RBH2" s="65"/>
      <c r="RBI2" s="65"/>
      <c r="RBJ2" s="65"/>
      <c r="RBK2" s="65"/>
      <c r="RBL2" s="65"/>
      <c r="RBM2" s="65"/>
      <c r="RBN2" s="65"/>
      <c r="RBO2" s="65"/>
      <c r="RBP2" s="65"/>
      <c r="RBQ2" s="65"/>
      <c r="RBR2" s="65"/>
      <c r="RBS2" s="65"/>
      <c r="RBT2" s="65"/>
      <c r="RBU2" s="65"/>
      <c r="RBV2" s="65"/>
      <c r="RBW2" s="65"/>
      <c r="RBX2" s="65"/>
      <c r="RBY2" s="65"/>
      <c r="RBZ2" s="65"/>
      <c r="RCA2" s="65"/>
      <c r="RCB2" s="65"/>
      <c r="RCC2" s="65"/>
      <c r="RCD2" s="65"/>
      <c r="RCE2" s="65"/>
      <c r="RCF2" s="65"/>
      <c r="RCG2" s="65"/>
      <c r="RCH2" s="65"/>
      <c r="RCI2" s="65"/>
      <c r="RCJ2" s="65"/>
      <c r="RCK2" s="65"/>
      <c r="RCL2" s="65"/>
      <c r="RCM2" s="65"/>
      <c r="RCN2" s="65"/>
      <c r="RCO2" s="65"/>
      <c r="RCP2" s="65"/>
      <c r="RCQ2" s="65"/>
      <c r="RCR2" s="65"/>
      <c r="RCS2" s="65"/>
      <c r="RCT2" s="65"/>
      <c r="RCU2" s="65"/>
      <c r="RCV2" s="65"/>
      <c r="RCW2" s="65"/>
      <c r="RCX2" s="65"/>
      <c r="RCY2" s="65"/>
      <c r="RCZ2" s="65"/>
      <c r="RDA2" s="65"/>
      <c r="RDB2" s="65"/>
      <c r="RDC2" s="65"/>
      <c r="RDD2" s="65"/>
      <c r="RDE2" s="65"/>
      <c r="RDF2" s="65"/>
      <c r="RDG2" s="65"/>
      <c r="RDH2" s="65"/>
      <c r="RDI2" s="65"/>
      <c r="RDJ2" s="65"/>
      <c r="RDK2" s="65"/>
      <c r="RDL2" s="65"/>
      <c r="RDM2" s="65"/>
      <c r="RDN2" s="65"/>
      <c r="RDO2" s="65"/>
      <c r="RDP2" s="65"/>
      <c r="RDQ2" s="65"/>
      <c r="RDR2" s="65"/>
      <c r="RDS2" s="65"/>
      <c r="RDT2" s="65"/>
      <c r="RDU2" s="65"/>
      <c r="RDV2" s="65"/>
      <c r="RDW2" s="65"/>
      <c r="RDX2" s="65"/>
      <c r="RDY2" s="65"/>
      <c r="RDZ2" s="65"/>
      <c r="REA2" s="65"/>
      <c r="REB2" s="65"/>
      <c r="REC2" s="65"/>
      <c r="RED2" s="65"/>
      <c r="REE2" s="65"/>
      <c r="REF2" s="65"/>
      <c r="REG2" s="65"/>
      <c r="REH2" s="65"/>
      <c r="REI2" s="65"/>
      <c r="REJ2" s="65"/>
      <c r="REK2" s="65"/>
      <c r="REL2" s="65"/>
      <c r="REM2" s="65"/>
      <c r="REN2" s="65"/>
      <c r="REO2" s="65"/>
      <c r="REP2" s="65"/>
      <c r="REQ2" s="65"/>
      <c r="RER2" s="65"/>
      <c r="RES2" s="65"/>
      <c r="RET2" s="65"/>
      <c r="REU2" s="65"/>
      <c r="REV2" s="65"/>
      <c r="REW2" s="65"/>
      <c r="REX2" s="65"/>
      <c r="REY2" s="65"/>
      <c r="REZ2" s="65"/>
      <c r="RFA2" s="65"/>
      <c r="RFB2" s="65"/>
      <c r="RFC2" s="65"/>
      <c r="RFD2" s="65"/>
      <c r="RFE2" s="65"/>
      <c r="RFF2" s="65"/>
      <c r="RFG2" s="65"/>
      <c r="RFH2" s="65"/>
      <c r="RFI2" s="65"/>
      <c r="RFJ2" s="65"/>
      <c r="RFK2" s="65"/>
      <c r="RFL2" s="65"/>
      <c r="RFM2" s="65"/>
      <c r="RFN2" s="65"/>
      <c r="RFO2" s="65"/>
      <c r="RFP2" s="65"/>
      <c r="RFQ2" s="65"/>
      <c r="RFR2" s="65"/>
      <c r="RFS2" s="65"/>
      <c r="RFT2" s="65"/>
      <c r="RFU2" s="65"/>
      <c r="RFV2" s="65"/>
      <c r="RFW2" s="65"/>
      <c r="RFX2" s="65"/>
      <c r="RFY2" s="65"/>
      <c r="RFZ2" s="65"/>
      <c r="RGA2" s="65"/>
      <c r="RGB2" s="65"/>
      <c r="RGC2" s="65"/>
      <c r="RGD2" s="65"/>
      <c r="RGE2" s="65"/>
      <c r="RGF2" s="65"/>
      <c r="RGG2" s="65"/>
      <c r="RGH2" s="65"/>
      <c r="RGI2" s="65"/>
      <c r="RGJ2" s="65"/>
      <c r="RGK2" s="65"/>
      <c r="RGL2" s="65"/>
      <c r="RGM2" s="65"/>
      <c r="RGN2" s="65"/>
      <c r="RGO2" s="65"/>
      <c r="RGP2" s="65"/>
      <c r="RGQ2" s="65"/>
      <c r="RGR2" s="65"/>
      <c r="RGS2" s="65"/>
      <c r="RGT2" s="65"/>
      <c r="RGU2" s="65"/>
      <c r="RGV2" s="65"/>
      <c r="RGW2" s="65"/>
      <c r="RGX2" s="65"/>
      <c r="RGY2" s="65"/>
      <c r="RGZ2" s="65"/>
      <c r="RHA2" s="65"/>
      <c r="RHB2" s="65"/>
      <c r="RHC2" s="65"/>
      <c r="RHD2" s="65"/>
      <c r="RHE2" s="65"/>
      <c r="RHF2" s="65"/>
      <c r="RHG2" s="65"/>
      <c r="RHH2" s="65"/>
      <c r="RHI2" s="65"/>
      <c r="RHJ2" s="65"/>
      <c r="RHK2" s="65"/>
      <c r="RHL2" s="65"/>
      <c r="RHM2" s="65"/>
      <c r="RHN2" s="65"/>
      <c r="RHO2" s="65"/>
      <c r="RHP2" s="65"/>
      <c r="RHQ2" s="65"/>
      <c r="RHR2" s="65"/>
      <c r="RHS2" s="65"/>
      <c r="RHT2" s="65"/>
      <c r="RHU2" s="65"/>
      <c r="RHV2" s="65"/>
      <c r="RHW2" s="65"/>
      <c r="RHX2" s="65"/>
      <c r="RHY2" s="65"/>
      <c r="RHZ2" s="65"/>
      <c r="RIA2" s="65"/>
      <c r="RIB2" s="65"/>
      <c r="RIC2" s="65"/>
      <c r="RID2" s="65"/>
      <c r="RIE2" s="65"/>
      <c r="RIF2" s="65"/>
      <c r="RIG2" s="65"/>
      <c r="RIH2" s="65"/>
      <c r="RII2" s="65"/>
      <c r="RIJ2" s="65"/>
      <c r="RIK2" s="65"/>
      <c r="RIL2" s="65"/>
      <c r="RIM2" s="65"/>
      <c r="RIN2" s="65"/>
      <c r="RIO2" s="65"/>
      <c r="RIP2" s="65"/>
      <c r="RIQ2" s="65"/>
      <c r="RIR2" s="65"/>
      <c r="RIS2" s="65"/>
      <c r="RIT2" s="65"/>
      <c r="RIU2" s="65"/>
      <c r="RIV2" s="65"/>
      <c r="RIW2" s="65"/>
      <c r="RIX2" s="65"/>
      <c r="RIY2" s="65"/>
      <c r="RIZ2" s="65"/>
      <c r="RJA2" s="65"/>
      <c r="RJB2" s="65"/>
      <c r="RJC2" s="65"/>
      <c r="RJD2" s="65"/>
      <c r="RJE2" s="65"/>
      <c r="RJF2" s="65"/>
      <c r="RJG2" s="65"/>
      <c r="RJH2" s="65"/>
      <c r="RJI2" s="65"/>
      <c r="RJJ2" s="65"/>
      <c r="RJK2" s="65"/>
      <c r="RJL2" s="65"/>
      <c r="RJM2" s="65"/>
      <c r="RJN2" s="65"/>
      <c r="RJO2" s="65"/>
      <c r="RJP2" s="65"/>
      <c r="RJQ2" s="65"/>
      <c r="RJR2" s="65"/>
      <c r="RJS2" s="65"/>
      <c r="RJT2" s="65"/>
      <c r="RJU2" s="65"/>
      <c r="RJV2" s="65"/>
      <c r="RJW2" s="65"/>
      <c r="RJX2" s="65"/>
      <c r="RJY2" s="65"/>
      <c r="RJZ2" s="65"/>
      <c r="RKA2" s="65"/>
      <c r="RKB2" s="65"/>
      <c r="RKC2" s="65"/>
      <c r="RKD2" s="65"/>
      <c r="RKE2" s="65"/>
      <c r="RKF2" s="65"/>
      <c r="RKG2" s="65"/>
      <c r="RKH2" s="65"/>
      <c r="RKI2" s="65"/>
      <c r="RKJ2" s="65"/>
      <c r="RKK2" s="65"/>
      <c r="RKL2" s="65"/>
      <c r="RKM2" s="65"/>
      <c r="RKN2" s="65"/>
      <c r="RKO2" s="65"/>
      <c r="RKP2" s="65"/>
      <c r="RKQ2" s="65"/>
      <c r="RKR2" s="65"/>
      <c r="RKS2" s="65"/>
      <c r="RKT2" s="65"/>
      <c r="RKU2" s="65"/>
      <c r="RKV2" s="65"/>
      <c r="RKW2" s="65"/>
      <c r="RKX2" s="65"/>
      <c r="RKY2" s="65"/>
      <c r="RKZ2" s="65"/>
      <c r="RLA2" s="65"/>
      <c r="RLB2" s="65"/>
      <c r="RLC2" s="65"/>
      <c r="RLD2" s="65"/>
      <c r="RLE2" s="65"/>
      <c r="RLF2" s="65"/>
      <c r="RLG2" s="65"/>
      <c r="RLH2" s="65"/>
      <c r="RLI2" s="65"/>
      <c r="RLJ2" s="65"/>
      <c r="RLK2" s="65"/>
      <c r="RLL2" s="65"/>
      <c r="RLM2" s="65"/>
      <c r="RLN2" s="65"/>
      <c r="RLO2" s="65"/>
      <c r="RLP2" s="65"/>
      <c r="RLQ2" s="65"/>
      <c r="RLR2" s="65"/>
      <c r="RLS2" s="65"/>
      <c r="RLT2" s="65"/>
      <c r="RLU2" s="65"/>
      <c r="RLV2" s="65"/>
      <c r="RLW2" s="65"/>
      <c r="RLX2" s="65"/>
      <c r="RLY2" s="65"/>
      <c r="RLZ2" s="65"/>
      <c r="RMA2" s="65"/>
      <c r="RMB2" s="65"/>
      <c r="RMC2" s="65"/>
      <c r="RMD2" s="65"/>
      <c r="RME2" s="65"/>
      <c r="RMF2" s="65"/>
      <c r="RMG2" s="65"/>
      <c r="RMH2" s="65"/>
      <c r="RMI2" s="65"/>
      <c r="RMJ2" s="65"/>
      <c r="RMK2" s="65"/>
      <c r="RML2" s="65"/>
      <c r="RMM2" s="65"/>
      <c r="RMN2" s="65"/>
      <c r="RMO2" s="65"/>
      <c r="RMP2" s="65"/>
      <c r="RMQ2" s="65"/>
      <c r="RMR2" s="65"/>
      <c r="RMS2" s="65"/>
      <c r="RMT2" s="65"/>
      <c r="RMU2" s="65"/>
      <c r="RMV2" s="65"/>
      <c r="RMW2" s="65"/>
      <c r="RMX2" s="65"/>
      <c r="RMY2" s="65"/>
      <c r="RMZ2" s="65"/>
      <c r="RNA2" s="65"/>
      <c r="RNB2" s="65"/>
      <c r="RNC2" s="65"/>
      <c r="RND2" s="65"/>
      <c r="RNE2" s="65"/>
      <c r="RNF2" s="65"/>
      <c r="RNG2" s="65"/>
      <c r="RNH2" s="65"/>
      <c r="RNI2" s="65"/>
      <c r="RNJ2" s="65"/>
      <c r="RNK2" s="65"/>
      <c r="RNL2" s="65"/>
      <c r="RNM2" s="65"/>
      <c r="RNN2" s="65"/>
      <c r="RNO2" s="65"/>
      <c r="RNP2" s="65"/>
      <c r="RNQ2" s="65"/>
      <c r="RNR2" s="65"/>
      <c r="RNS2" s="65"/>
      <c r="RNT2" s="65"/>
      <c r="RNU2" s="65"/>
      <c r="RNV2" s="65"/>
      <c r="RNW2" s="65"/>
      <c r="RNX2" s="65"/>
      <c r="RNY2" s="65"/>
      <c r="RNZ2" s="65"/>
      <c r="ROA2" s="65"/>
      <c r="ROB2" s="65"/>
      <c r="ROC2" s="65"/>
      <c r="ROD2" s="65"/>
      <c r="ROE2" s="65"/>
      <c r="ROF2" s="65"/>
      <c r="ROG2" s="65"/>
      <c r="ROH2" s="65"/>
      <c r="ROI2" s="65"/>
      <c r="ROJ2" s="65"/>
      <c r="ROK2" s="65"/>
      <c r="ROL2" s="65"/>
      <c r="ROM2" s="65"/>
      <c r="RON2" s="65"/>
      <c r="ROO2" s="65"/>
      <c r="ROP2" s="65"/>
      <c r="ROQ2" s="65"/>
      <c r="ROR2" s="65"/>
      <c r="ROS2" s="65"/>
      <c r="ROT2" s="65"/>
      <c r="ROU2" s="65"/>
      <c r="ROV2" s="65"/>
      <c r="ROW2" s="65"/>
      <c r="ROX2" s="65"/>
      <c r="ROY2" s="65"/>
      <c r="ROZ2" s="65"/>
      <c r="RPA2" s="65"/>
      <c r="RPB2" s="65"/>
      <c r="RPC2" s="65"/>
      <c r="RPD2" s="65"/>
      <c r="RPE2" s="65"/>
      <c r="RPF2" s="65"/>
      <c r="RPG2" s="65"/>
      <c r="RPH2" s="65"/>
      <c r="RPI2" s="65"/>
      <c r="RPJ2" s="65"/>
      <c r="RPK2" s="65"/>
      <c r="RPL2" s="65"/>
      <c r="RPM2" s="65"/>
      <c r="RPN2" s="65"/>
      <c r="RPO2" s="65"/>
      <c r="RPP2" s="65"/>
      <c r="RPQ2" s="65"/>
      <c r="RPR2" s="65"/>
      <c r="RPS2" s="65"/>
      <c r="RPT2" s="65"/>
      <c r="RPU2" s="65"/>
      <c r="RPV2" s="65"/>
      <c r="RPW2" s="65"/>
      <c r="RPX2" s="65"/>
      <c r="RPY2" s="65"/>
      <c r="RPZ2" s="65"/>
      <c r="RQA2" s="65"/>
      <c r="RQB2" s="65"/>
      <c r="RQC2" s="65"/>
      <c r="RQD2" s="65"/>
      <c r="RQE2" s="65"/>
      <c r="RQF2" s="65"/>
      <c r="RQG2" s="65"/>
      <c r="RQH2" s="65"/>
      <c r="RQI2" s="65"/>
      <c r="RQJ2" s="65"/>
      <c r="RQK2" s="65"/>
      <c r="RQL2" s="65"/>
      <c r="RQM2" s="65"/>
      <c r="RQN2" s="65"/>
      <c r="RQO2" s="65"/>
      <c r="RQP2" s="65"/>
      <c r="RQQ2" s="65"/>
      <c r="RQR2" s="65"/>
      <c r="RQS2" s="65"/>
      <c r="RQT2" s="65"/>
      <c r="RQU2" s="65"/>
      <c r="RQV2" s="65"/>
      <c r="RQW2" s="65"/>
      <c r="RQX2" s="65"/>
      <c r="RQY2" s="65"/>
      <c r="RQZ2" s="65"/>
      <c r="RRA2" s="65"/>
      <c r="RRB2" s="65"/>
      <c r="RRC2" s="65"/>
      <c r="RRD2" s="65"/>
      <c r="RRE2" s="65"/>
      <c r="RRF2" s="65"/>
      <c r="RRG2" s="65"/>
      <c r="RRH2" s="65"/>
      <c r="RRI2" s="65"/>
      <c r="RRJ2" s="65"/>
      <c r="RRK2" s="65"/>
      <c r="RRL2" s="65"/>
      <c r="RRM2" s="65"/>
      <c r="RRN2" s="65"/>
      <c r="RRO2" s="65"/>
      <c r="RRP2" s="65"/>
      <c r="RRQ2" s="65"/>
      <c r="RRR2" s="65"/>
      <c r="RRS2" s="65"/>
      <c r="RRT2" s="65"/>
      <c r="RRU2" s="65"/>
      <c r="RRV2" s="65"/>
      <c r="RRW2" s="65"/>
      <c r="RRX2" s="65"/>
      <c r="RRY2" s="65"/>
      <c r="RRZ2" s="65"/>
      <c r="RSA2" s="65"/>
      <c r="RSB2" s="65"/>
      <c r="RSC2" s="65"/>
      <c r="RSD2" s="65"/>
      <c r="RSE2" s="65"/>
      <c r="RSF2" s="65"/>
      <c r="RSG2" s="65"/>
      <c r="RSH2" s="65"/>
      <c r="RSI2" s="65"/>
      <c r="RSJ2" s="65"/>
      <c r="RSK2" s="65"/>
      <c r="RSL2" s="65"/>
      <c r="RSM2" s="65"/>
      <c r="RSN2" s="65"/>
      <c r="RSO2" s="65"/>
      <c r="RSP2" s="65"/>
      <c r="RSQ2" s="65"/>
      <c r="RSR2" s="65"/>
      <c r="RSS2" s="65"/>
      <c r="RST2" s="65"/>
      <c r="RSU2" s="65"/>
      <c r="RSV2" s="65"/>
      <c r="RSW2" s="65"/>
      <c r="RSX2" s="65"/>
      <c r="RSY2" s="65"/>
      <c r="RSZ2" s="65"/>
      <c r="RTA2" s="65"/>
      <c r="RTB2" s="65"/>
      <c r="RTC2" s="65"/>
      <c r="RTD2" s="65"/>
      <c r="RTE2" s="65"/>
      <c r="RTF2" s="65"/>
      <c r="RTG2" s="65"/>
      <c r="RTH2" s="65"/>
      <c r="RTI2" s="65"/>
      <c r="RTJ2" s="65"/>
      <c r="RTK2" s="65"/>
      <c r="RTL2" s="65"/>
      <c r="RTM2" s="65"/>
      <c r="RTN2" s="65"/>
      <c r="RTO2" s="65"/>
      <c r="RTP2" s="65"/>
      <c r="RTQ2" s="65"/>
      <c r="RTR2" s="65"/>
      <c r="RTS2" s="65"/>
      <c r="RTT2" s="65"/>
      <c r="RTU2" s="65"/>
      <c r="RTV2" s="65"/>
      <c r="RTW2" s="65"/>
      <c r="RTX2" s="65"/>
      <c r="RTY2" s="65"/>
      <c r="RTZ2" s="65"/>
      <c r="RUA2" s="65"/>
      <c r="RUB2" s="65"/>
      <c r="RUC2" s="65"/>
      <c r="RUD2" s="65"/>
      <c r="RUE2" s="65"/>
      <c r="RUF2" s="65"/>
      <c r="RUG2" s="65"/>
      <c r="RUH2" s="65"/>
      <c r="RUI2" s="65"/>
      <c r="RUJ2" s="65"/>
      <c r="RUK2" s="65"/>
      <c r="RUL2" s="65"/>
      <c r="RUM2" s="65"/>
      <c r="RUN2" s="65"/>
      <c r="RUO2" s="65"/>
      <c r="RUP2" s="65"/>
      <c r="RUQ2" s="65"/>
      <c r="RUR2" s="65"/>
      <c r="RUS2" s="65"/>
      <c r="RUT2" s="65"/>
      <c r="RUU2" s="65"/>
      <c r="RUV2" s="65"/>
      <c r="RUW2" s="65"/>
      <c r="RUX2" s="65"/>
      <c r="RUY2" s="65"/>
      <c r="RUZ2" s="65"/>
      <c r="RVA2" s="65"/>
      <c r="RVB2" s="65"/>
      <c r="RVC2" s="65"/>
      <c r="RVD2" s="65"/>
      <c r="RVE2" s="65"/>
      <c r="RVF2" s="65"/>
      <c r="RVG2" s="65"/>
      <c r="RVH2" s="65"/>
      <c r="RVI2" s="65"/>
      <c r="RVJ2" s="65"/>
      <c r="RVK2" s="65"/>
      <c r="RVL2" s="65"/>
      <c r="RVM2" s="65"/>
      <c r="RVN2" s="65"/>
      <c r="RVO2" s="65"/>
      <c r="RVP2" s="65"/>
      <c r="RVQ2" s="65"/>
      <c r="RVR2" s="65"/>
      <c r="RVS2" s="65"/>
      <c r="RVT2" s="65"/>
      <c r="RVU2" s="65"/>
      <c r="RVV2" s="65"/>
      <c r="RVW2" s="65"/>
      <c r="RVX2" s="65"/>
      <c r="RVY2" s="65"/>
      <c r="RVZ2" s="65"/>
      <c r="RWA2" s="65"/>
      <c r="RWB2" s="65"/>
      <c r="RWC2" s="65"/>
      <c r="RWD2" s="65"/>
      <c r="RWE2" s="65"/>
      <c r="RWF2" s="65"/>
      <c r="RWG2" s="65"/>
      <c r="RWH2" s="65"/>
      <c r="RWI2" s="65"/>
      <c r="RWJ2" s="65"/>
      <c r="RWK2" s="65"/>
      <c r="RWL2" s="65"/>
      <c r="RWM2" s="65"/>
      <c r="RWN2" s="65"/>
      <c r="RWO2" s="65"/>
      <c r="RWP2" s="65"/>
      <c r="RWQ2" s="65"/>
      <c r="RWR2" s="65"/>
      <c r="RWS2" s="65"/>
      <c r="RWT2" s="65"/>
      <c r="RWU2" s="65"/>
      <c r="RWV2" s="65"/>
      <c r="RWW2" s="65"/>
      <c r="RWX2" s="65"/>
      <c r="RWY2" s="65"/>
      <c r="RWZ2" s="65"/>
      <c r="RXA2" s="65"/>
      <c r="RXB2" s="65"/>
      <c r="RXC2" s="65"/>
      <c r="RXD2" s="65"/>
      <c r="RXE2" s="65"/>
      <c r="RXF2" s="65"/>
      <c r="RXG2" s="65"/>
      <c r="RXH2" s="65"/>
      <c r="RXI2" s="65"/>
      <c r="RXJ2" s="65"/>
      <c r="RXK2" s="65"/>
      <c r="RXL2" s="65"/>
      <c r="RXM2" s="65"/>
      <c r="RXN2" s="65"/>
      <c r="RXO2" s="65"/>
      <c r="RXP2" s="65"/>
      <c r="RXQ2" s="65"/>
      <c r="RXR2" s="65"/>
      <c r="RXS2" s="65"/>
      <c r="RXT2" s="65"/>
      <c r="RXU2" s="65"/>
      <c r="RXV2" s="65"/>
      <c r="RXW2" s="65"/>
      <c r="RXX2" s="65"/>
      <c r="RXY2" s="65"/>
      <c r="RXZ2" s="65"/>
      <c r="RYA2" s="65"/>
      <c r="RYB2" s="65"/>
      <c r="RYC2" s="65"/>
      <c r="RYD2" s="65"/>
      <c r="RYE2" s="65"/>
      <c r="RYF2" s="65"/>
      <c r="RYG2" s="65"/>
      <c r="RYH2" s="65"/>
      <c r="RYI2" s="65"/>
      <c r="RYJ2" s="65"/>
      <c r="RYK2" s="65"/>
      <c r="RYL2" s="65"/>
      <c r="RYM2" s="65"/>
      <c r="RYN2" s="65"/>
      <c r="RYO2" s="65"/>
      <c r="RYP2" s="65"/>
      <c r="RYQ2" s="65"/>
      <c r="RYR2" s="65"/>
      <c r="RYS2" s="65"/>
      <c r="RYT2" s="65"/>
      <c r="RYU2" s="65"/>
      <c r="RYV2" s="65"/>
      <c r="RYW2" s="65"/>
      <c r="RYX2" s="65"/>
      <c r="RYY2" s="65"/>
      <c r="RYZ2" s="65"/>
      <c r="RZA2" s="65"/>
      <c r="RZB2" s="65"/>
      <c r="RZC2" s="65"/>
      <c r="RZD2" s="65"/>
      <c r="RZE2" s="65"/>
      <c r="RZF2" s="65"/>
      <c r="RZG2" s="65"/>
      <c r="RZH2" s="65"/>
      <c r="RZI2" s="65"/>
      <c r="RZJ2" s="65"/>
      <c r="RZK2" s="65"/>
      <c r="RZL2" s="65"/>
      <c r="RZM2" s="65"/>
      <c r="RZN2" s="65"/>
      <c r="RZO2" s="65"/>
      <c r="RZP2" s="65"/>
      <c r="RZQ2" s="65"/>
      <c r="RZR2" s="65"/>
      <c r="RZS2" s="65"/>
      <c r="RZT2" s="65"/>
      <c r="RZU2" s="65"/>
      <c r="RZV2" s="65"/>
      <c r="RZW2" s="65"/>
      <c r="RZX2" s="65"/>
      <c r="RZY2" s="65"/>
      <c r="RZZ2" s="65"/>
      <c r="SAA2" s="65"/>
      <c r="SAB2" s="65"/>
      <c r="SAC2" s="65"/>
      <c r="SAD2" s="65"/>
      <c r="SAE2" s="65"/>
      <c r="SAF2" s="65"/>
      <c r="SAG2" s="65"/>
      <c r="SAH2" s="65"/>
      <c r="SAI2" s="65"/>
      <c r="SAJ2" s="65"/>
      <c r="SAK2" s="65"/>
      <c r="SAL2" s="65"/>
      <c r="SAM2" s="65"/>
      <c r="SAN2" s="65"/>
      <c r="SAO2" s="65"/>
      <c r="SAP2" s="65"/>
      <c r="SAQ2" s="65"/>
      <c r="SAR2" s="65"/>
      <c r="SAS2" s="65"/>
      <c r="SAT2" s="65"/>
      <c r="SAU2" s="65"/>
      <c r="SAV2" s="65"/>
      <c r="SAW2" s="65"/>
      <c r="SAX2" s="65"/>
      <c r="SAY2" s="65"/>
      <c r="SAZ2" s="65"/>
      <c r="SBA2" s="65"/>
      <c r="SBB2" s="65"/>
      <c r="SBC2" s="65"/>
      <c r="SBD2" s="65"/>
      <c r="SBE2" s="65"/>
      <c r="SBF2" s="65"/>
      <c r="SBG2" s="65"/>
      <c r="SBH2" s="65"/>
      <c r="SBI2" s="65"/>
      <c r="SBJ2" s="65"/>
      <c r="SBK2" s="65"/>
      <c r="SBL2" s="65"/>
      <c r="SBM2" s="65"/>
      <c r="SBN2" s="65"/>
      <c r="SBO2" s="65"/>
      <c r="SBP2" s="65"/>
      <c r="SBQ2" s="65"/>
      <c r="SBR2" s="65"/>
      <c r="SBS2" s="65"/>
      <c r="SBT2" s="65"/>
      <c r="SBU2" s="65"/>
      <c r="SBV2" s="65"/>
      <c r="SBW2" s="65"/>
      <c r="SBX2" s="65"/>
      <c r="SBY2" s="65"/>
      <c r="SBZ2" s="65"/>
      <c r="SCA2" s="65"/>
      <c r="SCB2" s="65"/>
      <c r="SCC2" s="65"/>
      <c r="SCD2" s="65"/>
      <c r="SCE2" s="65"/>
      <c r="SCF2" s="65"/>
      <c r="SCG2" s="65"/>
      <c r="SCH2" s="65"/>
      <c r="SCI2" s="65"/>
      <c r="SCJ2" s="65"/>
      <c r="SCK2" s="65"/>
      <c r="SCL2" s="65"/>
      <c r="SCM2" s="65"/>
      <c r="SCN2" s="65"/>
      <c r="SCO2" s="65"/>
      <c r="SCP2" s="65"/>
      <c r="SCQ2" s="65"/>
      <c r="SCR2" s="65"/>
      <c r="SCS2" s="65"/>
      <c r="SCT2" s="65"/>
      <c r="SCU2" s="65"/>
      <c r="SCV2" s="65"/>
      <c r="SCW2" s="65"/>
      <c r="SCX2" s="65"/>
      <c r="SCY2" s="65"/>
      <c r="SCZ2" s="65"/>
      <c r="SDA2" s="65"/>
      <c r="SDB2" s="65"/>
      <c r="SDC2" s="65"/>
      <c r="SDD2" s="65"/>
      <c r="SDE2" s="65"/>
      <c r="SDF2" s="65"/>
      <c r="SDG2" s="65"/>
      <c r="SDH2" s="65"/>
      <c r="SDI2" s="65"/>
      <c r="SDJ2" s="65"/>
      <c r="SDK2" s="65"/>
      <c r="SDL2" s="65"/>
      <c r="SDM2" s="65"/>
      <c r="SDN2" s="65"/>
      <c r="SDO2" s="65"/>
      <c r="SDP2" s="65"/>
      <c r="SDQ2" s="65"/>
      <c r="SDR2" s="65"/>
      <c r="SDS2" s="65"/>
      <c r="SDT2" s="65"/>
      <c r="SDU2" s="65"/>
      <c r="SDV2" s="65"/>
      <c r="SDW2" s="65"/>
      <c r="SDX2" s="65"/>
      <c r="SDY2" s="65"/>
      <c r="SDZ2" s="65"/>
      <c r="SEA2" s="65"/>
      <c r="SEB2" s="65"/>
      <c r="SEC2" s="65"/>
      <c r="SED2" s="65"/>
      <c r="SEE2" s="65"/>
      <c r="SEF2" s="65"/>
      <c r="SEG2" s="65"/>
      <c r="SEH2" s="65"/>
      <c r="SEI2" s="65"/>
      <c r="SEJ2" s="65"/>
      <c r="SEK2" s="65"/>
      <c r="SEL2" s="65"/>
      <c r="SEM2" s="65"/>
      <c r="SEN2" s="65"/>
      <c r="SEO2" s="65"/>
      <c r="SEP2" s="65"/>
      <c r="SEQ2" s="65"/>
      <c r="SER2" s="65"/>
      <c r="SES2" s="65"/>
      <c r="SET2" s="65"/>
      <c r="SEU2" s="65"/>
      <c r="SEV2" s="65"/>
      <c r="SEW2" s="65"/>
      <c r="SEX2" s="65"/>
      <c r="SEY2" s="65"/>
      <c r="SEZ2" s="65"/>
      <c r="SFA2" s="65"/>
      <c r="SFB2" s="65"/>
      <c r="SFC2" s="65"/>
      <c r="SFD2" s="65"/>
      <c r="SFE2" s="65"/>
      <c r="SFF2" s="65"/>
      <c r="SFG2" s="65"/>
      <c r="SFH2" s="65"/>
      <c r="SFI2" s="65"/>
      <c r="SFJ2" s="65"/>
      <c r="SFK2" s="65"/>
      <c r="SFL2" s="65"/>
      <c r="SFM2" s="65"/>
      <c r="SFN2" s="65"/>
      <c r="SFO2" s="65"/>
      <c r="SFP2" s="65"/>
      <c r="SFQ2" s="65"/>
      <c r="SFR2" s="65"/>
      <c r="SFS2" s="65"/>
      <c r="SFT2" s="65"/>
      <c r="SFU2" s="65"/>
      <c r="SFV2" s="65"/>
      <c r="SFW2" s="65"/>
      <c r="SFX2" s="65"/>
      <c r="SFY2" s="65"/>
      <c r="SFZ2" s="65"/>
      <c r="SGA2" s="65"/>
      <c r="SGB2" s="65"/>
      <c r="SGC2" s="65"/>
      <c r="SGD2" s="65"/>
      <c r="SGE2" s="65"/>
      <c r="SGF2" s="65"/>
      <c r="SGG2" s="65"/>
      <c r="SGH2" s="65"/>
      <c r="SGI2" s="65"/>
      <c r="SGJ2" s="65"/>
      <c r="SGK2" s="65"/>
      <c r="SGL2" s="65"/>
      <c r="SGM2" s="65"/>
      <c r="SGN2" s="65"/>
      <c r="SGO2" s="65"/>
      <c r="SGP2" s="65"/>
      <c r="SGQ2" s="65"/>
      <c r="SGR2" s="65"/>
      <c r="SGS2" s="65"/>
      <c r="SGT2" s="65"/>
      <c r="SGU2" s="65"/>
      <c r="SGV2" s="65"/>
      <c r="SGW2" s="65"/>
      <c r="SGX2" s="65"/>
      <c r="SGY2" s="65"/>
      <c r="SGZ2" s="65"/>
      <c r="SHA2" s="65"/>
      <c r="SHB2" s="65"/>
      <c r="SHC2" s="65"/>
      <c r="SHD2" s="65"/>
      <c r="SHE2" s="65"/>
      <c r="SHF2" s="65"/>
      <c r="SHG2" s="65"/>
      <c r="SHH2" s="65"/>
      <c r="SHI2" s="65"/>
      <c r="SHJ2" s="65"/>
      <c r="SHK2" s="65"/>
      <c r="SHL2" s="65"/>
      <c r="SHM2" s="65"/>
      <c r="SHN2" s="65"/>
      <c r="SHO2" s="65"/>
      <c r="SHP2" s="65"/>
      <c r="SHQ2" s="65"/>
      <c r="SHR2" s="65"/>
      <c r="SHS2" s="65"/>
      <c r="SHT2" s="65"/>
      <c r="SHU2" s="65"/>
      <c r="SHV2" s="65"/>
      <c r="SHW2" s="65"/>
      <c r="SHX2" s="65"/>
      <c r="SHY2" s="65"/>
      <c r="SHZ2" s="65"/>
      <c r="SIA2" s="65"/>
      <c r="SIB2" s="65"/>
      <c r="SIC2" s="65"/>
      <c r="SID2" s="65"/>
      <c r="SIE2" s="65"/>
      <c r="SIF2" s="65"/>
      <c r="SIG2" s="65"/>
      <c r="SIH2" s="65"/>
      <c r="SII2" s="65"/>
      <c r="SIJ2" s="65"/>
      <c r="SIK2" s="65"/>
      <c r="SIL2" s="65"/>
      <c r="SIM2" s="65"/>
      <c r="SIN2" s="65"/>
      <c r="SIO2" s="65"/>
      <c r="SIP2" s="65"/>
      <c r="SIQ2" s="65"/>
      <c r="SIR2" s="65"/>
      <c r="SIS2" s="65"/>
      <c r="SIT2" s="65"/>
      <c r="SIU2" s="65"/>
      <c r="SIV2" s="65"/>
      <c r="SIW2" s="65"/>
      <c r="SIX2" s="65"/>
      <c r="SIY2" s="65"/>
      <c r="SIZ2" s="65"/>
      <c r="SJA2" s="65"/>
      <c r="SJB2" s="65"/>
      <c r="SJC2" s="65"/>
      <c r="SJD2" s="65"/>
      <c r="SJE2" s="65"/>
      <c r="SJF2" s="65"/>
      <c r="SJG2" s="65"/>
      <c r="SJH2" s="65"/>
      <c r="SJI2" s="65"/>
      <c r="SJJ2" s="65"/>
      <c r="SJK2" s="65"/>
      <c r="SJL2" s="65"/>
      <c r="SJM2" s="65"/>
      <c r="SJN2" s="65"/>
      <c r="SJO2" s="65"/>
      <c r="SJP2" s="65"/>
      <c r="SJQ2" s="65"/>
      <c r="SJR2" s="65"/>
      <c r="SJS2" s="65"/>
      <c r="SJT2" s="65"/>
      <c r="SJU2" s="65"/>
      <c r="SJV2" s="65"/>
      <c r="SJW2" s="65"/>
      <c r="SJX2" s="65"/>
      <c r="SJY2" s="65"/>
      <c r="SJZ2" s="65"/>
      <c r="SKA2" s="65"/>
      <c r="SKB2" s="65"/>
      <c r="SKC2" s="65"/>
      <c r="SKD2" s="65"/>
      <c r="SKE2" s="65"/>
      <c r="SKF2" s="65"/>
      <c r="SKG2" s="65"/>
      <c r="SKH2" s="65"/>
      <c r="SKI2" s="65"/>
      <c r="SKJ2" s="65"/>
      <c r="SKK2" s="65"/>
      <c r="SKL2" s="65"/>
      <c r="SKM2" s="65"/>
      <c r="SKN2" s="65"/>
      <c r="SKO2" s="65"/>
      <c r="SKP2" s="65"/>
      <c r="SKQ2" s="65"/>
      <c r="SKR2" s="65"/>
      <c r="SKS2" s="65"/>
      <c r="SKT2" s="65"/>
      <c r="SKU2" s="65"/>
      <c r="SKV2" s="65"/>
      <c r="SKW2" s="65"/>
      <c r="SKX2" s="65"/>
      <c r="SKY2" s="65"/>
      <c r="SKZ2" s="65"/>
      <c r="SLA2" s="65"/>
      <c r="SLB2" s="65"/>
      <c r="SLC2" s="65"/>
      <c r="SLD2" s="65"/>
      <c r="SLE2" s="65"/>
      <c r="SLF2" s="65"/>
      <c r="SLG2" s="65"/>
      <c r="SLH2" s="65"/>
      <c r="SLI2" s="65"/>
      <c r="SLJ2" s="65"/>
      <c r="SLK2" s="65"/>
      <c r="SLL2" s="65"/>
      <c r="SLM2" s="65"/>
      <c r="SLN2" s="65"/>
      <c r="SLO2" s="65"/>
      <c r="SLP2" s="65"/>
      <c r="SLQ2" s="65"/>
      <c r="SLR2" s="65"/>
      <c r="SLS2" s="65"/>
      <c r="SLT2" s="65"/>
      <c r="SLU2" s="65"/>
      <c r="SLV2" s="65"/>
      <c r="SLW2" s="65"/>
      <c r="SLX2" s="65"/>
      <c r="SLY2" s="65"/>
      <c r="SLZ2" s="65"/>
      <c r="SMA2" s="65"/>
      <c r="SMB2" s="65"/>
      <c r="SMC2" s="65"/>
      <c r="SMD2" s="65"/>
      <c r="SME2" s="65"/>
      <c r="SMF2" s="65"/>
      <c r="SMG2" s="65"/>
      <c r="SMH2" s="65"/>
      <c r="SMI2" s="65"/>
      <c r="SMJ2" s="65"/>
      <c r="SMK2" s="65"/>
      <c r="SML2" s="65"/>
      <c r="SMM2" s="65"/>
      <c r="SMN2" s="65"/>
      <c r="SMO2" s="65"/>
      <c r="SMP2" s="65"/>
      <c r="SMQ2" s="65"/>
      <c r="SMR2" s="65"/>
      <c r="SMS2" s="65"/>
      <c r="SMT2" s="65"/>
      <c r="SMU2" s="65"/>
      <c r="SMV2" s="65"/>
      <c r="SMW2" s="65"/>
      <c r="SMX2" s="65"/>
      <c r="SMY2" s="65"/>
      <c r="SMZ2" s="65"/>
      <c r="SNA2" s="65"/>
      <c r="SNB2" s="65"/>
      <c r="SNC2" s="65"/>
      <c r="SND2" s="65"/>
      <c r="SNE2" s="65"/>
      <c r="SNF2" s="65"/>
      <c r="SNG2" s="65"/>
      <c r="SNH2" s="65"/>
      <c r="SNI2" s="65"/>
      <c r="SNJ2" s="65"/>
      <c r="SNK2" s="65"/>
      <c r="SNL2" s="65"/>
      <c r="SNM2" s="65"/>
      <c r="SNN2" s="65"/>
      <c r="SNO2" s="65"/>
      <c r="SNP2" s="65"/>
      <c r="SNQ2" s="65"/>
      <c r="SNR2" s="65"/>
      <c r="SNS2" s="65"/>
      <c r="SNT2" s="65"/>
      <c r="SNU2" s="65"/>
      <c r="SNV2" s="65"/>
      <c r="SNW2" s="65"/>
      <c r="SNX2" s="65"/>
      <c r="SNY2" s="65"/>
      <c r="SNZ2" s="65"/>
      <c r="SOA2" s="65"/>
      <c r="SOB2" s="65"/>
      <c r="SOC2" s="65"/>
      <c r="SOD2" s="65"/>
      <c r="SOE2" s="65"/>
      <c r="SOF2" s="65"/>
      <c r="SOG2" s="65"/>
      <c r="SOH2" s="65"/>
      <c r="SOI2" s="65"/>
      <c r="SOJ2" s="65"/>
      <c r="SOK2" s="65"/>
      <c r="SOL2" s="65"/>
      <c r="SOM2" s="65"/>
      <c r="SON2" s="65"/>
      <c r="SOO2" s="65"/>
      <c r="SOP2" s="65"/>
      <c r="SOQ2" s="65"/>
      <c r="SOR2" s="65"/>
      <c r="SOS2" s="65"/>
      <c r="SOT2" s="65"/>
      <c r="SOU2" s="65"/>
      <c r="SOV2" s="65"/>
      <c r="SOW2" s="65"/>
      <c r="SOX2" s="65"/>
      <c r="SOY2" s="65"/>
      <c r="SOZ2" s="65"/>
      <c r="SPA2" s="65"/>
      <c r="SPB2" s="65"/>
      <c r="SPC2" s="65"/>
      <c r="SPD2" s="65"/>
      <c r="SPE2" s="65"/>
      <c r="SPF2" s="65"/>
      <c r="SPG2" s="65"/>
      <c r="SPH2" s="65"/>
      <c r="SPI2" s="65"/>
      <c r="SPJ2" s="65"/>
      <c r="SPK2" s="65"/>
      <c r="SPL2" s="65"/>
      <c r="SPM2" s="65"/>
      <c r="SPN2" s="65"/>
      <c r="SPO2" s="65"/>
      <c r="SPP2" s="65"/>
      <c r="SPQ2" s="65"/>
      <c r="SPR2" s="65"/>
      <c r="SPS2" s="65"/>
      <c r="SPT2" s="65"/>
      <c r="SPU2" s="65"/>
      <c r="SPV2" s="65"/>
      <c r="SPW2" s="65"/>
      <c r="SPX2" s="65"/>
      <c r="SPY2" s="65"/>
      <c r="SPZ2" s="65"/>
      <c r="SQA2" s="65"/>
      <c r="SQB2" s="65"/>
      <c r="SQC2" s="65"/>
      <c r="SQD2" s="65"/>
      <c r="SQE2" s="65"/>
      <c r="SQF2" s="65"/>
      <c r="SQG2" s="65"/>
      <c r="SQH2" s="65"/>
      <c r="SQI2" s="65"/>
      <c r="SQJ2" s="65"/>
      <c r="SQK2" s="65"/>
      <c r="SQL2" s="65"/>
      <c r="SQM2" s="65"/>
      <c r="SQN2" s="65"/>
      <c r="SQO2" s="65"/>
      <c r="SQP2" s="65"/>
      <c r="SQQ2" s="65"/>
      <c r="SQR2" s="65"/>
      <c r="SQS2" s="65"/>
      <c r="SQT2" s="65"/>
      <c r="SQU2" s="65"/>
      <c r="SQV2" s="65"/>
      <c r="SQW2" s="65"/>
      <c r="SQX2" s="65"/>
      <c r="SQY2" s="65"/>
      <c r="SQZ2" s="65"/>
      <c r="SRA2" s="65"/>
      <c r="SRB2" s="65"/>
      <c r="SRC2" s="65"/>
      <c r="SRD2" s="65"/>
      <c r="SRE2" s="65"/>
      <c r="SRF2" s="65"/>
      <c r="SRG2" s="65"/>
      <c r="SRH2" s="65"/>
      <c r="SRI2" s="65"/>
      <c r="SRJ2" s="65"/>
      <c r="SRK2" s="65"/>
      <c r="SRL2" s="65"/>
      <c r="SRM2" s="65"/>
      <c r="SRN2" s="65"/>
      <c r="SRO2" s="65"/>
      <c r="SRP2" s="65"/>
      <c r="SRQ2" s="65"/>
      <c r="SRR2" s="65"/>
      <c r="SRS2" s="65"/>
      <c r="SRT2" s="65"/>
      <c r="SRU2" s="65"/>
      <c r="SRV2" s="65"/>
      <c r="SRW2" s="65"/>
      <c r="SRX2" s="65"/>
      <c r="SRY2" s="65"/>
      <c r="SRZ2" s="65"/>
      <c r="SSA2" s="65"/>
      <c r="SSB2" s="65"/>
      <c r="SSC2" s="65"/>
      <c r="SSD2" s="65"/>
      <c r="SSE2" s="65"/>
      <c r="SSF2" s="65"/>
      <c r="SSG2" s="65"/>
      <c r="SSH2" s="65"/>
      <c r="SSI2" s="65"/>
      <c r="SSJ2" s="65"/>
      <c r="SSK2" s="65"/>
      <c r="SSL2" s="65"/>
      <c r="SSM2" s="65"/>
      <c r="SSN2" s="65"/>
      <c r="SSO2" s="65"/>
      <c r="SSP2" s="65"/>
      <c r="SSQ2" s="65"/>
      <c r="SSR2" s="65"/>
      <c r="SSS2" s="65"/>
      <c r="SST2" s="65"/>
      <c r="SSU2" s="65"/>
      <c r="SSV2" s="65"/>
      <c r="SSW2" s="65"/>
      <c r="SSX2" s="65"/>
      <c r="SSY2" s="65"/>
      <c r="SSZ2" s="65"/>
      <c r="STA2" s="65"/>
      <c r="STB2" s="65"/>
      <c r="STC2" s="65"/>
      <c r="STD2" s="65"/>
      <c r="STE2" s="65"/>
      <c r="STF2" s="65"/>
      <c r="STG2" s="65"/>
      <c r="STH2" s="65"/>
      <c r="STI2" s="65"/>
      <c r="STJ2" s="65"/>
      <c r="STK2" s="65"/>
      <c r="STL2" s="65"/>
      <c r="STM2" s="65"/>
      <c r="STN2" s="65"/>
      <c r="STO2" s="65"/>
      <c r="STP2" s="65"/>
      <c r="STQ2" s="65"/>
      <c r="STR2" s="65"/>
      <c r="STS2" s="65"/>
      <c r="STT2" s="65"/>
      <c r="STU2" s="65"/>
      <c r="STV2" s="65"/>
      <c r="STW2" s="65"/>
      <c r="STX2" s="65"/>
      <c r="STY2" s="65"/>
      <c r="STZ2" s="65"/>
      <c r="SUA2" s="65"/>
      <c r="SUB2" s="65"/>
      <c r="SUC2" s="65"/>
      <c r="SUD2" s="65"/>
      <c r="SUE2" s="65"/>
      <c r="SUF2" s="65"/>
      <c r="SUG2" s="65"/>
      <c r="SUH2" s="65"/>
      <c r="SUI2" s="65"/>
      <c r="SUJ2" s="65"/>
      <c r="SUK2" s="65"/>
      <c r="SUL2" s="65"/>
      <c r="SUM2" s="65"/>
      <c r="SUN2" s="65"/>
      <c r="SUO2" s="65"/>
      <c r="SUP2" s="65"/>
      <c r="SUQ2" s="65"/>
      <c r="SUR2" s="65"/>
      <c r="SUS2" s="65"/>
      <c r="SUT2" s="65"/>
      <c r="SUU2" s="65"/>
      <c r="SUV2" s="65"/>
      <c r="SUW2" s="65"/>
      <c r="SUX2" s="65"/>
      <c r="SUY2" s="65"/>
      <c r="SUZ2" s="65"/>
      <c r="SVA2" s="65"/>
      <c r="SVB2" s="65"/>
      <c r="SVC2" s="65"/>
      <c r="SVD2" s="65"/>
      <c r="SVE2" s="65"/>
      <c r="SVF2" s="65"/>
      <c r="SVG2" s="65"/>
      <c r="SVH2" s="65"/>
      <c r="SVI2" s="65"/>
      <c r="SVJ2" s="65"/>
      <c r="SVK2" s="65"/>
      <c r="SVL2" s="65"/>
      <c r="SVM2" s="65"/>
      <c r="SVN2" s="65"/>
      <c r="SVO2" s="65"/>
      <c r="SVP2" s="65"/>
      <c r="SVQ2" s="65"/>
      <c r="SVR2" s="65"/>
      <c r="SVS2" s="65"/>
      <c r="SVT2" s="65"/>
      <c r="SVU2" s="65"/>
      <c r="SVV2" s="65"/>
      <c r="SVW2" s="65"/>
      <c r="SVX2" s="65"/>
      <c r="SVY2" s="65"/>
      <c r="SVZ2" s="65"/>
      <c r="SWA2" s="65"/>
      <c r="SWB2" s="65"/>
      <c r="SWC2" s="65"/>
      <c r="SWD2" s="65"/>
      <c r="SWE2" s="65"/>
      <c r="SWF2" s="65"/>
      <c r="SWG2" s="65"/>
      <c r="SWH2" s="65"/>
      <c r="SWI2" s="65"/>
      <c r="SWJ2" s="65"/>
      <c r="SWK2" s="65"/>
      <c r="SWL2" s="65"/>
      <c r="SWM2" s="65"/>
      <c r="SWN2" s="65"/>
      <c r="SWO2" s="65"/>
      <c r="SWP2" s="65"/>
      <c r="SWQ2" s="65"/>
      <c r="SWR2" s="65"/>
      <c r="SWS2" s="65"/>
      <c r="SWT2" s="65"/>
      <c r="SWU2" s="65"/>
      <c r="SWV2" s="65"/>
      <c r="SWW2" s="65"/>
      <c r="SWX2" s="65"/>
      <c r="SWY2" s="65"/>
      <c r="SWZ2" s="65"/>
      <c r="SXA2" s="65"/>
      <c r="SXB2" s="65"/>
      <c r="SXC2" s="65"/>
      <c r="SXD2" s="65"/>
      <c r="SXE2" s="65"/>
      <c r="SXF2" s="65"/>
      <c r="SXG2" s="65"/>
      <c r="SXH2" s="65"/>
      <c r="SXI2" s="65"/>
      <c r="SXJ2" s="65"/>
      <c r="SXK2" s="65"/>
      <c r="SXL2" s="65"/>
      <c r="SXM2" s="65"/>
      <c r="SXN2" s="65"/>
      <c r="SXO2" s="65"/>
      <c r="SXP2" s="65"/>
      <c r="SXQ2" s="65"/>
      <c r="SXR2" s="65"/>
      <c r="SXS2" s="65"/>
      <c r="SXT2" s="65"/>
      <c r="SXU2" s="65"/>
      <c r="SXV2" s="65"/>
      <c r="SXW2" s="65"/>
      <c r="SXX2" s="65"/>
      <c r="SXY2" s="65"/>
      <c r="SXZ2" s="65"/>
      <c r="SYA2" s="65"/>
      <c r="SYB2" s="65"/>
      <c r="SYC2" s="65"/>
      <c r="SYD2" s="65"/>
      <c r="SYE2" s="65"/>
      <c r="SYF2" s="65"/>
      <c r="SYG2" s="65"/>
      <c r="SYH2" s="65"/>
      <c r="SYI2" s="65"/>
      <c r="SYJ2" s="65"/>
      <c r="SYK2" s="65"/>
      <c r="SYL2" s="65"/>
      <c r="SYM2" s="65"/>
      <c r="SYN2" s="65"/>
      <c r="SYO2" s="65"/>
      <c r="SYP2" s="65"/>
      <c r="SYQ2" s="65"/>
      <c r="SYR2" s="65"/>
      <c r="SYS2" s="65"/>
      <c r="SYT2" s="65"/>
      <c r="SYU2" s="65"/>
      <c r="SYV2" s="65"/>
      <c r="SYW2" s="65"/>
      <c r="SYX2" s="65"/>
      <c r="SYY2" s="65"/>
      <c r="SYZ2" s="65"/>
      <c r="SZA2" s="65"/>
      <c r="SZB2" s="65"/>
      <c r="SZC2" s="65"/>
      <c r="SZD2" s="65"/>
      <c r="SZE2" s="65"/>
      <c r="SZF2" s="65"/>
      <c r="SZG2" s="65"/>
      <c r="SZH2" s="65"/>
      <c r="SZI2" s="65"/>
      <c r="SZJ2" s="65"/>
      <c r="SZK2" s="65"/>
      <c r="SZL2" s="65"/>
      <c r="SZM2" s="65"/>
      <c r="SZN2" s="65"/>
      <c r="SZO2" s="65"/>
      <c r="SZP2" s="65"/>
      <c r="SZQ2" s="65"/>
      <c r="SZR2" s="65"/>
      <c r="SZS2" s="65"/>
      <c r="SZT2" s="65"/>
      <c r="SZU2" s="65"/>
      <c r="SZV2" s="65"/>
      <c r="SZW2" s="65"/>
      <c r="SZX2" s="65"/>
      <c r="SZY2" s="65"/>
      <c r="SZZ2" s="65"/>
      <c r="TAA2" s="65"/>
      <c r="TAB2" s="65"/>
      <c r="TAC2" s="65"/>
      <c r="TAD2" s="65"/>
      <c r="TAE2" s="65"/>
      <c r="TAF2" s="65"/>
      <c r="TAG2" s="65"/>
      <c r="TAH2" s="65"/>
      <c r="TAI2" s="65"/>
      <c r="TAJ2" s="65"/>
      <c r="TAK2" s="65"/>
      <c r="TAL2" s="65"/>
      <c r="TAM2" s="65"/>
      <c r="TAN2" s="65"/>
      <c r="TAO2" s="65"/>
      <c r="TAP2" s="65"/>
      <c r="TAQ2" s="65"/>
      <c r="TAR2" s="65"/>
      <c r="TAS2" s="65"/>
      <c r="TAT2" s="65"/>
      <c r="TAU2" s="65"/>
      <c r="TAV2" s="65"/>
      <c r="TAW2" s="65"/>
      <c r="TAX2" s="65"/>
      <c r="TAY2" s="65"/>
      <c r="TAZ2" s="65"/>
      <c r="TBA2" s="65"/>
      <c r="TBB2" s="65"/>
      <c r="TBC2" s="65"/>
      <c r="TBD2" s="65"/>
      <c r="TBE2" s="65"/>
      <c r="TBF2" s="65"/>
      <c r="TBG2" s="65"/>
      <c r="TBH2" s="65"/>
      <c r="TBI2" s="65"/>
      <c r="TBJ2" s="65"/>
      <c r="TBK2" s="65"/>
      <c r="TBL2" s="65"/>
      <c r="TBM2" s="65"/>
      <c r="TBN2" s="65"/>
      <c r="TBO2" s="65"/>
      <c r="TBP2" s="65"/>
      <c r="TBQ2" s="65"/>
      <c r="TBR2" s="65"/>
      <c r="TBS2" s="65"/>
      <c r="TBT2" s="65"/>
      <c r="TBU2" s="65"/>
      <c r="TBV2" s="65"/>
      <c r="TBW2" s="65"/>
      <c r="TBX2" s="65"/>
      <c r="TBY2" s="65"/>
      <c r="TBZ2" s="65"/>
      <c r="TCA2" s="65"/>
      <c r="TCB2" s="65"/>
      <c r="TCC2" s="65"/>
      <c r="TCD2" s="65"/>
      <c r="TCE2" s="65"/>
      <c r="TCF2" s="65"/>
      <c r="TCG2" s="65"/>
      <c r="TCH2" s="65"/>
      <c r="TCI2" s="65"/>
      <c r="TCJ2" s="65"/>
      <c r="TCK2" s="65"/>
      <c r="TCL2" s="65"/>
      <c r="TCM2" s="65"/>
      <c r="TCN2" s="65"/>
      <c r="TCO2" s="65"/>
      <c r="TCP2" s="65"/>
      <c r="TCQ2" s="65"/>
      <c r="TCR2" s="65"/>
      <c r="TCS2" s="65"/>
      <c r="TCT2" s="65"/>
      <c r="TCU2" s="65"/>
      <c r="TCV2" s="65"/>
      <c r="TCW2" s="65"/>
      <c r="TCX2" s="65"/>
      <c r="TCY2" s="65"/>
      <c r="TCZ2" s="65"/>
      <c r="TDA2" s="65"/>
      <c r="TDB2" s="65"/>
      <c r="TDC2" s="65"/>
      <c r="TDD2" s="65"/>
      <c r="TDE2" s="65"/>
      <c r="TDF2" s="65"/>
      <c r="TDG2" s="65"/>
      <c r="TDH2" s="65"/>
      <c r="TDI2" s="65"/>
      <c r="TDJ2" s="65"/>
      <c r="TDK2" s="65"/>
      <c r="TDL2" s="65"/>
      <c r="TDM2" s="65"/>
      <c r="TDN2" s="65"/>
      <c r="TDO2" s="65"/>
      <c r="TDP2" s="65"/>
      <c r="TDQ2" s="65"/>
      <c r="TDR2" s="65"/>
      <c r="TDS2" s="65"/>
      <c r="TDT2" s="65"/>
      <c r="TDU2" s="65"/>
      <c r="TDV2" s="65"/>
      <c r="TDW2" s="65"/>
      <c r="TDX2" s="65"/>
      <c r="TDY2" s="65"/>
      <c r="TDZ2" s="65"/>
      <c r="TEA2" s="65"/>
      <c r="TEB2" s="65"/>
      <c r="TEC2" s="65"/>
      <c r="TED2" s="65"/>
      <c r="TEE2" s="65"/>
      <c r="TEF2" s="65"/>
      <c r="TEG2" s="65"/>
      <c r="TEH2" s="65"/>
      <c r="TEI2" s="65"/>
      <c r="TEJ2" s="65"/>
      <c r="TEK2" s="65"/>
      <c r="TEL2" s="65"/>
      <c r="TEM2" s="65"/>
      <c r="TEN2" s="65"/>
      <c r="TEO2" s="65"/>
      <c r="TEP2" s="65"/>
      <c r="TEQ2" s="65"/>
      <c r="TER2" s="65"/>
      <c r="TES2" s="65"/>
      <c r="TET2" s="65"/>
      <c r="TEU2" s="65"/>
      <c r="TEV2" s="65"/>
      <c r="TEW2" s="65"/>
      <c r="TEX2" s="65"/>
      <c r="TEY2" s="65"/>
      <c r="TEZ2" s="65"/>
      <c r="TFA2" s="65"/>
      <c r="TFB2" s="65"/>
      <c r="TFC2" s="65"/>
      <c r="TFD2" s="65"/>
      <c r="TFE2" s="65"/>
      <c r="TFF2" s="65"/>
      <c r="TFG2" s="65"/>
      <c r="TFH2" s="65"/>
      <c r="TFI2" s="65"/>
      <c r="TFJ2" s="65"/>
      <c r="TFK2" s="65"/>
      <c r="TFL2" s="65"/>
      <c r="TFM2" s="65"/>
      <c r="TFN2" s="65"/>
      <c r="TFO2" s="65"/>
      <c r="TFP2" s="65"/>
      <c r="TFQ2" s="65"/>
      <c r="TFR2" s="65"/>
      <c r="TFS2" s="65"/>
      <c r="TFT2" s="65"/>
      <c r="TFU2" s="65"/>
      <c r="TFV2" s="65"/>
      <c r="TFW2" s="65"/>
      <c r="TFX2" s="65"/>
      <c r="TFY2" s="65"/>
      <c r="TFZ2" s="65"/>
      <c r="TGA2" s="65"/>
      <c r="TGB2" s="65"/>
      <c r="TGC2" s="65"/>
      <c r="TGD2" s="65"/>
      <c r="TGE2" s="65"/>
      <c r="TGF2" s="65"/>
      <c r="TGG2" s="65"/>
      <c r="TGH2" s="65"/>
      <c r="TGI2" s="65"/>
      <c r="TGJ2" s="65"/>
      <c r="TGK2" s="65"/>
      <c r="TGL2" s="65"/>
      <c r="TGM2" s="65"/>
      <c r="TGN2" s="65"/>
      <c r="TGO2" s="65"/>
      <c r="TGP2" s="65"/>
      <c r="TGQ2" s="65"/>
      <c r="TGR2" s="65"/>
      <c r="TGS2" s="65"/>
      <c r="TGT2" s="65"/>
      <c r="TGU2" s="65"/>
      <c r="TGV2" s="65"/>
      <c r="TGW2" s="65"/>
      <c r="TGX2" s="65"/>
      <c r="TGY2" s="65"/>
      <c r="TGZ2" s="65"/>
      <c r="THA2" s="65"/>
      <c r="THB2" s="65"/>
      <c r="THC2" s="65"/>
      <c r="THD2" s="65"/>
      <c r="THE2" s="65"/>
      <c r="THF2" s="65"/>
      <c r="THG2" s="65"/>
      <c r="THH2" s="65"/>
      <c r="THI2" s="65"/>
      <c r="THJ2" s="65"/>
      <c r="THK2" s="65"/>
      <c r="THL2" s="65"/>
      <c r="THM2" s="65"/>
      <c r="THN2" s="65"/>
      <c r="THO2" s="65"/>
      <c r="THP2" s="65"/>
      <c r="THQ2" s="65"/>
      <c r="THR2" s="65"/>
      <c r="THS2" s="65"/>
      <c r="THT2" s="65"/>
      <c r="THU2" s="65"/>
      <c r="THV2" s="65"/>
      <c r="THW2" s="65"/>
      <c r="THX2" s="65"/>
      <c r="THY2" s="65"/>
      <c r="THZ2" s="65"/>
      <c r="TIA2" s="65"/>
      <c r="TIB2" s="65"/>
      <c r="TIC2" s="65"/>
      <c r="TID2" s="65"/>
      <c r="TIE2" s="65"/>
      <c r="TIF2" s="65"/>
      <c r="TIG2" s="65"/>
      <c r="TIH2" s="65"/>
      <c r="TII2" s="65"/>
      <c r="TIJ2" s="65"/>
      <c r="TIK2" s="65"/>
      <c r="TIL2" s="65"/>
      <c r="TIM2" s="65"/>
      <c r="TIN2" s="65"/>
      <c r="TIO2" s="65"/>
      <c r="TIP2" s="65"/>
      <c r="TIQ2" s="65"/>
      <c r="TIR2" s="65"/>
      <c r="TIS2" s="65"/>
      <c r="TIT2" s="65"/>
      <c r="TIU2" s="65"/>
      <c r="TIV2" s="65"/>
      <c r="TIW2" s="65"/>
      <c r="TIX2" s="65"/>
      <c r="TIY2" s="65"/>
      <c r="TIZ2" s="65"/>
      <c r="TJA2" s="65"/>
      <c r="TJB2" s="65"/>
      <c r="TJC2" s="65"/>
      <c r="TJD2" s="65"/>
      <c r="TJE2" s="65"/>
      <c r="TJF2" s="65"/>
      <c r="TJG2" s="65"/>
      <c r="TJH2" s="65"/>
      <c r="TJI2" s="65"/>
      <c r="TJJ2" s="65"/>
      <c r="TJK2" s="65"/>
      <c r="TJL2" s="65"/>
      <c r="TJM2" s="65"/>
      <c r="TJN2" s="65"/>
      <c r="TJO2" s="65"/>
      <c r="TJP2" s="65"/>
      <c r="TJQ2" s="65"/>
      <c r="TJR2" s="65"/>
      <c r="TJS2" s="65"/>
      <c r="TJT2" s="65"/>
      <c r="TJU2" s="65"/>
      <c r="TJV2" s="65"/>
      <c r="TJW2" s="65"/>
      <c r="TJX2" s="65"/>
      <c r="TJY2" s="65"/>
      <c r="TJZ2" s="65"/>
      <c r="TKA2" s="65"/>
      <c r="TKB2" s="65"/>
      <c r="TKC2" s="65"/>
      <c r="TKD2" s="65"/>
      <c r="TKE2" s="65"/>
      <c r="TKF2" s="65"/>
      <c r="TKG2" s="65"/>
      <c r="TKH2" s="65"/>
      <c r="TKI2" s="65"/>
      <c r="TKJ2" s="65"/>
      <c r="TKK2" s="65"/>
      <c r="TKL2" s="65"/>
      <c r="TKM2" s="65"/>
      <c r="TKN2" s="65"/>
      <c r="TKO2" s="65"/>
      <c r="TKP2" s="65"/>
      <c r="TKQ2" s="65"/>
      <c r="TKR2" s="65"/>
      <c r="TKS2" s="65"/>
      <c r="TKT2" s="65"/>
      <c r="TKU2" s="65"/>
      <c r="TKV2" s="65"/>
      <c r="TKW2" s="65"/>
      <c r="TKX2" s="65"/>
      <c r="TKY2" s="65"/>
      <c r="TKZ2" s="65"/>
      <c r="TLA2" s="65"/>
      <c r="TLB2" s="65"/>
      <c r="TLC2" s="65"/>
      <c r="TLD2" s="65"/>
      <c r="TLE2" s="65"/>
      <c r="TLF2" s="65"/>
      <c r="TLG2" s="65"/>
      <c r="TLH2" s="65"/>
      <c r="TLI2" s="65"/>
      <c r="TLJ2" s="65"/>
      <c r="TLK2" s="65"/>
      <c r="TLL2" s="65"/>
      <c r="TLM2" s="65"/>
      <c r="TLN2" s="65"/>
      <c r="TLO2" s="65"/>
      <c r="TLP2" s="65"/>
      <c r="TLQ2" s="65"/>
      <c r="TLR2" s="65"/>
      <c r="TLS2" s="65"/>
      <c r="TLT2" s="65"/>
      <c r="TLU2" s="65"/>
      <c r="TLV2" s="65"/>
      <c r="TLW2" s="65"/>
      <c r="TLX2" s="65"/>
      <c r="TLY2" s="65"/>
      <c r="TLZ2" s="65"/>
      <c r="TMA2" s="65"/>
      <c r="TMB2" s="65"/>
      <c r="TMC2" s="65"/>
      <c r="TMD2" s="65"/>
      <c r="TME2" s="65"/>
      <c r="TMF2" s="65"/>
      <c r="TMG2" s="65"/>
      <c r="TMH2" s="65"/>
      <c r="TMI2" s="65"/>
      <c r="TMJ2" s="65"/>
      <c r="TMK2" s="65"/>
      <c r="TML2" s="65"/>
      <c r="TMM2" s="65"/>
      <c r="TMN2" s="65"/>
      <c r="TMO2" s="65"/>
      <c r="TMP2" s="65"/>
      <c r="TMQ2" s="65"/>
      <c r="TMR2" s="65"/>
      <c r="TMS2" s="65"/>
      <c r="TMT2" s="65"/>
      <c r="TMU2" s="65"/>
      <c r="TMV2" s="65"/>
      <c r="TMW2" s="65"/>
      <c r="TMX2" s="65"/>
      <c r="TMY2" s="65"/>
      <c r="TMZ2" s="65"/>
      <c r="TNA2" s="65"/>
      <c r="TNB2" s="65"/>
      <c r="TNC2" s="65"/>
      <c r="TND2" s="65"/>
      <c r="TNE2" s="65"/>
      <c r="TNF2" s="65"/>
      <c r="TNG2" s="65"/>
      <c r="TNH2" s="65"/>
      <c r="TNI2" s="65"/>
      <c r="TNJ2" s="65"/>
      <c r="TNK2" s="65"/>
      <c r="TNL2" s="65"/>
      <c r="TNM2" s="65"/>
      <c r="TNN2" s="65"/>
      <c r="TNO2" s="65"/>
      <c r="TNP2" s="65"/>
      <c r="TNQ2" s="65"/>
      <c r="TNR2" s="65"/>
      <c r="TNS2" s="65"/>
      <c r="TNT2" s="65"/>
      <c r="TNU2" s="65"/>
      <c r="TNV2" s="65"/>
      <c r="TNW2" s="65"/>
      <c r="TNX2" s="65"/>
      <c r="TNY2" s="65"/>
      <c r="TNZ2" s="65"/>
      <c r="TOA2" s="65"/>
      <c r="TOB2" s="65"/>
      <c r="TOC2" s="65"/>
      <c r="TOD2" s="65"/>
      <c r="TOE2" s="65"/>
      <c r="TOF2" s="65"/>
      <c r="TOG2" s="65"/>
      <c r="TOH2" s="65"/>
      <c r="TOI2" s="65"/>
      <c r="TOJ2" s="65"/>
      <c r="TOK2" s="65"/>
      <c r="TOL2" s="65"/>
      <c r="TOM2" s="65"/>
      <c r="TON2" s="65"/>
      <c r="TOO2" s="65"/>
      <c r="TOP2" s="65"/>
      <c r="TOQ2" s="65"/>
      <c r="TOR2" s="65"/>
      <c r="TOS2" s="65"/>
      <c r="TOT2" s="65"/>
      <c r="TOU2" s="65"/>
      <c r="TOV2" s="65"/>
      <c r="TOW2" s="65"/>
      <c r="TOX2" s="65"/>
      <c r="TOY2" s="65"/>
      <c r="TOZ2" s="65"/>
      <c r="TPA2" s="65"/>
      <c r="TPB2" s="65"/>
      <c r="TPC2" s="65"/>
      <c r="TPD2" s="65"/>
      <c r="TPE2" s="65"/>
      <c r="TPF2" s="65"/>
      <c r="TPG2" s="65"/>
      <c r="TPH2" s="65"/>
      <c r="TPI2" s="65"/>
      <c r="TPJ2" s="65"/>
      <c r="TPK2" s="65"/>
      <c r="TPL2" s="65"/>
      <c r="TPM2" s="65"/>
      <c r="TPN2" s="65"/>
      <c r="TPO2" s="65"/>
      <c r="TPP2" s="65"/>
      <c r="TPQ2" s="65"/>
      <c r="TPR2" s="65"/>
      <c r="TPS2" s="65"/>
      <c r="TPT2" s="65"/>
      <c r="TPU2" s="65"/>
      <c r="TPV2" s="65"/>
      <c r="TPW2" s="65"/>
      <c r="TPX2" s="65"/>
      <c r="TPY2" s="65"/>
      <c r="TPZ2" s="65"/>
      <c r="TQA2" s="65"/>
      <c r="TQB2" s="65"/>
      <c r="TQC2" s="65"/>
      <c r="TQD2" s="65"/>
      <c r="TQE2" s="65"/>
      <c r="TQF2" s="65"/>
      <c r="TQG2" s="65"/>
      <c r="TQH2" s="65"/>
      <c r="TQI2" s="65"/>
      <c r="TQJ2" s="65"/>
      <c r="TQK2" s="65"/>
      <c r="TQL2" s="65"/>
      <c r="TQM2" s="65"/>
      <c r="TQN2" s="65"/>
      <c r="TQO2" s="65"/>
      <c r="TQP2" s="65"/>
      <c r="TQQ2" s="65"/>
      <c r="TQR2" s="65"/>
      <c r="TQS2" s="65"/>
      <c r="TQT2" s="65"/>
      <c r="TQU2" s="65"/>
      <c r="TQV2" s="65"/>
      <c r="TQW2" s="65"/>
      <c r="TQX2" s="65"/>
      <c r="TQY2" s="65"/>
      <c r="TQZ2" s="65"/>
      <c r="TRA2" s="65"/>
      <c r="TRB2" s="65"/>
      <c r="TRC2" s="65"/>
      <c r="TRD2" s="65"/>
      <c r="TRE2" s="65"/>
      <c r="TRF2" s="65"/>
      <c r="TRG2" s="65"/>
      <c r="TRH2" s="65"/>
      <c r="TRI2" s="65"/>
      <c r="TRJ2" s="65"/>
      <c r="TRK2" s="65"/>
      <c r="TRL2" s="65"/>
      <c r="TRM2" s="65"/>
      <c r="TRN2" s="65"/>
      <c r="TRO2" s="65"/>
      <c r="TRP2" s="65"/>
      <c r="TRQ2" s="65"/>
      <c r="TRR2" s="65"/>
      <c r="TRS2" s="65"/>
      <c r="TRT2" s="65"/>
      <c r="TRU2" s="65"/>
      <c r="TRV2" s="65"/>
      <c r="TRW2" s="65"/>
      <c r="TRX2" s="65"/>
      <c r="TRY2" s="65"/>
      <c r="TRZ2" s="65"/>
      <c r="TSA2" s="65"/>
      <c r="TSB2" s="65"/>
      <c r="TSC2" s="65"/>
      <c r="TSD2" s="65"/>
      <c r="TSE2" s="65"/>
      <c r="TSF2" s="65"/>
      <c r="TSG2" s="65"/>
      <c r="TSH2" s="65"/>
      <c r="TSI2" s="65"/>
      <c r="TSJ2" s="65"/>
      <c r="TSK2" s="65"/>
      <c r="TSL2" s="65"/>
      <c r="TSM2" s="65"/>
      <c r="TSN2" s="65"/>
      <c r="TSO2" s="65"/>
      <c r="TSP2" s="65"/>
      <c r="TSQ2" s="65"/>
      <c r="TSR2" s="65"/>
      <c r="TSS2" s="65"/>
      <c r="TST2" s="65"/>
      <c r="TSU2" s="65"/>
      <c r="TSV2" s="65"/>
      <c r="TSW2" s="65"/>
      <c r="TSX2" s="65"/>
      <c r="TSY2" s="65"/>
      <c r="TSZ2" s="65"/>
      <c r="TTA2" s="65"/>
      <c r="TTB2" s="65"/>
      <c r="TTC2" s="65"/>
      <c r="TTD2" s="65"/>
      <c r="TTE2" s="65"/>
      <c r="TTF2" s="65"/>
      <c r="TTG2" s="65"/>
      <c r="TTH2" s="65"/>
      <c r="TTI2" s="65"/>
      <c r="TTJ2" s="65"/>
      <c r="TTK2" s="65"/>
      <c r="TTL2" s="65"/>
      <c r="TTM2" s="65"/>
      <c r="TTN2" s="65"/>
      <c r="TTO2" s="65"/>
      <c r="TTP2" s="65"/>
      <c r="TTQ2" s="65"/>
      <c r="TTR2" s="65"/>
      <c r="TTS2" s="65"/>
      <c r="TTT2" s="65"/>
      <c r="TTU2" s="65"/>
      <c r="TTV2" s="65"/>
      <c r="TTW2" s="65"/>
      <c r="TTX2" s="65"/>
      <c r="TTY2" s="65"/>
      <c r="TTZ2" s="65"/>
      <c r="TUA2" s="65"/>
      <c r="TUB2" s="65"/>
      <c r="TUC2" s="65"/>
      <c r="TUD2" s="65"/>
      <c r="TUE2" s="65"/>
      <c r="TUF2" s="65"/>
      <c r="TUG2" s="65"/>
      <c r="TUH2" s="65"/>
      <c r="TUI2" s="65"/>
      <c r="TUJ2" s="65"/>
      <c r="TUK2" s="65"/>
      <c r="TUL2" s="65"/>
      <c r="TUM2" s="65"/>
      <c r="TUN2" s="65"/>
      <c r="TUO2" s="65"/>
      <c r="TUP2" s="65"/>
      <c r="TUQ2" s="65"/>
      <c r="TUR2" s="65"/>
      <c r="TUS2" s="65"/>
      <c r="TUT2" s="65"/>
      <c r="TUU2" s="65"/>
      <c r="TUV2" s="65"/>
      <c r="TUW2" s="65"/>
      <c r="TUX2" s="65"/>
      <c r="TUY2" s="65"/>
      <c r="TUZ2" s="65"/>
      <c r="TVA2" s="65"/>
      <c r="TVB2" s="65"/>
      <c r="TVC2" s="65"/>
      <c r="TVD2" s="65"/>
      <c r="TVE2" s="65"/>
      <c r="TVF2" s="65"/>
      <c r="TVG2" s="65"/>
      <c r="TVH2" s="65"/>
      <c r="TVI2" s="65"/>
      <c r="TVJ2" s="65"/>
      <c r="TVK2" s="65"/>
      <c r="TVL2" s="65"/>
      <c r="TVM2" s="65"/>
      <c r="TVN2" s="65"/>
      <c r="TVO2" s="65"/>
      <c r="TVP2" s="65"/>
      <c r="TVQ2" s="65"/>
      <c r="TVR2" s="65"/>
      <c r="TVS2" s="65"/>
      <c r="TVT2" s="65"/>
      <c r="TVU2" s="65"/>
      <c r="TVV2" s="65"/>
      <c r="TVW2" s="65"/>
      <c r="TVX2" s="65"/>
      <c r="TVY2" s="65"/>
      <c r="TVZ2" s="65"/>
      <c r="TWA2" s="65"/>
      <c r="TWB2" s="65"/>
      <c r="TWC2" s="65"/>
      <c r="TWD2" s="65"/>
      <c r="TWE2" s="65"/>
      <c r="TWF2" s="65"/>
      <c r="TWG2" s="65"/>
      <c r="TWH2" s="65"/>
      <c r="TWI2" s="65"/>
      <c r="TWJ2" s="65"/>
      <c r="TWK2" s="65"/>
      <c r="TWL2" s="65"/>
      <c r="TWM2" s="65"/>
      <c r="TWN2" s="65"/>
      <c r="TWO2" s="65"/>
      <c r="TWP2" s="65"/>
      <c r="TWQ2" s="65"/>
      <c r="TWR2" s="65"/>
      <c r="TWS2" s="65"/>
      <c r="TWT2" s="65"/>
      <c r="TWU2" s="65"/>
      <c r="TWV2" s="65"/>
      <c r="TWW2" s="65"/>
      <c r="TWX2" s="65"/>
      <c r="TWY2" s="65"/>
      <c r="TWZ2" s="65"/>
      <c r="TXA2" s="65"/>
      <c r="TXB2" s="65"/>
      <c r="TXC2" s="65"/>
      <c r="TXD2" s="65"/>
      <c r="TXE2" s="65"/>
      <c r="TXF2" s="65"/>
      <c r="TXG2" s="65"/>
      <c r="TXH2" s="65"/>
      <c r="TXI2" s="65"/>
      <c r="TXJ2" s="65"/>
      <c r="TXK2" s="65"/>
      <c r="TXL2" s="65"/>
      <c r="TXM2" s="65"/>
      <c r="TXN2" s="65"/>
      <c r="TXO2" s="65"/>
      <c r="TXP2" s="65"/>
      <c r="TXQ2" s="65"/>
      <c r="TXR2" s="65"/>
      <c r="TXS2" s="65"/>
      <c r="TXT2" s="65"/>
      <c r="TXU2" s="65"/>
      <c r="TXV2" s="65"/>
      <c r="TXW2" s="65"/>
      <c r="TXX2" s="65"/>
      <c r="TXY2" s="65"/>
      <c r="TXZ2" s="65"/>
      <c r="TYA2" s="65"/>
      <c r="TYB2" s="65"/>
      <c r="TYC2" s="65"/>
      <c r="TYD2" s="65"/>
      <c r="TYE2" s="65"/>
      <c r="TYF2" s="65"/>
      <c r="TYG2" s="65"/>
      <c r="TYH2" s="65"/>
      <c r="TYI2" s="65"/>
      <c r="TYJ2" s="65"/>
      <c r="TYK2" s="65"/>
      <c r="TYL2" s="65"/>
      <c r="TYM2" s="65"/>
      <c r="TYN2" s="65"/>
      <c r="TYO2" s="65"/>
      <c r="TYP2" s="65"/>
      <c r="TYQ2" s="65"/>
      <c r="TYR2" s="65"/>
      <c r="TYS2" s="65"/>
      <c r="TYT2" s="65"/>
      <c r="TYU2" s="65"/>
      <c r="TYV2" s="65"/>
      <c r="TYW2" s="65"/>
      <c r="TYX2" s="65"/>
      <c r="TYY2" s="65"/>
      <c r="TYZ2" s="65"/>
      <c r="TZA2" s="65"/>
      <c r="TZB2" s="65"/>
      <c r="TZC2" s="65"/>
      <c r="TZD2" s="65"/>
      <c r="TZE2" s="65"/>
      <c r="TZF2" s="65"/>
      <c r="TZG2" s="65"/>
      <c r="TZH2" s="65"/>
      <c r="TZI2" s="65"/>
      <c r="TZJ2" s="65"/>
      <c r="TZK2" s="65"/>
      <c r="TZL2" s="65"/>
      <c r="TZM2" s="65"/>
      <c r="TZN2" s="65"/>
      <c r="TZO2" s="65"/>
      <c r="TZP2" s="65"/>
      <c r="TZQ2" s="65"/>
      <c r="TZR2" s="65"/>
      <c r="TZS2" s="65"/>
      <c r="TZT2" s="65"/>
      <c r="TZU2" s="65"/>
      <c r="TZV2" s="65"/>
      <c r="TZW2" s="65"/>
      <c r="TZX2" s="65"/>
      <c r="TZY2" s="65"/>
      <c r="TZZ2" s="65"/>
      <c r="UAA2" s="65"/>
      <c r="UAB2" s="65"/>
      <c r="UAC2" s="65"/>
      <c r="UAD2" s="65"/>
      <c r="UAE2" s="65"/>
      <c r="UAF2" s="65"/>
      <c r="UAG2" s="65"/>
      <c r="UAH2" s="65"/>
      <c r="UAI2" s="65"/>
      <c r="UAJ2" s="65"/>
      <c r="UAK2" s="65"/>
      <c r="UAL2" s="65"/>
      <c r="UAM2" s="65"/>
      <c r="UAN2" s="65"/>
      <c r="UAO2" s="65"/>
      <c r="UAP2" s="65"/>
      <c r="UAQ2" s="65"/>
      <c r="UAR2" s="65"/>
      <c r="UAS2" s="65"/>
      <c r="UAT2" s="65"/>
      <c r="UAU2" s="65"/>
      <c r="UAV2" s="65"/>
      <c r="UAW2" s="65"/>
      <c r="UAX2" s="65"/>
      <c r="UAY2" s="65"/>
      <c r="UAZ2" s="65"/>
      <c r="UBA2" s="65"/>
      <c r="UBB2" s="65"/>
      <c r="UBC2" s="65"/>
      <c r="UBD2" s="65"/>
      <c r="UBE2" s="65"/>
      <c r="UBF2" s="65"/>
      <c r="UBG2" s="65"/>
      <c r="UBH2" s="65"/>
      <c r="UBI2" s="65"/>
      <c r="UBJ2" s="65"/>
      <c r="UBK2" s="65"/>
      <c r="UBL2" s="65"/>
      <c r="UBM2" s="65"/>
      <c r="UBN2" s="65"/>
      <c r="UBO2" s="65"/>
      <c r="UBP2" s="65"/>
      <c r="UBQ2" s="65"/>
      <c r="UBR2" s="65"/>
      <c r="UBS2" s="65"/>
      <c r="UBT2" s="65"/>
      <c r="UBU2" s="65"/>
      <c r="UBV2" s="65"/>
      <c r="UBW2" s="65"/>
      <c r="UBX2" s="65"/>
      <c r="UBY2" s="65"/>
      <c r="UBZ2" s="65"/>
      <c r="UCA2" s="65"/>
      <c r="UCB2" s="65"/>
      <c r="UCC2" s="65"/>
      <c r="UCD2" s="65"/>
      <c r="UCE2" s="65"/>
      <c r="UCF2" s="65"/>
      <c r="UCG2" s="65"/>
      <c r="UCH2" s="65"/>
      <c r="UCI2" s="65"/>
      <c r="UCJ2" s="65"/>
      <c r="UCK2" s="65"/>
      <c r="UCL2" s="65"/>
      <c r="UCM2" s="65"/>
      <c r="UCN2" s="65"/>
      <c r="UCO2" s="65"/>
      <c r="UCP2" s="65"/>
      <c r="UCQ2" s="65"/>
      <c r="UCR2" s="65"/>
      <c r="UCS2" s="65"/>
      <c r="UCT2" s="65"/>
      <c r="UCU2" s="65"/>
      <c r="UCV2" s="65"/>
      <c r="UCW2" s="65"/>
      <c r="UCX2" s="65"/>
      <c r="UCY2" s="65"/>
      <c r="UCZ2" s="65"/>
      <c r="UDA2" s="65"/>
      <c r="UDB2" s="65"/>
      <c r="UDC2" s="65"/>
      <c r="UDD2" s="65"/>
      <c r="UDE2" s="65"/>
      <c r="UDF2" s="65"/>
      <c r="UDG2" s="65"/>
      <c r="UDH2" s="65"/>
      <c r="UDI2" s="65"/>
      <c r="UDJ2" s="65"/>
      <c r="UDK2" s="65"/>
      <c r="UDL2" s="65"/>
      <c r="UDM2" s="65"/>
      <c r="UDN2" s="65"/>
      <c r="UDO2" s="65"/>
      <c r="UDP2" s="65"/>
      <c r="UDQ2" s="65"/>
      <c r="UDR2" s="65"/>
      <c r="UDS2" s="65"/>
      <c r="UDT2" s="65"/>
      <c r="UDU2" s="65"/>
      <c r="UDV2" s="65"/>
      <c r="UDW2" s="65"/>
      <c r="UDX2" s="65"/>
      <c r="UDY2" s="65"/>
      <c r="UDZ2" s="65"/>
      <c r="UEA2" s="65"/>
      <c r="UEB2" s="65"/>
      <c r="UEC2" s="65"/>
      <c r="UED2" s="65"/>
      <c r="UEE2" s="65"/>
      <c r="UEF2" s="65"/>
      <c r="UEG2" s="65"/>
      <c r="UEH2" s="65"/>
      <c r="UEI2" s="65"/>
      <c r="UEJ2" s="65"/>
      <c r="UEK2" s="65"/>
      <c r="UEL2" s="65"/>
      <c r="UEM2" s="65"/>
      <c r="UEN2" s="65"/>
      <c r="UEO2" s="65"/>
      <c r="UEP2" s="65"/>
      <c r="UEQ2" s="65"/>
      <c r="UER2" s="65"/>
      <c r="UES2" s="65"/>
      <c r="UET2" s="65"/>
      <c r="UEU2" s="65"/>
      <c r="UEV2" s="65"/>
      <c r="UEW2" s="65"/>
      <c r="UEX2" s="65"/>
      <c r="UEY2" s="65"/>
      <c r="UEZ2" s="65"/>
      <c r="UFA2" s="65"/>
      <c r="UFB2" s="65"/>
      <c r="UFC2" s="65"/>
      <c r="UFD2" s="65"/>
      <c r="UFE2" s="65"/>
      <c r="UFF2" s="65"/>
      <c r="UFG2" s="65"/>
      <c r="UFH2" s="65"/>
      <c r="UFI2" s="65"/>
      <c r="UFJ2" s="65"/>
      <c r="UFK2" s="65"/>
      <c r="UFL2" s="65"/>
      <c r="UFM2" s="65"/>
      <c r="UFN2" s="65"/>
      <c r="UFO2" s="65"/>
      <c r="UFP2" s="65"/>
      <c r="UFQ2" s="65"/>
      <c r="UFR2" s="65"/>
      <c r="UFS2" s="65"/>
      <c r="UFT2" s="65"/>
      <c r="UFU2" s="65"/>
      <c r="UFV2" s="65"/>
      <c r="UFW2" s="65"/>
      <c r="UFX2" s="65"/>
      <c r="UFY2" s="65"/>
      <c r="UFZ2" s="65"/>
      <c r="UGA2" s="65"/>
      <c r="UGB2" s="65"/>
      <c r="UGC2" s="65"/>
      <c r="UGD2" s="65"/>
      <c r="UGE2" s="65"/>
      <c r="UGF2" s="65"/>
      <c r="UGG2" s="65"/>
      <c r="UGH2" s="65"/>
      <c r="UGI2" s="65"/>
      <c r="UGJ2" s="65"/>
      <c r="UGK2" s="65"/>
      <c r="UGL2" s="65"/>
      <c r="UGM2" s="65"/>
      <c r="UGN2" s="65"/>
      <c r="UGO2" s="65"/>
      <c r="UGP2" s="65"/>
      <c r="UGQ2" s="65"/>
      <c r="UGR2" s="65"/>
      <c r="UGS2" s="65"/>
      <c r="UGT2" s="65"/>
      <c r="UGU2" s="65"/>
      <c r="UGV2" s="65"/>
      <c r="UGW2" s="65"/>
      <c r="UGX2" s="65"/>
      <c r="UGY2" s="65"/>
      <c r="UGZ2" s="65"/>
      <c r="UHA2" s="65"/>
      <c r="UHB2" s="65"/>
      <c r="UHC2" s="65"/>
      <c r="UHD2" s="65"/>
      <c r="UHE2" s="65"/>
      <c r="UHF2" s="65"/>
      <c r="UHG2" s="65"/>
      <c r="UHH2" s="65"/>
      <c r="UHI2" s="65"/>
      <c r="UHJ2" s="65"/>
      <c r="UHK2" s="65"/>
      <c r="UHL2" s="65"/>
      <c r="UHM2" s="65"/>
      <c r="UHN2" s="65"/>
      <c r="UHO2" s="65"/>
      <c r="UHP2" s="65"/>
      <c r="UHQ2" s="65"/>
      <c r="UHR2" s="65"/>
      <c r="UHS2" s="65"/>
      <c r="UHT2" s="65"/>
      <c r="UHU2" s="65"/>
      <c r="UHV2" s="65"/>
      <c r="UHW2" s="65"/>
      <c r="UHX2" s="65"/>
      <c r="UHY2" s="65"/>
      <c r="UHZ2" s="65"/>
      <c r="UIA2" s="65"/>
      <c r="UIB2" s="65"/>
      <c r="UIC2" s="65"/>
      <c r="UID2" s="65"/>
      <c r="UIE2" s="65"/>
      <c r="UIF2" s="65"/>
      <c r="UIG2" s="65"/>
      <c r="UIH2" s="65"/>
      <c r="UII2" s="65"/>
      <c r="UIJ2" s="65"/>
      <c r="UIK2" s="65"/>
      <c r="UIL2" s="65"/>
      <c r="UIM2" s="65"/>
      <c r="UIN2" s="65"/>
      <c r="UIO2" s="65"/>
      <c r="UIP2" s="65"/>
      <c r="UIQ2" s="65"/>
      <c r="UIR2" s="65"/>
      <c r="UIS2" s="65"/>
      <c r="UIT2" s="65"/>
      <c r="UIU2" s="65"/>
      <c r="UIV2" s="65"/>
      <c r="UIW2" s="65"/>
      <c r="UIX2" s="65"/>
      <c r="UIY2" s="65"/>
      <c r="UIZ2" s="65"/>
      <c r="UJA2" s="65"/>
      <c r="UJB2" s="65"/>
      <c r="UJC2" s="65"/>
      <c r="UJD2" s="65"/>
      <c r="UJE2" s="65"/>
      <c r="UJF2" s="65"/>
      <c r="UJG2" s="65"/>
      <c r="UJH2" s="65"/>
      <c r="UJI2" s="65"/>
      <c r="UJJ2" s="65"/>
      <c r="UJK2" s="65"/>
      <c r="UJL2" s="65"/>
      <c r="UJM2" s="65"/>
      <c r="UJN2" s="65"/>
      <c r="UJO2" s="65"/>
      <c r="UJP2" s="65"/>
      <c r="UJQ2" s="65"/>
      <c r="UJR2" s="65"/>
      <c r="UJS2" s="65"/>
      <c r="UJT2" s="65"/>
      <c r="UJU2" s="65"/>
      <c r="UJV2" s="65"/>
      <c r="UJW2" s="65"/>
      <c r="UJX2" s="65"/>
      <c r="UJY2" s="65"/>
      <c r="UJZ2" s="65"/>
      <c r="UKA2" s="65"/>
      <c r="UKB2" s="65"/>
      <c r="UKC2" s="65"/>
      <c r="UKD2" s="65"/>
      <c r="UKE2" s="65"/>
      <c r="UKF2" s="65"/>
      <c r="UKG2" s="65"/>
      <c r="UKH2" s="65"/>
      <c r="UKI2" s="65"/>
      <c r="UKJ2" s="65"/>
      <c r="UKK2" s="65"/>
      <c r="UKL2" s="65"/>
      <c r="UKM2" s="65"/>
      <c r="UKN2" s="65"/>
      <c r="UKO2" s="65"/>
      <c r="UKP2" s="65"/>
      <c r="UKQ2" s="65"/>
      <c r="UKR2" s="65"/>
      <c r="UKS2" s="65"/>
      <c r="UKT2" s="65"/>
      <c r="UKU2" s="65"/>
      <c r="UKV2" s="65"/>
      <c r="UKW2" s="65"/>
      <c r="UKX2" s="65"/>
      <c r="UKY2" s="65"/>
      <c r="UKZ2" s="65"/>
      <c r="ULA2" s="65"/>
      <c r="ULB2" s="65"/>
      <c r="ULC2" s="65"/>
      <c r="ULD2" s="65"/>
      <c r="ULE2" s="65"/>
      <c r="ULF2" s="65"/>
      <c r="ULG2" s="65"/>
      <c r="ULH2" s="65"/>
      <c r="ULI2" s="65"/>
      <c r="ULJ2" s="65"/>
      <c r="ULK2" s="65"/>
      <c r="ULL2" s="65"/>
      <c r="ULM2" s="65"/>
      <c r="ULN2" s="65"/>
      <c r="ULO2" s="65"/>
      <c r="ULP2" s="65"/>
      <c r="ULQ2" s="65"/>
      <c r="ULR2" s="65"/>
      <c r="ULS2" s="65"/>
      <c r="ULT2" s="65"/>
      <c r="ULU2" s="65"/>
      <c r="ULV2" s="65"/>
      <c r="ULW2" s="65"/>
      <c r="ULX2" s="65"/>
      <c r="ULY2" s="65"/>
      <c r="ULZ2" s="65"/>
      <c r="UMA2" s="65"/>
      <c r="UMB2" s="65"/>
      <c r="UMC2" s="65"/>
      <c r="UMD2" s="65"/>
      <c r="UME2" s="65"/>
      <c r="UMF2" s="65"/>
      <c r="UMG2" s="65"/>
      <c r="UMH2" s="65"/>
      <c r="UMI2" s="65"/>
      <c r="UMJ2" s="65"/>
      <c r="UMK2" s="65"/>
      <c r="UML2" s="65"/>
      <c r="UMM2" s="65"/>
      <c r="UMN2" s="65"/>
      <c r="UMO2" s="65"/>
      <c r="UMP2" s="65"/>
      <c r="UMQ2" s="65"/>
      <c r="UMR2" s="65"/>
      <c r="UMS2" s="65"/>
      <c r="UMT2" s="65"/>
      <c r="UMU2" s="65"/>
      <c r="UMV2" s="65"/>
      <c r="UMW2" s="65"/>
      <c r="UMX2" s="65"/>
      <c r="UMY2" s="65"/>
      <c r="UMZ2" s="65"/>
      <c r="UNA2" s="65"/>
      <c r="UNB2" s="65"/>
      <c r="UNC2" s="65"/>
      <c r="UND2" s="65"/>
      <c r="UNE2" s="65"/>
      <c r="UNF2" s="65"/>
      <c r="UNG2" s="65"/>
      <c r="UNH2" s="65"/>
      <c r="UNI2" s="65"/>
      <c r="UNJ2" s="65"/>
      <c r="UNK2" s="65"/>
      <c r="UNL2" s="65"/>
      <c r="UNM2" s="65"/>
      <c r="UNN2" s="65"/>
      <c r="UNO2" s="65"/>
      <c r="UNP2" s="65"/>
      <c r="UNQ2" s="65"/>
      <c r="UNR2" s="65"/>
      <c r="UNS2" s="65"/>
      <c r="UNT2" s="65"/>
      <c r="UNU2" s="65"/>
      <c r="UNV2" s="65"/>
      <c r="UNW2" s="65"/>
      <c r="UNX2" s="65"/>
      <c r="UNY2" s="65"/>
      <c r="UNZ2" s="65"/>
      <c r="UOA2" s="65"/>
      <c r="UOB2" s="65"/>
      <c r="UOC2" s="65"/>
      <c r="UOD2" s="65"/>
      <c r="UOE2" s="65"/>
      <c r="UOF2" s="65"/>
      <c r="UOG2" s="65"/>
      <c r="UOH2" s="65"/>
      <c r="UOI2" s="65"/>
      <c r="UOJ2" s="65"/>
      <c r="UOK2" s="65"/>
      <c r="UOL2" s="65"/>
      <c r="UOM2" s="65"/>
      <c r="UON2" s="65"/>
      <c r="UOO2" s="65"/>
      <c r="UOP2" s="65"/>
      <c r="UOQ2" s="65"/>
      <c r="UOR2" s="65"/>
      <c r="UOS2" s="65"/>
      <c r="UOT2" s="65"/>
      <c r="UOU2" s="65"/>
      <c r="UOV2" s="65"/>
      <c r="UOW2" s="65"/>
      <c r="UOX2" s="65"/>
      <c r="UOY2" s="65"/>
      <c r="UOZ2" s="65"/>
      <c r="UPA2" s="65"/>
      <c r="UPB2" s="65"/>
      <c r="UPC2" s="65"/>
      <c r="UPD2" s="65"/>
      <c r="UPE2" s="65"/>
      <c r="UPF2" s="65"/>
      <c r="UPG2" s="65"/>
      <c r="UPH2" s="65"/>
      <c r="UPI2" s="65"/>
      <c r="UPJ2" s="65"/>
      <c r="UPK2" s="65"/>
      <c r="UPL2" s="65"/>
      <c r="UPM2" s="65"/>
      <c r="UPN2" s="65"/>
      <c r="UPO2" s="65"/>
      <c r="UPP2" s="65"/>
      <c r="UPQ2" s="65"/>
      <c r="UPR2" s="65"/>
      <c r="UPS2" s="65"/>
      <c r="UPT2" s="65"/>
      <c r="UPU2" s="65"/>
      <c r="UPV2" s="65"/>
      <c r="UPW2" s="65"/>
      <c r="UPX2" s="65"/>
      <c r="UPY2" s="65"/>
      <c r="UPZ2" s="65"/>
      <c r="UQA2" s="65"/>
      <c r="UQB2" s="65"/>
      <c r="UQC2" s="65"/>
      <c r="UQD2" s="65"/>
      <c r="UQE2" s="65"/>
      <c r="UQF2" s="65"/>
      <c r="UQG2" s="65"/>
      <c r="UQH2" s="65"/>
      <c r="UQI2" s="65"/>
      <c r="UQJ2" s="65"/>
      <c r="UQK2" s="65"/>
      <c r="UQL2" s="65"/>
      <c r="UQM2" s="65"/>
      <c r="UQN2" s="65"/>
      <c r="UQO2" s="65"/>
      <c r="UQP2" s="65"/>
      <c r="UQQ2" s="65"/>
      <c r="UQR2" s="65"/>
      <c r="UQS2" s="65"/>
      <c r="UQT2" s="65"/>
      <c r="UQU2" s="65"/>
      <c r="UQV2" s="65"/>
      <c r="UQW2" s="65"/>
      <c r="UQX2" s="65"/>
      <c r="UQY2" s="65"/>
      <c r="UQZ2" s="65"/>
      <c r="URA2" s="65"/>
      <c r="URB2" s="65"/>
      <c r="URC2" s="65"/>
      <c r="URD2" s="65"/>
      <c r="URE2" s="65"/>
      <c r="URF2" s="65"/>
      <c r="URG2" s="65"/>
      <c r="URH2" s="65"/>
      <c r="URI2" s="65"/>
      <c r="URJ2" s="65"/>
      <c r="URK2" s="65"/>
      <c r="URL2" s="65"/>
      <c r="URM2" s="65"/>
      <c r="URN2" s="65"/>
      <c r="URO2" s="65"/>
      <c r="URP2" s="65"/>
      <c r="URQ2" s="65"/>
      <c r="URR2" s="65"/>
      <c r="URS2" s="65"/>
      <c r="URT2" s="65"/>
      <c r="URU2" s="65"/>
      <c r="URV2" s="65"/>
      <c r="URW2" s="65"/>
      <c r="URX2" s="65"/>
      <c r="URY2" s="65"/>
      <c r="URZ2" s="65"/>
      <c r="USA2" s="65"/>
      <c r="USB2" s="65"/>
      <c r="USC2" s="65"/>
      <c r="USD2" s="65"/>
      <c r="USE2" s="65"/>
      <c r="USF2" s="65"/>
      <c r="USG2" s="65"/>
      <c r="USH2" s="65"/>
      <c r="USI2" s="65"/>
      <c r="USJ2" s="65"/>
      <c r="USK2" s="65"/>
      <c r="USL2" s="65"/>
      <c r="USM2" s="65"/>
      <c r="USN2" s="65"/>
      <c r="USO2" s="65"/>
      <c r="USP2" s="65"/>
      <c r="USQ2" s="65"/>
      <c r="USR2" s="65"/>
      <c r="USS2" s="65"/>
      <c r="UST2" s="65"/>
      <c r="USU2" s="65"/>
      <c r="USV2" s="65"/>
      <c r="USW2" s="65"/>
      <c r="USX2" s="65"/>
      <c r="USY2" s="65"/>
      <c r="USZ2" s="65"/>
      <c r="UTA2" s="65"/>
      <c r="UTB2" s="65"/>
      <c r="UTC2" s="65"/>
      <c r="UTD2" s="65"/>
      <c r="UTE2" s="65"/>
      <c r="UTF2" s="65"/>
      <c r="UTG2" s="65"/>
      <c r="UTH2" s="65"/>
      <c r="UTI2" s="65"/>
      <c r="UTJ2" s="65"/>
      <c r="UTK2" s="65"/>
      <c r="UTL2" s="65"/>
      <c r="UTM2" s="65"/>
      <c r="UTN2" s="65"/>
      <c r="UTO2" s="65"/>
      <c r="UTP2" s="65"/>
      <c r="UTQ2" s="65"/>
      <c r="UTR2" s="65"/>
      <c r="UTS2" s="65"/>
      <c r="UTT2" s="65"/>
      <c r="UTU2" s="65"/>
      <c r="UTV2" s="65"/>
      <c r="UTW2" s="65"/>
      <c r="UTX2" s="65"/>
      <c r="UTY2" s="65"/>
      <c r="UTZ2" s="65"/>
      <c r="UUA2" s="65"/>
      <c r="UUB2" s="65"/>
      <c r="UUC2" s="65"/>
      <c r="UUD2" s="65"/>
      <c r="UUE2" s="65"/>
      <c r="UUF2" s="65"/>
      <c r="UUG2" s="65"/>
      <c r="UUH2" s="65"/>
      <c r="UUI2" s="65"/>
      <c r="UUJ2" s="65"/>
      <c r="UUK2" s="65"/>
      <c r="UUL2" s="65"/>
      <c r="UUM2" s="65"/>
      <c r="UUN2" s="65"/>
      <c r="UUO2" s="65"/>
      <c r="UUP2" s="65"/>
      <c r="UUQ2" s="65"/>
      <c r="UUR2" s="65"/>
      <c r="UUS2" s="65"/>
      <c r="UUT2" s="65"/>
      <c r="UUU2" s="65"/>
      <c r="UUV2" s="65"/>
      <c r="UUW2" s="65"/>
      <c r="UUX2" s="65"/>
      <c r="UUY2" s="65"/>
      <c r="UUZ2" s="65"/>
      <c r="UVA2" s="65"/>
      <c r="UVB2" s="65"/>
      <c r="UVC2" s="65"/>
      <c r="UVD2" s="65"/>
      <c r="UVE2" s="65"/>
      <c r="UVF2" s="65"/>
      <c r="UVG2" s="65"/>
      <c r="UVH2" s="65"/>
      <c r="UVI2" s="65"/>
      <c r="UVJ2" s="65"/>
      <c r="UVK2" s="65"/>
      <c r="UVL2" s="65"/>
      <c r="UVM2" s="65"/>
      <c r="UVN2" s="65"/>
      <c r="UVO2" s="65"/>
      <c r="UVP2" s="65"/>
      <c r="UVQ2" s="65"/>
      <c r="UVR2" s="65"/>
      <c r="UVS2" s="65"/>
      <c r="UVT2" s="65"/>
      <c r="UVU2" s="65"/>
      <c r="UVV2" s="65"/>
      <c r="UVW2" s="65"/>
      <c r="UVX2" s="65"/>
      <c r="UVY2" s="65"/>
      <c r="UVZ2" s="65"/>
      <c r="UWA2" s="65"/>
      <c r="UWB2" s="65"/>
      <c r="UWC2" s="65"/>
      <c r="UWD2" s="65"/>
      <c r="UWE2" s="65"/>
      <c r="UWF2" s="65"/>
      <c r="UWG2" s="65"/>
      <c r="UWH2" s="65"/>
      <c r="UWI2" s="65"/>
      <c r="UWJ2" s="65"/>
      <c r="UWK2" s="65"/>
      <c r="UWL2" s="65"/>
      <c r="UWM2" s="65"/>
      <c r="UWN2" s="65"/>
      <c r="UWO2" s="65"/>
      <c r="UWP2" s="65"/>
      <c r="UWQ2" s="65"/>
      <c r="UWR2" s="65"/>
      <c r="UWS2" s="65"/>
      <c r="UWT2" s="65"/>
      <c r="UWU2" s="65"/>
      <c r="UWV2" s="65"/>
      <c r="UWW2" s="65"/>
      <c r="UWX2" s="65"/>
      <c r="UWY2" s="65"/>
      <c r="UWZ2" s="65"/>
      <c r="UXA2" s="65"/>
      <c r="UXB2" s="65"/>
      <c r="UXC2" s="65"/>
      <c r="UXD2" s="65"/>
      <c r="UXE2" s="65"/>
      <c r="UXF2" s="65"/>
      <c r="UXG2" s="65"/>
      <c r="UXH2" s="65"/>
      <c r="UXI2" s="65"/>
      <c r="UXJ2" s="65"/>
      <c r="UXK2" s="65"/>
      <c r="UXL2" s="65"/>
      <c r="UXM2" s="65"/>
      <c r="UXN2" s="65"/>
      <c r="UXO2" s="65"/>
      <c r="UXP2" s="65"/>
      <c r="UXQ2" s="65"/>
      <c r="UXR2" s="65"/>
      <c r="UXS2" s="65"/>
      <c r="UXT2" s="65"/>
      <c r="UXU2" s="65"/>
      <c r="UXV2" s="65"/>
      <c r="UXW2" s="65"/>
      <c r="UXX2" s="65"/>
      <c r="UXY2" s="65"/>
      <c r="UXZ2" s="65"/>
      <c r="UYA2" s="65"/>
      <c r="UYB2" s="65"/>
      <c r="UYC2" s="65"/>
      <c r="UYD2" s="65"/>
      <c r="UYE2" s="65"/>
      <c r="UYF2" s="65"/>
      <c r="UYG2" s="65"/>
      <c r="UYH2" s="65"/>
      <c r="UYI2" s="65"/>
      <c r="UYJ2" s="65"/>
      <c r="UYK2" s="65"/>
      <c r="UYL2" s="65"/>
      <c r="UYM2" s="65"/>
      <c r="UYN2" s="65"/>
      <c r="UYO2" s="65"/>
      <c r="UYP2" s="65"/>
      <c r="UYQ2" s="65"/>
      <c r="UYR2" s="65"/>
      <c r="UYS2" s="65"/>
      <c r="UYT2" s="65"/>
      <c r="UYU2" s="65"/>
      <c r="UYV2" s="65"/>
      <c r="UYW2" s="65"/>
      <c r="UYX2" s="65"/>
      <c r="UYY2" s="65"/>
      <c r="UYZ2" s="65"/>
      <c r="UZA2" s="65"/>
      <c r="UZB2" s="65"/>
      <c r="UZC2" s="65"/>
      <c r="UZD2" s="65"/>
      <c r="UZE2" s="65"/>
      <c r="UZF2" s="65"/>
      <c r="UZG2" s="65"/>
      <c r="UZH2" s="65"/>
      <c r="UZI2" s="65"/>
      <c r="UZJ2" s="65"/>
      <c r="UZK2" s="65"/>
      <c r="UZL2" s="65"/>
      <c r="UZM2" s="65"/>
      <c r="UZN2" s="65"/>
      <c r="UZO2" s="65"/>
      <c r="UZP2" s="65"/>
      <c r="UZQ2" s="65"/>
      <c r="UZR2" s="65"/>
      <c r="UZS2" s="65"/>
      <c r="UZT2" s="65"/>
      <c r="UZU2" s="65"/>
      <c r="UZV2" s="65"/>
      <c r="UZW2" s="65"/>
      <c r="UZX2" s="65"/>
      <c r="UZY2" s="65"/>
      <c r="UZZ2" s="65"/>
      <c r="VAA2" s="65"/>
      <c r="VAB2" s="65"/>
      <c r="VAC2" s="65"/>
      <c r="VAD2" s="65"/>
      <c r="VAE2" s="65"/>
      <c r="VAF2" s="65"/>
      <c r="VAG2" s="65"/>
      <c r="VAH2" s="65"/>
      <c r="VAI2" s="65"/>
      <c r="VAJ2" s="65"/>
      <c r="VAK2" s="65"/>
      <c r="VAL2" s="65"/>
      <c r="VAM2" s="65"/>
      <c r="VAN2" s="65"/>
      <c r="VAO2" s="65"/>
      <c r="VAP2" s="65"/>
      <c r="VAQ2" s="65"/>
      <c r="VAR2" s="65"/>
      <c r="VAS2" s="65"/>
      <c r="VAT2" s="65"/>
      <c r="VAU2" s="65"/>
      <c r="VAV2" s="65"/>
      <c r="VAW2" s="65"/>
      <c r="VAX2" s="65"/>
      <c r="VAY2" s="65"/>
      <c r="VAZ2" s="65"/>
      <c r="VBA2" s="65"/>
      <c r="VBB2" s="65"/>
      <c r="VBC2" s="65"/>
      <c r="VBD2" s="65"/>
      <c r="VBE2" s="65"/>
      <c r="VBF2" s="65"/>
      <c r="VBG2" s="65"/>
      <c r="VBH2" s="65"/>
      <c r="VBI2" s="65"/>
      <c r="VBJ2" s="65"/>
      <c r="VBK2" s="65"/>
      <c r="VBL2" s="65"/>
      <c r="VBM2" s="65"/>
      <c r="VBN2" s="65"/>
      <c r="VBO2" s="65"/>
      <c r="VBP2" s="65"/>
      <c r="VBQ2" s="65"/>
      <c r="VBR2" s="65"/>
      <c r="VBS2" s="65"/>
      <c r="VBT2" s="65"/>
      <c r="VBU2" s="65"/>
      <c r="VBV2" s="65"/>
      <c r="VBW2" s="65"/>
      <c r="VBX2" s="65"/>
      <c r="VBY2" s="65"/>
      <c r="VBZ2" s="65"/>
      <c r="VCA2" s="65"/>
      <c r="VCB2" s="65"/>
      <c r="VCC2" s="65"/>
      <c r="VCD2" s="65"/>
      <c r="VCE2" s="65"/>
      <c r="VCF2" s="65"/>
      <c r="VCG2" s="65"/>
      <c r="VCH2" s="65"/>
      <c r="VCI2" s="65"/>
      <c r="VCJ2" s="65"/>
      <c r="VCK2" s="65"/>
      <c r="VCL2" s="65"/>
      <c r="VCM2" s="65"/>
      <c r="VCN2" s="65"/>
      <c r="VCO2" s="65"/>
      <c r="VCP2" s="65"/>
      <c r="VCQ2" s="65"/>
      <c r="VCR2" s="65"/>
      <c r="VCS2" s="65"/>
      <c r="VCT2" s="65"/>
      <c r="VCU2" s="65"/>
      <c r="VCV2" s="65"/>
      <c r="VCW2" s="65"/>
      <c r="VCX2" s="65"/>
      <c r="VCY2" s="65"/>
      <c r="VCZ2" s="65"/>
      <c r="VDA2" s="65"/>
      <c r="VDB2" s="65"/>
      <c r="VDC2" s="65"/>
      <c r="VDD2" s="65"/>
      <c r="VDE2" s="65"/>
      <c r="VDF2" s="65"/>
      <c r="VDG2" s="65"/>
      <c r="VDH2" s="65"/>
      <c r="VDI2" s="65"/>
      <c r="VDJ2" s="65"/>
      <c r="VDK2" s="65"/>
      <c r="VDL2" s="65"/>
      <c r="VDM2" s="65"/>
      <c r="VDN2" s="65"/>
      <c r="VDO2" s="65"/>
      <c r="VDP2" s="65"/>
      <c r="VDQ2" s="65"/>
      <c r="VDR2" s="65"/>
      <c r="VDS2" s="65"/>
      <c r="VDT2" s="65"/>
      <c r="VDU2" s="65"/>
      <c r="VDV2" s="65"/>
      <c r="VDW2" s="65"/>
      <c r="VDX2" s="65"/>
      <c r="VDY2" s="65"/>
      <c r="VDZ2" s="65"/>
      <c r="VEA2" s="65"/>
      <c r="VEB2" s="65"/>
      <c r="VEC2" s="65"/>
      <c r="VED2" s="65"/>
      <c r="VEE2" s="65"/>
      <c r="VEF2" s="65"/>
      <c r="VEG2" s="65"/>
      <c r="VEH2" s="65"/>
      <c r="VEI2" s="65"/>
      <c r="VEJ2" s="65"/>
      <c r="VEK2" s="65"/>
      <c r="VEL2" s="65"/>
      <c r="VEM2" s="65"/>
      <c r="VEN2" s="65"/>
      <c r="VEO2" s="65"/>
      <c r="VEP2" s="65"/>
      <c r="VEQ2" s="65"/>
      <c r="VER2" s="65"/>
      <c r="VES2" s="65"/>
      <c r="VET2" s="65"/>
      <c r="VEU2" s="65"/>
      <c r="VEV2" s="65"/>
      <c r="VEW2" s="65"/>
      <c r="VEX2" s="65"/>
      <c r="VEY2" s="65"/>
      <c r="VEZ2" s="65"/>
      <c r="VFA2" s="65"/>
      <c r="VFB2" s="65"/>
      <c r="VFC2" s="65"/>
      <c r="VFD2" s="65"/>
      <c r="VFE2" s="65"/>
      <c r="VFF2" s="65"/>
      <c r="VFG2" s="65"/>
      <c r="VFH2" s="65"/>
      <c r="VFI2" s="65"/>
      <c r="VFJ2" s="65"/>
      <c r="VFK2" s="65"/>
      <c r="VFL2" s="65"/>
      <c r="VFM2" s="65"/>
      <c r="VFN2" s="65"/>
      <c r="VFO2" s="65"/>
      <c r="VFP2" s="65"/>
      <c r="VFQ2" s="65"/>
      <c r="VFR2" s="65"/>
      <c r="VFS2" s="65"/>
      <c r="VFT2" s="65"/>
      <c r="VFU2" s="65"/>
      <c r="VFV2" s="65"/>
      <c r="VFW2" s="65"/>
      <c r="VFX2" s="65"/>
      <c r="VFY2" s="65"/>
      <c r="VFZ2" s="65"/>
      <c r="VGA2" s="65"/>
      <c r="VGB2" s="65"/>
      <c r="VGC2" s="65"/>
      <c r="VGD2" s="65"/>
      <c r="VGE2" s="65"/>
      <c r="VGF2" s="65"/>
      <c r="VGG2" s="65"/>
      <c r="VGH2" s="65"/>
      <c r="VGI2" s="65"/>
      <c r="VGJ2" s="65"/>
      <c r="VGK2" s="65"/>
      <c r="VGL2" s="65"/>
      <c r="VGM2" s="65"/>
      <c r="VGN2" s="65"/>
      <c r="VGO2" s="65"/>
      <c r="VGP2" s="65"/>
      <c r="VGQ2" s="65"/>
      <c r="VGR2" s="65"/>
      <c r="VGS2" s="65"/>
      <c r="VGT2" s="65"/>
      <c r="VGU2" s="65"/>
      <c r="VGV2" s="65"/>
      <c r="VGW2" s="65"/>
      <c r="VGX2" s="65"/>
      <c r="VGY2" s="65"/>
      <c r="VGZ2" s="65"/>
      <c r="VHA2" s="65"/>
      <c r="VHB2" s="65"/>
      <c r="VHC2" s="65"/>
      <c r="VHD2" s="65"/>
      <c r="VHE2" s="65"/>
      <c r="VHF2" s="65"/>
      <c r="VHG2" s="65"/>
      <c r="VHH2" s="65"/>
      <c r="VHI2" s="65"/>
      <c r="VHJ2" s="65"/>
      <c r="VHK2" s="65"/>
      <c r="VHL2" s="65"/>
      <c r="VHM2" s="65"/>
      <c r="VHN2" s="65"/>
      <c r="VHO2" s="65"/>
      <c r="VHP2" s="65"/>
      <c r="VHQ2" s="65"/>
      <c r="VHR2" s="65"/>
      <c r="VHS2" s="65"/>
      <c r="VHT2" s="65"/>
      <c r="VHU2" s="65"/>
      <c r="VHV2" s="65"/>
      <c r="VHW2" s="65"/>
      <c r="VHX2" s="65"/>
      <c r="VHY2" s="65"/>
      <c r="VHZ2" s="65"/>
      <c r="VIA2" s="65"/>
      <c r="VIB2" s="65"/>
      <c r="VIC2" s="65"/>
      <c r="VID2" s="65"/>
      <c r="VIE2" s="65"/>
      <c r="VIF2" s="65"/>
      <c r="VIG2" s="65"/>
      <c r="VIH2" s="65"/>
      <c r="VII2" s="65"/>
      <c r="VIJ2" s="65"/>
      <c r="VIK2" s="65"/>
      <c r="VIL2" s="65"/>
      <c r="VIM2" s="65"/>
      <c r="VIN2" s="65"/>
      <c r="VIO2" s="65"/>
      <c r="VIP2" s="65"/>
      <c r="VIQ2" s="65"/>
      <c r="VIR2" s="65"/>
      <c r="VIS2" s="65"/>
      <c r="VIT2" s="65"/>
      <c r="VIU2" s="65"/>
      <c r="VIV2" s="65"/>
      <c r="VIW2" s="65"/>
      <c r="VIX2" s="65"/>
      <c r="VIY2" s="65"/>
      <c r="VIZ2" s="65"/>
      <c r="VJA2" s="65"/>
      <c r="VJB2" s="65"/>
      <c r="VJC2" s="65"/>
      <c r="VJD2" s="65"/>
      <c r="VJE2" s="65"/>
      <c r="VJF2" s="65"/>
      <c r="VJG2" s="65"/>
      <c r="VJH2" s="65"/>
      <c r="VJI2" s="65"/>
      <c r="VJJ2" s="65"/>
      <c r="VJK2" s="65"/>
      <c r="VJL2" s="65"/>
      <c r="VJM2" s="65"/>
      <c r="VJN2" s="65"/>
      <c r="VJO2" s="65"/>
      <c r="VJP2" s="65"/>
      <c r="VJQ2" s="65"/>
      <c r="VJR2" s="65"/>
      <c r="VJS2" s="65"/>
      <c r="VJT2" s="65"/>
      <c r="VJU2" s="65"/>
      <c r="VJV2" s="65"/>
      <c r="VJW2" s="65"/>
      <c r="VJX2" s="65"/>
      <c r="VJY2" s="65"/>
      <c r="VJZ2" s="65"/>
      <c r="VKA2" s="65"/>
      <c r="VKB2" s="65"/>
      <c r="VKC2" s="65"/>
      <c r="VKD2" s="65"/>
      <c r="VKE2" s="65"/>
      <c r="VKF2" s="65"/>
      <c r="VKG2" s="65"/>
      <c r="VKH2" s="65"/>
      <c r="VKI2" s="65"/>
      <c r="VKJ2" s="65"/>
      <c r="VKK2" s="65"/>
      <c r="VKL2" s="65"/>
      <c r="VKM2" s="65"/>
      <c r="VKN2" s="65"/>
      <c r="VKO2" s="65"/>
      <c r="VKP2" s="65"/>
      <c r="VKQ2" s="65"/>
      <c r="VKR2" s="65"/>
      <c r="VKS2" s="65"/>
      <c r="VKT2" s="65"/>
      <c r="VKU2" s="65"/>
      <c r="VKV2" s="65"/>
      <c r="VKW2" s="65"/>
      <c r="VKX2" s="65"/>
      <c r="VKY2" s="65"/>
      <c r="VKZ2" s="65"/>
      <c r="VLA2" s="65"/>
      <c r="VLB2" s="65"/>
      <c r="VLC2" s="65"/>
      <c r="VLD2" s="65"/>
      <c r="VLE2" s="65"/>
      <c r="VLF2" s="65"/>
      <c r="VLG2" s="65"/>
      <c r="VLH2" s="65"/>
      <c r="VLI2" s="65"/>
      <c r="VLJ2" s="65"/>
      <c r="VLK2" s="65"/>
      <c r="VLL2" s="65"/>
      <c r="VLM2" s="65"/>
      <c r="VLN2" s="65"/>
      <c r="VLO2" s="65"/>
      <c r="VLP2" s="65"/>
      <c r="VLQ2" s="65"/>
      <c r="VLR2" s="65"/>
      <c r="VLS2" s="65"/>
      <c r="VLT2" s="65"/>
      <c r="VLU2" s="65"/>
      <c r="VLV2" s="65"/>
      <c r="VLW2" s="65"/>
      <c r="VLX2" s="65"/>
      <c r="VLY2" s="65"/>
      <c r="VLZ2" s="65"/>
      <c r="VMA2" s="65"/>
      <c r="VMB2" s="65"/>
      <c r="VMC2" s="65"/>
      <c r="VMD2" s="65"/>
      <c r="VME2" s="65"/>
      <c r="VMF2" s="65"/>
      <c r="VMG2" s="65"/>
      <c r="VMH2" s="65"/>
      <c r="VMI2" s="65"/>
      <c r="VMJ2" s="65"/>
      <c r="VMK2" s="65"/>
      <c r="VML2" s="65"/>
      <c r="VMM2" s="65"/>
      <c r="VMN2" s="65"/>
      <c r="VMO2" s="65"/>
      <c r="VMP2" s="65"/>
      <c r="VMQ2" s="65"/>
      <c r="VMR2" s="65"/>
      <c r="VMS2" s="65"/>
      <c r="VMT2" s="65"/>
      <c r="VMU2" s="65"/>
      <c r="VMV2" s="65"/>
      <c r="VMW2" s="65"/>
      <c r="VMX2" s="65"/>
      <c r="VMY2" s="65"/>
      <c r="VMZ2" s="65"/>
      <c r="VNA2" s="65"/>
      <c r="VNB2" s="65"/>
      <c r="VNC2" s="65"/>
      <c r="VND2" s="65"/>
      <c r="VNE2" s="65"/>
      <c r="VNF2" s="65"/>
      <c r="VNG2" s="65"/>
      <c r="VNH2" s="65"/>
      <c r="VNI2" s="65"/>
      <c r="VNJ2" s="65"/>
      <c r="VNK2" s="65"/>
      <c r="VNL2" s="65"/>
      <c r="VNM2" s="65"/>
      <c r="VNN2" s="65"/>
      <c r="VNO2" s="65"/>
      <c r="VNP2" s="65"/>
      <c r="VNQ2" s="65"/>
      <c r="VNR2" s="65"/>
      <c r="VNS2" s="65"/>
      <c r="VNT2" s="65"/>
      <c r="VNU2" s="65"/>
      <c r="VNV2" s="65"/>
      <c r="VNW2" s="65"/>
      <c r="VNX2" s="65"/>
      <c r="VNY2" s="65"/>
      <c r="VNZ2" s="65"/>
      <c r="VOA2" s="65"/>
      <c r="VOB2" s="65"/>
      <c r="VOC2" s="65"/>
      <c r="VOD2" s="65"/>
      <c r="VOE2" s="65"/>
      <c r="VOF2" s="65"/>
      <c r="VOG2" s="65"/>
      <c r="VOH2" s="65"/>
      <c r="VOI2" s="65"/>
      <c r="VOJ2" s="65"/>
      <c r="VOK2" s="65"/>
      <c r="VOL2" s="65"/>
      <c r="VOM2" s="65"/>
      <c r="VON2" s="65"/>
      <c r="VOO2" s="65"/>
      <c r="VOP2" s="65"/>
      <c r="VOQ2" s="65"/>
      <c r="VOR2" s="65"/>
      <c r="VOS2" s="65"/>
      <c r="VOT2" s="65"/>
      <c r="VOU2" s="65"/>
      <c r="VOV2" s="65"/>
      <c r="VOW2" s="65"/>
      <c r="VOX2" s="65"/>
      <c r="VOY2" s="65"/>
      <c r="VOZ2" s="65"/>
      <c r="VPA2" s="65"/>
      <c r="VPB2" s="65"/>
      <c r="VPC2" s="65"/>
      <c r="VPD2" s="65"/>
      <c r="VPE2" s="65"/>
      <c r="VPF2" s="65"/>
      <c r="VPG2" s="65"/>
      <c r="VPH2" s="65"/>
      <c r="VPI2" s="65"/>
      <c r="VPJ2" s="65"/>
      <c r="VPK2" s="65"/>
      <c r="VPL2" s="65"/>
      <c r="VPM2" s="65"/>
      <c r="VPN2" s="65"/>
      <c r="VPO2" s="65"/>
      <c r="VPP2" s="65"/>
      <c r="VPQ2" s="65"/>
      <c r="VPR2" s="65"/>
      <c r="VPS2" s="65"/>
      <c r="VPT2" s="65"/>
      <c r="VPU2" s="65"/>
      <c r="VPV2" s="65"/>
      <c r="VPW2" s="65"/>
      <c r="VPX2" s="65"/>
      <c r="VPY2" s="65"/>
      <c r="VPZ2" s="65"/>
      <c r="VQA2" s="65"/>
      <c r="VQB2" s="65"/>
      <c r="VQC2" s="65"/>
      <c r="VQD2" s="65"/>
      <c r="VQE2" s="65"/>
      <c r="VQF2" s="65"/>
      <c r="VQG2" s="65"/>
      <c r="VQH2" s="65"/>
      <c r="VQI2" s="65"/>
      <c r="VQJ2" s="65"/>
      <c r="VQK2" s="65"/>
      <c r="VQL2" s="65"/>
      <c r="VQM2" s="65"/>
      <c r="VQN2" s="65"/>
      <c r="VQO2" s="65"/>
      <c r="VQP2" s="65"/>
      <c r="VQQ2" s="65"/>
      <c r="VQR2" s="65"/>
      <c r="VQS2" s="65"/>
      <c r="VQT2" s="65"/>
      <c r="VQU2" s="65"/>
      <c r="VQV2" s="65"/>
      <c r="VQW2" s="65"/>
      <c r="VQX2" s="65"/>
      <c r="VQY2" s="65"/>
      <c r="VQZ2" s="65"/>
      <c r="VRA2" s="65"/>
      <c r="VRB2" s="65"/>
      <c r="VRC2" s="65"/>
      <c r="VRD2" s="65"/>
      <c r="VRE2" s="65"/>
      <c r="VRF2" s="65"/>
      <c r="VRG2" s="65"/>
      <c r="VRH2" s="65"/>
      <c r="VRI2" s="65"/>
      <c r="VRJ2" s="65"/>
      <c r="VRK2" s="65"/>
      <c r="VRL2" s="65"/>
      <c r="VRM2" s="65"/>
      <c r="VRN2" s="65"/>
      <c r="VRO2" s="65"/>
      <c r="VRP2" s="65"/>
      <c r="VRQ2" s="65"/>
      <c r="VRR2" s="65"/>
      <c r="VRS2" s="65"/>
      <c r="VRT2" s="65"/>
      <c r="VRU2" s="65"/>
      <c r="VRV2" s="65"/>
      <c r="VRW2" s="65"/>
      <c r="VRX2" s="65"/>
      <c r="VRY2" s="65"/>
      <c r="VRZ2" s="65"/>
      <c r="VSA2" s="65"/>
      <c r="VSB2" s="65"/>
      <c r="VSC2" s="65"/>
      <c r="VSD2" s="65"/>
      <c r="VSE2" s="65"/>
      <c r="VSF2" s="65"/>
      <c r="VSG2" s="65"/>
      <c r="VSH2" s="65"/>
      <c r="VSI2" s="65"/>
      <c r="VSJ2" s="65"/>
      <c r="VSK2" s="65"/>
      <c r="VSL2" s="65"/>
      <c r="VSM2" s="65"/>
      <c r="VSN2" s="65"/>
      <c r="VSO2" s="65"/>
      <c r="VSP2" s="65"/>
      <c r="VSQ2" s="65"/>
      <c r="VSR2" s="65"/>
      <c r="VSS2" s="65"/>
      <c r="VST2" s="65"/>
      <c r="VSU2" s="65"/>
      <c r="VSV2" s="65"/>
      <c r="VSW2" s="65"/>
      <c r="VSX2" s="65"/>
      <c r="VSY2" s="65"/>
      <c r="VSZ2" s="65"/>
      <c r="VTA2" s="65"/>
      <c r="VTB2" s="65"/>
      <c r="VTC2" s="65"/>
      <c r="VTD2" s="65"/>
      <c r="VTE2" s="65"/>
      <c r="VTF2" s="65"/>
      <c r="VTG2" s="65"/>
      <c r="VTH2" s="65"/>
      <c r="VTI2" s="65"/>
      <c r="VTJ2" s="65"/>
      <c r="VTK2" s="65"/>
      <c r="VTL2" s="65"/>
      <c r="VTM2" s="65"/>
      <c r="VTN2" s="65"/>
      <c r="VTO2" s="65"/>
      <c r="VTP2" s="65"/>
      <c r="VTQ2" s="65"/>
      <c r="VTR2" s="65"/>
      <c r="VTS2" s="65"/>
      <c r="VTT2" s="65"/>
      <c r="VTU2" s="65"/>
      <c r="VTV2" s="65"/>
      <c r="VTW2" s="65"/>
      <c r="VTX2" s="65"/>
      <c r="VTY2" s="65"/>
      <c r="VTZ2" s="65"/>
      <c r="VUA2" s="65"/>
      <c r="VUB2" s="65"/>
      <c r="VUC2" s="65"/>
      <c r="VUD2" s="65"/>
      <c r="VUE2" s="65"/>
      <c r="VUF2" s="65"/>
      <c r="VUG2" s="65"/>
      <c r="VUH2" s="65"/>
      <c r="VUI2" s="65"/>
      <c r="VUJ2" s="65"/>
      <c r="VUK2" s="65"/>
      <c r="VUL2" s="65"/>
      <c r="VUM2" s="65"/>
      <c r="VUN2" s="65"/>
      <c r="VUO2" s="65"/>
      <c r="VUP2" s="65"/>
      <c r="VUQ2" s="65"/>
      <c r="VUR2" s="65"/>
      <c r="VUS2" s="65"/>
      <c r="VUT2" s="65"/>
      <c r="VUU2" s="65"/>
      <c r="VUV2" s="65"/>
      <c r="VUW2" s="65"/>
      <c r="VUX2" s="65"/>
      <c r="VUY2" s="65"/>
      <c r="VUZ2" s="65"/>
      <c r="VVA2" s="65"/>
      <c r="VVB2" s="65"/>
      <c r="VVC2" s="65"/>
      <c r="VVD2" s="65"/>
      <c r="VVE2" s="65"/>
      <c r="VVF2" s="65"/>
      <c r="VVG2" s="65"/>
      <c r="VVH2" s="65"/>
      <c r="VVI2" s="65"/>
      <c r="VVJ2" s="65"/>
      <c r="VVK2" s="65"/>
      <c r="VVL2" s="65"/>
      <c r="VVM2" s="65"/>
      <c r="VVN2" s="65"/>
      <c r="VVO2" s="65"/>
      <c r="VVP2" s="65"/>
      <c r="VVQ2" s="65"/>
      <c r="VVR2" s="65"/>
      <c r="VVS2" s="65"/>
      <c r="VVT2" s="65"/>
      <c r="VVU2" s="65"/>
      <c r="VVV2" s="65"/>
      <c r="VVW2" s="65"/>
      <c r="VVX2" s="65"/>
      <c r="VVY2" s="65"/>
      <c r="VVZ2" s="65"/>
      <c r="VWA2" s="65"/>
      <c r="VWB2" s="65"/>
      <c r="VWC2" s="65"/>
      <c r="VWD2" s="65"/>
      <c r="VWE2" s="65"/>
      <c r="VWF2" s="65"/>
      <c r="VWG2" s="65"/>
      <c r="VWH2" s="65"/>
      <c r="VWI2" s="65"/>
      <c r="VWJ2" s="65"/>
      <c r="VWK2" s="65"/>
      <c r="VWL2" s="65"/>
      <c r="VWM2" s="65"/>
      <c r="VWN2" s="65"/>
      <c r="VWO2" s="65"/>
      <c r="VWP2" s="65"/>
      <c r="VWQ2" s="65"/>
      <c r="VWR2" s="65"/>
      <c r="VWS2" s="65"/>
      <c r="VWT2" s="65"/>
      <c r="VWU2" s="65"/>
      <c r="VWV2" s="65"/>
      <c r="VWW2" s="65"/>
      <c r="VWX2" s="65"/>
      <c r="VWY2" s="65"/>
      <c r="VWZ2" s="65"/>
      <c r="VXA2" s="65"/>
      <c r="VXB2" s="65"/>
      <c r="VXC2" s="65"/>
      <c r="VXD2" s="65"/>
      <c r="VXE2" s="65"/>
      <c r="VXF2" s="65"/>
      <c r="VXG2" s="65"/>
      <c r="VXH2" s="65"/>
      <c r="VXI2" s="65"/>
      <c r="VXJ2" s="65"/>
      <c r="VXK2" s="65"/>
      <c r="VXL2" s="65"/>
      <c r="VXM2" s="65"/>
      <c r="VXN2" s="65"/>
      <c r="VXO2" s="65"/>
      <c r="VXP2" s="65"/>
      <c r="VXQ2" s="65"/>
      <c r="VXR2" s="65"/>
      <c r="VXS2" s="65"/>
      <c r="VXT2" s="65"/>
      <c r="VXU2" s="65"/>
      <c r="VXV2" s="65"/>
      <c r="VXW2" s="65"/>
      <c r="VXX2" s="65"/>
      <c r="VXY2" s="65"/>
      <c r="VXZ2" s="65"/>
      <c r="VYA2" s="65"/>
      <c r="VYB2" s="65"/>
      <c r="VYC2" s="65"/>
      <c r="VYD2" s="65"/>
      <c r="VYE2" s="65"/>
      <c r="VYF2" s="65"/>
      <c r="VYG2" s="65"/>
      <c r="VYH2" s="65"/>
      <c r="VYI2" s="65"/>
      <c r="VYJ2" s="65"/>
      <c r="VYK2" s="65"/>
      <c r="VYL2" s="65"/>
      <c r="VYM2" s="65"/>
      <c r="VYN2" s="65"/>
      <c r="VYO2" s="65"/>
      <c r="VYP2" s="65"/>
      <c r="VYQ2" s="65"/>
      <c r="VYR2" s="65"/>
      <c r="VYS2" s="65"/>
      <c r="VYT2" s="65"/>
      <c r="VYU2" s="65"/>
      <c r="VYV2" s="65"/>
      <c r="VYW2" s="65"/>
      <c r="VYX2" s="65"/>
      <c r="VYY2" s="65"/>
      <c r="VYZ2" s="65"/>
      <c r="VZA2" s="65"/>
      <c r="VZB2" s="65"/>
      <c r="VZC2" s="65"/>
      <c r="VZD2" s="65"/>
      <c r="VZE2" s="65"/>
      <c r="VZF2" s="65"/>
      <c r="VZG2" s="65"/>
      <c r="VZH2" s="65"/>
      <c r="VZI2" s="65"/>
      <c r="VZJ2" s="65"/>
      <c r="VZK2" s="65"/>
      <c r="VZL2" s="65"/>
      <c r="VZM2" s="65"/>
      <c r="VZN2" s="65"/>
      <c r="VZO2" s="65"/>
      <c r="VZP2" s="65"/>
      <c r="VZQ2" s="65"/>
      <c r="VZR2" s="65"/>
      <c r="VZS2" s="65"/>
      <c r="VZT2" s="65"/>
      <c r="VZU2" s="65"/>
      <c r="VZV2" s="65"/>
      <c r="VZW2" s="65"/>
      <c r="VZX2" s="65"/>
      <c r="VZY2" s="65"/>
      <c r="VZZ2" s="65"/>
      <c r="WAA2" s="65"/>
      <c r="WAB2" s="65"/>
      <c r="WAC2" s="65"/>
      <c r="WAD2" s="65"/>
      <c r="WAE2" s="65"/>
      <c r="WAF2" s="65"/>
      <c r="WAG2" s="65"/>
      <c r="WAH2" s="65"/>
      <c r="WAI2" s="65"/>
      <c r="WAJ2" s="65"/>
      <c r="WAK2" s="65"/>
      <c r="WAL2" s="65"/>
      <c r="WAM2" s="65"/>
      <c r="WAN2" s="65"/>
      <c r="WAO2" s="65"/>
      <c r="WAP2" s="65"/>
      <c r="WAQ2" s="65"/>
      <c r="WAR2" s="65"/>
      <c r="WAS2" s="65"/>
      <c r="WAT2" s="65"/>
      <c r="WAU2" s="65"/>
      <c r="WAV2" s="65"/>
      <c r="WAW2" s="65"/>
      <c r="WAX2" s="65"/>
      <c r="WAY2" s="65"/>
      <c r="WAZ2" s="65"/>
      <c r="WBA2" s="65"/>
      <c r="WBB2" s="65"/>
      <c r="WBC2" s="65"/>
      <c r="WBD2" s="65"/>
      <c r="WBE2" s="65"/>
      <c r="WBF2" s="65"/>
      <c r="WBG2" s="65"/>
      <c r="WBH2" s="65"/>
      <c r="WBI2" s="65"/>
      <c r="WBJ2" s="65"/>
      <c r="WBK2" s="65"/>
      <c r="WBL2" s="65"/>
      <c r="WBM2" s="65"/>
      <c r="WBN2" s="65"/>
      <c r="WBO2" s="65"/>
      <c r="WBP2" s="65"/>
      <c r="WBQ2" s="65"/>
      <c r="WBR2" s="65"/>
      <c r="WBS2" s="65"/>
      <c r="WBT2" s="65"/>
      <c r="WBU2" s="65"/>
      <c r="WBV2" s="65"/>
      <c r="WBW2" s="65"/>
      <c r="WBX2" s="65"/>
      <c r="WBY2" s="65"/>
      <c r="WBZ2" s="65"/>
      <c r="WCA2" s="65"/>
      <c r="WCB2" s="65"/>
      <c r="WCC2" s="65"/>
      <c r="WCD2" s="65"/>
      <c r="WCE2" s="65"/>
      <c r="WCF2" s="65"/>
      <c r="WCG2" s="65"/>
      <c r="WCH2" s="65"/>
      <c r="WCI2" s="65"/>
      <c r="WCJ2" s="65"/>
      <c r="WCK2" s="65"/>
      <c r="WCL2" s="65"/>
      <c r="WCM2" s="65"/>
      <c r="WCN2" s="65"/>
      <c r="WCO2" s="65"/>
      <c r="WCP2" s="65"/>
      <c r="WCQ2" s="65"/>
      <c r="WCR2" s="65"/>
      <c r="WCS2" s="65"/>
      <c r="WCT2" s="65"/>
      <c r="WCU2" s="65"/>
      <c r="WCV2" s="65"/>
      <c r="WCW2" s="65"/>
      <c r="WCX2" s="65"/>
      <c r="WCY2" s="65"/>
      <c r="WCZ2" s="65"/>
      <c r="WDA2" s="65"/>
      <c r="WDB2" s="65"/>
      <c r="WDC2" s="65"/>
      <c r="WDD2" s="65"/>
      <c r="WDE2" s="65"/>
      <c r="WDF2" s="65"/>
      <c r="WDG2" s="65"/>
      <c r="WDH2" s="65"/>
      <c r="WDI2" s="65"/>
      <c r="WDJ2" s="65"/>
      <c r="WDK2" s="65"/>
      <c r="WDL2" s="65"/>
      <c r="WDM2" s="65"/>
      <c r="WDN2" s="65"/>
      <c r="WDO2" s="65"/>
      <c r="WDP2" s="65"/>
      <c r="WDQ2" s="65"/>
      <c r="WDR2" s="65"/>
      <c r="WDS2" s="65"/>
      <c r="WDT2" s="65"/>
      <c r="WDU2" s="65"/>
      <c r="WDV2" s="65"/>
      <c r="WDW2" s="65"/>
      <c r="WDX2" s="65"/>
      <c r="WDY2" s="65"/>
      <c r="WDZ2" s="65"/>
      <c r="WEA2" s="65"/>
      <c r="WEB2" s="65"/>
      <c r="WEC2" s="65"/>
      <c r="WED2" s="65"/>
      <c r="WEE2" s="65"/>
      <c r="WEF2" s="65"/>
      <c r="WEG2" s="65"/>
      <c r="WEH2" s="65"/>
      <c r="WEI2" s="65"/>
      <c r="WEJ2" s="65"/>
      <c r="WEK2" s="65"/>
      <c r="WEL2" s="65"/>
      <c r="WEM2" s="65"/>
      <c r="WEN2" s="65"/>
      <c r="WEO2" s="65"/>
      <c r="WEP2" s="65"/>
      <c r="WEQ2" s="65"/>
      <c r="WER2" s="65"/>
      <c r="WES2" s="65"/>
      <c r="WET2" s="65"/>
      <c r="WEU2" s="65"/>
      <c r="WEV2" s="65"/>
      <c r="WEW2" s="65"/>
      <c r="WEX2" s="65"/>
      <c r="WEY2" s="65"/>
      <c r="WEZ2" s="65"/>
      <c r="WFA2" s="65"/>
      <c r="WFB2" s="65"/>
      <c r="WFC2" s="65"/>
      <c r="WFD2" s="65"/>
      <c r="WFE2" s="65"/>
      <c r="WFF2" s="65"/>
      <c r="WFG2" s="65"/>
      <c r="WFH2" s="65"/>
      <c r="WFI2" s="65"/>
      <c r="WFJ2" s="65"/>
      <c r="WFK2" s="65"/>
      <c r="WFL2" s="65"/>
      <c r="WFM2" s="65"/>
      <c r="WFN2" s="65"/>
      <c r="WFO2" s="65"/>
      <c r="WFP2" s="65"/>
      <c r="WFQ2" s="65"/>
      <c r="WFR2" s="65"/>
      <c r="WFS2" s="65"/>
      <c r="WFT2" s="65"/>
      <c r="WFU2" s="65"/>
      <c r="WFV2" s="65"/>
      <c r="WFW2" s="65"/>
      <c r="WFX2" s="65"/>
      <c r="WFY2" s="65"/>
      <c r="WFZ2" s="65"/>
      <c r="WGA2" s="65"/>
      <c r="WGB2" s="65"/>
      <c r="WGC2" s="65"/>
      <c r="WGD2" s="65"/>
      <c r="WGE2" s="65"/>
      <c r="WGF2" s="65"/>
      <c r="WGG2" s="65"/>
      <c r="WGH2" s="65"/>
      <c r="WGI2" s="65"/>
      <c r="WGJ2" s="65"/>
      <c r="WGK2" s="65"/>
      <c r="WGL2" s="65"/>
      <c r="WGM2" s="65"/>
      <c r="WGN2" s="65"/>
      <c r="WGO2" s="65"/>
      <c r="WGP2" s="65"/>
      <c r="WGQ2" s="65"/>
      <c r="WGR2" s="65"/>
      <c r="WGS2" s="65"/>
      <c r="WGT2" s="65"/>
      <c r="WGU2" s="65"/>
      <c r="WGV2" s="65"/>
      <c r="WGW2" s="65"/>
      <c r="WGX2" s="65"/>
      <c r="WGY2" s="65"/>
      <c r="WGZ2" s="65"/>
      <c r="WHA2" s="65"/>
      <c r="WHB2" s="65"/>
      <c r="WHC2" s="65"/>
      <c r="WHD2" s="65"/>
      <c r="WHE2" s="65"/>
      <c r="WHF2" s="65"/>
      <c r="WHG2" s="65"/>
      <c r="WHH2" s="65"/>
      <c r="WHI2" s="65"/>
      <c r="WHJ2" s="65"/>
      <c r="WHK2" s="65"/>
      <c r="WHL2" s="65"/>
      <c r="WHM2" s="65"/>
      <c r="WHN2" s="65"/>
      <c r="WHO2" s="65"/>
      <c r="WHP2" s="65"/>
      <c r="WHQ2" s="65"/>
      <c r="WHR2" s="65"/>
      <c r="WHS2" s="65"/>
      <c r="WHT2" s="65"/>
      <c r="WHU2" s="65"/>
      <c r="WHV2" s="65"/>
      <c r="WHW2" s="65"/>
      <c r="WHX2" s="65"/>
      <c r="WHY2" s="65"/>
      <c r="WHZ2" s="65"/>
      <c r="WIA2" s="65"/>
      <c r="WIB2" s="65"/>
      <c r="WIC2" s="65"/>
      <c r="WID2" s="65"/>
      <c r="WIE2" s="65"/>
      <c r="WIF2" s="65"/>
      <c r="WIG2" s="65"/>
      <c r="WIH2" s="65"/>
      <c r="WII2" s="65"/>
      <c r="WIJ2" s="65"/>
      <c r="WIK2" s="65"/>
      <c r="WIL2" s="65"/>
      <c r="WIM2" s="65"/>
      <c r="WIN2" s="65"/>
      <c r="WIO2" s="65"/>
      <c r="WIP2" s="65"/>
      <c r="WIQ2" s="65"/>
      <c r="WIR2" s="65"/>
      <c r="WIS2" s="65"/>
      <c r="WIT2" s="65"/>
      <c r="WIU2" s="65"/>
      <c r="WIV2" s="65"/>
      <c r="WIW2" s="65"/>
      <c r="WIX2" s="65"/>
      <c r="WIY2" s="65"/>
      <c r="WIZ2" s="65"/>
      <c r="WJA2" s="65"/>
      <c r="WJB2" s="65"/>
      <c r="WJC2" s="65"/>
      <c r="WJD2" s="65"/>
      <c r="WJE2" s="65"/>
      <c r="WJF2" s="65"/>
      <c r="WJG2" s="65"/>
      <c r="WJH2" s="65"/>
      <c r="WJI2" s="65"/>
      <c r="WJJ2" s="65"/>
      <c r="WJK2" s="65"/>
      <c r="WJL2" s="65"/>
      <c r="WJM2" s="65"/>
      <c r="WJN2" s="65"/>
      <c r="WJO2" s="65"/>
      <c r="WJP2" s="65"/>
      <c r="WJQ2" s="65"/>
      <c r="WJR2" s="65"/>
      <c r="WJS2" s="65"/>
      <c r="WJT2" s="65"/>
      <c r="WJU2" s="65"/>
      <c r="WJV2" s="65"/>
      <c r="WJW2" s="65"/>
      <c r="WJX2" s="65"/>
      <c r="WJY2" s="65"/>
      <c r="WJZ2" s="65"/>
      <c r="WKA2" s="65"/>
      <c r="WKB2" s="65"/>
      <c r="WKC2" s="65"/>
      <c r="WKD2" s="65"/>
      <c r="WKE2" s="65"/>
      <c r="WKF2" s="65"/>
      <c r="WKG2" s="65"/>
      <c r="WKH2" s="65"/>
      <c r="WKI2" s="65"/>
      <c r="WKJ2" s="65"/>
      <c r="WKK2" s="65"/>
      <c r="WKL2" s="65"/>
      <c r="WKM2" s="65"/>
      <c r="WKN2" s="65"/>
      <c r="WKO2" s="65"/>
      <c r="WKP2" s="65"/>
      <c r="WKQ2" s="65"/>
      <c r="WKR2" s="65"/>
      <c r="WKS2" s="65"/>
      <c r="WKT2" s="65"/>
      <c r="WKU2" s="65"/>
      <c r="WKV2" s="65"/>
      <c r="WKW2" s="65"/>
      <c r="WKX2" s="65"/>
      <c r="WKY2" s="65"/>
      <c r="WKZ2" s="65"/>
      <c r="WLA2" s="65"/>
      <c r="WLB2" s="65"/>
      <c r="WLC2" s="65"/>
      <c r="WLD2" s="65"/>
      <c r="WLE2" s="65"/>
      <c r="WLF2" s="65"/>
      <c r="WLG2" s="65"/>
      <c r="WLH2" s="65"/>
      <c r="WLI2" s="65"/>
      <c r="WLJ2" s="65"/>
      <c r="WLK2" s="65"/>
      <c r="WLL2" s="65"/>
      <c r="WLM2" s="65"/>
      <c r="WLN2" s="65"/>
      <c r="WLO2" s="65"/>
      <c r="WLP2" s="65"/>
      <c r="WLQ2" s="65"/>
      <c r="WLR2" s="65"/>
      <c r="WLS2" s="65"/>
      <c r="WLT2" s="65"/>
      <c r="WLU2" s="65"/>
      <c r="WLV2" s="65"/>
      <c r="WLW2" s="65"/>
      <c r="WLX2" s="65"/>
      <c r="WLY2" s="65"/>
      <c r="WLZ2" s="65"/>
      <c r="WMA2" s="65"/>
      <c r="WMB2" s="65"/>
      <c r="WMC2" s="65"/>
      <c r="WMD2" s="65"/>
      <c r="WME2" s="65"/>
      <c r="WMF2" s="65"/>
      <c r="WMG2" s="65"/>
      <c r="WMH2" s="65"/>
      <c r="WMI2" s="65"/>
      <c r="WMJ2" s="65"/>
      <c r="WMK2" s="65"/>
      <c r="WML2" s="65"/>
      <c r="WMM2" s="65"/>
      <c r="WMN2" s="65"/>
      <c r="WMO2" s="65"/>
      <c r="WMP2" s="65"/>
      <c r="WMQ2" s="65"/>
      <c r="WMR2" s="65"/>
      <c r="WMS2" s="65"/>
      <c r="WMT2" s="65"/>
      <c r="WMU2" s="65"/>
      <c r="WMV2" s="65"/>
      <c r="WMW2" s="65"/>
      <c r="WMX2" s="65"/>
      <c r="WMY2" s="65"/>
      <c r="WMZ2" s="65"/>
      <c r="WNA2" s="65"/>
      <c r="WNB2" s="65"/>
      <c r="WNC2" s="65"/>
      <c r="WND2" s="65"/>
      <c r="WNE2" s="65"/>
      <c r="WNF2" s="65"/>
      <c r="WNG2" s="65"/>
      <c r="WNH2" s="65"/>
      <c r="WNI2" s="65"/>
      <c r="WNJ2" s="65"/>
      <c r="WNK2" s="65"/>
      <c r="WNL2" s="65"/>
      <c r="WNM2" s="65"/>
      <c r="WNN2" s="65"/>
      <c r="WNO2" s="65"/>
      <c r="WNP2" s="65"/>
      <c r="WNQ2" s="65"/>
      <c r="WNR2" s="65"/>
      <c r="WNS2" s="65"/>
      <c r="WNT2" s="65"/>
      <c r="WNU2" s="65"/>
      <c r="WNV2" s="65"/>
      <c r="WNW2" s="65"/>
      <c r="WNX2" s="65"/>
      <c r="WNY2" s="65"/>
      <c r="WNZ2" s="65"/>
      <c r="WOA2" s="65"/>
      <c r="WOB2" s="65"/>
      <c r="WOC2" s="65"/>
      <c r="WOD2" s="65"/>
      <c r="WOE2" s="65"/>
      <c r="WOF2" s="65"/>
      <c r="WOG2" s="65"/>
      <c r="WOH2" s="65"/>
      <c r="WOI2" s="65"/>
      <c r="WOJ2" s="65"/>
      <c r="WOK2" s="65"/>
      <c r="WOL2" s="65"/>
      <c r="WOM2" s="65"/>
      <c r="WON2" s="65"/>
      <c r="WOO2" s="65"/>
      <c r="WOP2" s="65"/>
      <c r="WOQ2" s="65"/>
      <c r="WOR2" s="65"/>
      <c r="WOS2" s="65"/>
      <c r="WOT2" s="65"/>
      <c r="WOU2" s="65"/>
      <c r="WOV2" s="65"/>
      <c r="WOW2" s="65"/>
      <c r="WOX2" s="65"/>
      <c r="WOY2" s="65"/>
      <c r="WOZ2" s="65"/>
      <c r="WPA2" s="65"/>
      <c r="WPB2" s="65"/>
      <c r="WPC2" s="65"/>
      <c r="WPD2" s="65"/>
      <c r="WPE2" s="65"/>
      <c r="WPF2" s="65"/>
      <c r="WPG2" s="65"/>
      <c r="WPH2" s="65"/>
      <c r="WPI2" s="65"/>
      <c r="WPJ2" s="65"/>
      <c r="WPK2" s="65"/>
      <c r="WPL2" s="65"/>
      <c r="WPM2" s="65"/>
      <c r="WPN2" s="65"/>
      <c r="WPO2" s="65"/>
      <c r="WPP2" s="65"/>
      <c r="WPQ2" s="65"/>
      <c r="WPR2" s="65"/>
      <c r="WPS2" s="65"/>
      <c r="WPT2" s="65"/>
      <c r="WPU2" s="65"/>
      <c r="WPV2" s="65"/>
      <c r="WPW2" s="65"/>
      <c r="WPX2" s="65"/>
      <c r="WPY2" s="65"/>
      <c r="WPZ2" s="65"/>
      <c r="WQA2" s="65"/>
      <c r="WQB2" s="65"/>
      <c r="WQC2" s="65"/>
      <c r="WQD2" s="65"/>
      <c r="WQE2" s="65"/>
      <c r="WQF2" s="65"/>
      <c r="WQG2" s="65"/>
      <c r="WQH2" s="65"/>
      <c r="WQI2" s="65"/>
      <c r="WQJ2" s="65"/>
      <c r="WQK2" s="65"/>
      <c r="WQL2" s="65"/>
      <c r="WQM2" s="65"/>
      <c r="WQN2" s="65"/>
      <c r="WQO2" s="65"/>
      <c r="WQP2" s="65"/>
      <c r="WQQ2" s="65"/>
      <c r="WQR2" s="65"/>
      <c r="WQS2" s="65"/>
      <c r="WQT2" s="65"/>
      <c r="WQU2" s="65"/>
      <c r="WQV2" s="65"/>
      <c r="WQW2" s="65"/>
      <c r="WQX2" s="65"/>
      <c r="WQY2" s="65"/>
      <c r="WQZ2" s="65"/>
      <c r="WRA2" s="65"/>
      <c r="WRB2" s="65"/>
      <c r="WRC2" s="65"/>
      <c r="WRD2" s="65"/>
      <c r="WRE2" s="65"/>
      <c r="WRF2" s="65"/>
      <c r="WRG2" s="65"/>
      <c r="WRH2" s="65"/>
      <c r="WRI2" s="65"/>
      <c r="WRJ2" s="65"/>
      <c r="WRK2" s="65"/>
      <c r="WRL2" s="65"/>
      <c r="WRM2" s="65"/>
      <c r="WRN2" s="65"/>
      <c r="WRO2" s="65"/>
      <c r="WRP2" s="65"/>
      <c r="WRQ2" s="65"/>
      <c r="WRR2" s="65"/>
      <c r="WRS2" s="65"/>
      <c r="WRT2" s="65"/>
      <c r="WRU2" s="65"/>
      <c r="WRV2" s="65"/>
      <c r="WRW2" s="65"/>
      <c r="WRX2" s="65"/>
      <c r="WRY2" s="65"/>
      <c r="WRZ2" s="65"/>
      <c r="WSA2" s="65"/>
      <c r="WSB2" s="65"/>
      <c r="WSC2" s="65"/>
      <c r="WSD2" s="65"/>
      <c r="WSE2" s="65"/>
      <c r="WSF2" s="65"/>
      <c r="WSG2" s="65"/>
      <c r="WSH2" s="65"/>
      <c r="WSI2" s="65"/>
      <c r="WSJ2" s="65"/>
      <c r="WSK2" s="65"/>
      <c r="WSL2" s="65"/>
      <c r="WSM2" s="65"/>
      <c r="WSN2" s="65"/>
      <c r="WSO2" s="65"/>
      <c r="WSP2" s="65"/>
      <c r="WSQ2" s="65"/>
      <c r="WSR2" s="65"/>
      <c r="WSS2" s="65"/>
      <c r="WST2" s="65"/>
      <c r="WSU2" s="65"/>
      <c r="WSV2" s="65"/>
      <c r="WSW2" s="65"/>
      <c r="WSX2" s="65"/>
      <c r="WSY2" s="65"/>
      <c r="WSZ2" s="65"/>
      <c r="WTA2" s="65"/>
      <c r="WTB2" s="65"/>
      <c r="WTC2" s="65"/>
      <c r="WTD2" s="65"/>
      <c r="WTE2" s="65"/>
      <c r="WTF2" s="65"/>
      <c r="WTG2" s="65"/>
      <c r="WTH2" s="65"/>
      <c r="WTI2" s="65"/>
      <c r="WTJ2" s="65"/>
      <c r="WTK2" s="65"/>
      <c r="WTL2" s="65"/>
      <c r="WTM2" s="65"/>
      <c r="WTN2" s="65"/>
      <c r="WTO2" s="65"/>
      <c r="WTP2" s="65"/>
      <c r="WTQ2" s="65"/>
      <c r="WTR2" s="65"/>
      <c r="WTS2" s="65"/>
      <c r="WTT2" s="65"/>
      <c r="WTU2" s="65"/>
      <c r="WTV2" s="65"/>
      <c r="WTW2" s="65"/>
      <c r="WTX2" s="65"/>
      <c r="WTY2" s="65"/>
      <c r="WTZ2" s="65"/>
      <c r="WUA2" s="65"/>
      <c r="WUB2" s="65"/>
      <c r="WUC2" s="65"/>
      <c r="WUD2" s="65"/>
      <c r="WUE2" s="65"/>
      <c r="WUF2" s="65"/>
      <c r="WUG2" s="65"/>
      <c r="WUH2" s="65"/>
      <c r="WUI2" s="65"/>
      <c r="WUJ2" s="65"/>
      <c r="WUK2" s="65"/>
      <c r="WUL2" s="65"/>
      <c r="WUM2" s="65"/>
      <c r="WUN2" s="65"/>
      <c r="WUO2" s="65"/>
      <c r="WUP2" s="65"/>
      <c r="WUQ2" s="65"/>
      <c r="WUR2" s="65"/>
      <c r="WUS2" s="65"/>
      <c r="WUT2" s="65"/>
      <c r="WUU2" s="65"/>
      <c r="WUV2" s="65"/>
      <c r="WUW2" s="65"/>
      <c r="WUX2" s="65"/>
      <c r="WUY2" s="65"/>
      <c r="WUZ2" s="65"/>
      <c r="WVA2" s="65"/>
      <c r="WVB2" s="65"/>
      <c r="WVC2" s="65"/>
      <c r="WVD2" s="65"/>
      <c r="WVE2" s="65"/>
      <c r="WVF2" s="65"/>
      <c r="WVG2" s="65"/>
      <c r="WVH2" s="65"/>
      <c r="WVI2" s="65"/>
      <c r="WVJ2" s="65"/>
      <c r="WVK2" s="65"/>
      <c r="WVL2" s="65"/>
      <c r="WVM2" s="65"/>
      <c r="WVN2" s="65"/>
      <c r="WVO2" s="65"/>
      <c r="WVP2" s="65"/>
      <c r="WVQ2" s="65"/>
      <c r="WVR2" s="65"/>
      <c r="WVS2" s="65"/>
      <c r="WVT2" s="65"/>
      <c r="WVU2" s="65"/>
      <c r="WVV2" s="65"/>
      <c r="WVW2" s="65"/>
      <c r="WVX2" s="65"/>
      <c r="WVY2" s="65"/>
      <c r="WVZ2" s="65"/>
      <c r="WWA2" s="65"/>
      <c r="WWB2" s="65"/>
      <c r="WWC2" s="65"/>
      <c r="WWD2" s="65"/>
      <c r="WWE2" s="65"/>
      <c r="WWF2" s="65"/>
      <c r="WWG2" s="65"/>
      <c r="WWH2" s="65"/>
      <c r="WWI2" s="65"/>
      <c r="WWJ2" s="65"/>
      <c r="WWK2" s="65"/>
      <c r="WWL2" s="65"/>
      <c r="WWM2" s="65"/>
      <c r="WWN2" s="65"/>
      <c r="WWO2" s="65"/>
      <c r="WWP2" s="65"/>
      <c r="WWQ2" s="65"/>
      <c r="WWR2" s="65"/>
      <c r="WWS2" s="65"/>
      <c r="WWT2" s="65"/>
      <c r="WWU2" s="65"/>
      <c r="WWV2" s="65"/>
      <c r="WWW2" s="65"/>
      <c r="WWX2" s="65"/>
      <c r="WWY2" s="65"/>
      <c r="WWZ2" s="65"/>
      <c r="WXA2" s="65"/>
      <c r="WXB2" s="65"/>
      <c r="WXC2" s="65"/>
      <c r="WXD2" s="65"/>
      <c r="WXE2" s="65"/>
      <c r="WXF2" s="65"/>
      <c r="WXG2" s="65"/>
      <c r="WXH2" s="65"/>
      <c r="WXI2" s="65"/>
      <c r="WXJ2" s="65"/>
      <c r="WXK2" s="65"/>
      <c r="WXL2" s="65"/>
      <c r="WXM2" s="65"/>
      <c r="WXN2" s="65"/>
      <c r="WXO2" s="65"/>
      <c r="WXP2" s="65"/>
      <c r="WXQ2" s="65"/>
      <c r="WXR2" s="65"/>
      <c r="WXS2" s="65"/>
      <c r="WXT2" s="65"/>
      <c r="WXU2" s="65"/>
      <c r="WXV2" s="65"/>
      <c r="WXW2" s="65"/>
      <c r="WXX2" s="65"/>
      <c r="WXY2" s="65"/>
      <c r="WXZ2" s="65"/>
      <c r="WYA2" s="65"/>
      <c r="WYB2" s="65"/>
      <c r="WYC2" s="65"/>
      <c r="WYD2" s="65"/>
      <c r="WYE2" s="65"/>
      <c r="WYF2" s="65"/>
      <c r="WYG2" s="65"/>
      <c r="WYH2" s="65"/>
      <c r="WYI2" s="65"/>
      <c r="WYJ2" s="65"/>
      <c r="WYK2" s="65"/>
      <c r="WYL2" s="65"/>
      <c r="WYM2" s="65"/>
      <c r="WYN2" s="65"/>
      <c r="WYO2" s="65"/>
      <c r="WYP2" s="65"/>
      <c r="WYQ2" s="65"/>
      <c r="WYR2" s="65"/>
      <c r="WYS2" s="65"/>
      <c r="WYT2" s="65"/>
      <c r="WYU2" s="65"/>
      <c r="WYV2" s="65"/>
      <c r="WYW2" s="65"/>
      <c r="WYX2" s="65"/>
      <c r="WYY2" s="65"/>
      <c r="WYZ2" s="65"/>
      <c r="WZA2" s="65"/>
      <c r="WZB2" s="65"/>
      <c r="WZC2" s="65"/>
      <c r="WZD2" s="65"/>
      <c r="WZE2" s="65"/>
      <c r="WZF2" s="65"/>
      <c r="WZG2" s="65"/>
      <c r="WZH2" s="65"/>
      <c r="WZI2" s="65"/>
      <c r="WZJ2" s="65"/>
      <c r="WZK2" s="65"/>
      <c r="WZL2" s="65"/>
      <c r="WZM2" s="65"/>
      <c r="WZN2" s="65"/>
      <c r="WZO2" s="65"/>
      <c r="WZP2" s="65"/>
      <c r="WZQ2" s="65"/>
      <c r="WZR2" s="65"/>
      <c r="WZS2" s="65"/>
      <c r="WZT2" s="65"/>
      <c r="WZU2" s="65"/>
      <c r="WZV2" s="65"/>
      <c r="WZW2" s="65"/>
      <c r="WZX2" s="65"/>
      <c r="WZY2" s="65"/>
      <c r="WZZ2" s="65"/>
      <c r="XAA2" s="65"/>
      <c r="XAB2" s="65"/>
      <c r="XAC2" s="65"/>
      <c r="XAD2" s="65"/>
      <c r="XAE2" s="65"/>
      <c r="XAF2" s="65"/>
      <c r="XAG2" s="65"/>
      <c r="XAH2" s="65"/>
      <c r="XAI2" s="65"/>
      <c r="XAJ2" s="65"/>
      <c r="XAK2" s="65"/>
      <c r="XAL2" s="65"/>
      <c r="XAM2" s="65"/>
      <c r="XAN2" s="65"/>
      <c r="XAO2" s="65"/>
      <c r="XAP2" s="65"/>
      <c r="XAQ2" s="65"/>
      <c r="XAR2" s="65"/>
      <c r="XAS2" s="65"/>
      <c r="XAT2" s="65"/>
      <c r="XAU2" s="65"/>
      <c r="XAV2" s="65"/>
      <c r="XAW2" s="65"/>
      <c r="XAX2" s="65"/>
      <c r="XAY2" s="65"/>
      <c r="XAZ2" s="65"/>
      <c r="XBA2" s="65"/>
      <c r="XBB2" s="65"/>
      <c r="XBC2" s="65"/>
      <c r="XBD2" s="65"/>
      <c r="XBE2" s="65"/>
      <c r="XBF2" s="65"/>
      <c r="XBG2" s="65"/>
      <c r="XBH2" s="65"/>
      <c r="XBI2" s="65"/>
      <c r="XBJ2" s="65"/>
      <c r="XBK2" s="65"/>
      <c r="XBL2" s="65"/>
      <c r="XBM2" s="65"/>
      <c r="XBN2" s="65"/>
      <c r="XBO2" s="65"/>
      <c r="XBP2" s="65"/>
      <c r="XBQ2" s="65"/>
      <c r="XBR2" s="65"/>
      <c r="XBS2" s="65"/>
      <c r="XBT2" s="65"/>
      <c r="XBU2" s="65"/>
      <c r="XBV2" s="65"/>
      <c r="XBW2" s="65"/>
      <c r="XBX2" s="65"/>
      <c r="XBY2" s="65"/>
      <c r="XBZ2" s="65"/>
      <c r="XCA2" s="65"/>
      <c r="XCB2" s="65"/>
      <c r="XCC2" s="65"/>
      <c r="XCD2" s="65"/>
      <c r="XCE2" s="65"/>
      <c r="XCF2" s="65"/>
      <c r="XCG2" s="65"/>
      <c r="XCH2" s="65"/>
      <c r="XCI2" s="65"/>
      <c r="XCJ2" s="65"/>
      <c r="XCU2" s="65"/>
      <c r="XCV2" s="65"/>
      <c r="XCW2" s="65"/>
      <c r="XCX2" s="65"/>
      <c r="XCY2" s="65"/>
      <c r="XCZ2" s="65"/>
      <c r="XDA2" s="65"/>
      <c r="XDG2" s="66"/>
      <c r="XDH2" s="66"/>
      <c r="XDI2" s="66"/>
      <c r="XDJ2" s="66"/>
      <c r="XDK2" s="66"/>
      <c r="XDL2" s="66"/>
      <c r="XDM2" s="66"/>
      <c r="XDN2" s="66"/>
    </row>
    <row r="3" s="21" customFormat="1" ht="23" spans="1:1024 1025:1634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67">
        <f>灯价格!A7</f>
        <v>0</v>
      </c>
      <c r="M3" s="67">
        <f>灯价格!B7</f>
        <v>0</v>
      </c>
      <c r="N3" s="67">
        <f>灯价格!C7</f>
        <v>0</v>
      </c>
      <c r="O3" s="39"/>
      <c r="P3" s="39"/>
      <c r="Q3" s="40"/>
      <c r="R3" s="39"/>
      <c r="S3" s="39"/>
      <c r="T3" s="57" t="s">
        <v>54</v>
      </c>
    </row>
    <row r="4" s="22" customFormat="1" ht="15" spans="1:1024 1025:16342">
      <c r="A4" s="41">
        <f t="shared" ref="A4:A9" si="0">ROW()-3</f>
        <v>1</v>
      </c>
      <c r="B4" s="58" t="s">
        <v>27</v>
      </c>
      <c r="C4" s="58" t="s">
        <v>21</v>
      </c>
      <c r="D4" s="58" t="s">
        <v>22</v>
      </c>
      <c r="E4" s="58" t="s">
        <v>23</v>
      </c>
      <c r="F4" s="58" t="s">
        <v>55</v>
      </c>
      <c r="G4" s="58" t="s">
        <v>25</v>
      </c>
      <c r="H4" s="58" t="s">
        <v>26</v>
      </c>
      <c r="I4" s="58">
        <f>8*16*4</f>
        <v>512</v>
      </c>
      <c r="J4" s="58">
        <f t="shared" ref="J4:J9" si="1">8*16*2</f>
        <v>256</v>
      </c>
      <c r="K4" s="58"/>
      <c r="L4" s="42">
        <f t="shared" ref="L4:N4" si="2">L3</f>
        <v>0</v>
      </c>
      <c r="M4" s="42">
        <f t="shared" si="2"/>
        <v>0</v>
      </c>
      <c r="N4" s="42">
        <f t="shared" si="2"/>
        <v>0</v>
      </c>
      <c r="O4" s="68">
        <f t="shared" ref="O4:O9" si="3">I4*L4+J4*M4+K4*N4</f>
        <v>0</v>
      </c>
      <c r="P4" s="43">
        <f>套件!G8</f>
        <v>0</v>
      </c>
      <c r="Q4" s="50"/>
      <c r="R4" s="69">
        <f t="shared" ref="R4:R9" si="4">Q4+P4+O4</f>
        <v>0</v>
      </c>
      <c r="S4" s="69">
        <f t="shared" ref="S4:S9" si="5">R4+3.5</f>
        <v>3.5</v>
      </c>
      <c r="T4" s="58" t="s">
        <v>54</v>
      </c>
    </row>
    <row r="5" s="22" customFormat="1" ht="15" spans="1:1024 1025:16342">
      <c r="A5" s="41">
        <f t="shared" si="0"/>
        <v>2</v>
      </c>
      <c r="B5" s="58" t="s">
        <v>27</v>
      </c>
      <c r="C5" s="58" t="s">
        <v>29</v>
      </c>
      <c r="D5" s="58" t="s">
        <v>22</v>
      </c>
      <c r="E5" s="58" t="s">
        <v>23</v>
      </c>
      <c r="F5" s="58" t="s">
        <v>55</v>
      </c>
      <c r="G5" s="58" t="s">
        <v>25</v>
      </c>
      <c r="H5" s="41" t="s">
        <v>30</v>
      </c>
      <c r="I5" s="58">
        <f>8*16*4</f>
        <v>512</v>
      </c>
      <c r="J5" s="58">
        <f t="shared" si="1"/>
        <v>256</v>
      </c>
      <c r="K5" s="58">
        <f t="shared" ref="K5:K9" si="6">8*16*1</f>
        <v>128</v>
      </c>
      <c r="L5" s="42">
        <f t="shared" ref="L5:N5" si="7">L3</f>
        <v>0</v>
      </c>
      <c r="M5" s="42">
        <f t="shared" si="7"/>
        <v>0</v>
      </c>
      <c r="N5" s="42">
        <f t="shared" si="7"/>
        <v>0</v>
      </c>
      <c r="O5" s="68">
        <f t="shared" si="3"/>
        <v>0</v>
      </c>
      <c r="P5" s="43">
        <f>P4</f>
        <v>0</v>
      </c>
      <c r="Q5" s="50"/>
      <c r="R5" s="69">
        <f t="shared" si="4"/>
        <v>0</v>
      </c>
      <c r="S5" s="69">
        <f t="shared" si="5"/>
        <v>3.5</v>
      </c>
      <c r="T5" s="58" t="s">
        <v>54</v>
      </c>
    </row>
    <row r="6" s="22" customFormat="1" ht="15" spans="1:1024 1025:16342">
      <c r="A6" s="41">
        <f t="shared" si="0"/>
        <v>3</v>
      </c>
      <c r="B6" s="58" t="s">
        <v>27</v>
      </c>
      <c r="C6" s="58" t="s">
        <v>31</v>
      </c>
      <c r="D6" s="58" t="s">
        <v>22</v>
      </c>
      <c r="E6" s="58" t="s">
        <v>23</v>
      </c>
      <c r="F6" s="58" t="s">
        <v>55</v>
      </c>
      <c r="G6" s="58" t="s">
        <v>25</v>
      </c>
      <c r="H6" s="58" t="s">
        <v>26</v>
      </c>
      <c r="I6" s="58">
        <f>8*16*3</f>
        <v>384</v>
      </c>
      <c r="J6" s="58">
        <f t="shared" si="1"/>
        <v>256</v>
      </c>
      <c r="K6" s="58"/>
      <c r="L6" s="42">
        <f t="shared" ref="L6:N6" si="8">L3</f>
        <v>0</v>
      </c>
      <c r="M6" s="42">
        <f t="shared" si="8"/>
        <v>0</v>
      </c>
      <c r="N6" s="42">
        <f t="shared" si="8"/>
        <v>0</v>
      </c>
      <c r="O6" s="68">
        <f t="shared" si="3"/>
        <v>0</v>
      </c>
      <c r="P6" s="43">
        <f>P5</f>
        <v>0</v>
      </c>
      <c r="Q6" s="50"/>
      <c r="R6" s="69">
        <f t="shared" si="4"/>
        <v>0</v>
      </c>
      <c r="S6" s="69">
        <f t="shared" si="5"/>
        <v>3.5</v>
      </c>
      <c r="T6" s="58" t="s">
        <v>54</v>
      </c>
    </row>
    <row r="7" s="22" customFormat="1" ht="15" spans="1:1024 1025:16342">
      <c r="A7" s="41">
        <f t="shared" si="0"/>
        <v>4</v>
      </c>
      <c r="B7" s="58" t="s">
        <v>27</v>
      </c>
      <c r="C7" s="58" t="s">
        <v>33</v>
      </c>
      <c r="D7" s="58" t="s">
        <v>22</v>
      </c>
      <c r="E7" s="58" t="s">
        <v>23</v>
      </c>
      <c r="F7" s="58" t="s">
        <v>55</v>
      </c>
      <c r="G7" s="58" t="s">
        <v>25</v>
      </c>
      <c r="H7" s="41" t="s">
        <v>30</v>
      </c>
      <c r="I7" s="58">
        <f>8*16*3</f>
        <v>384</v>
      </c>
      <c r="J7" s="58">
        <f t="shared" si="1"/>
        <v>256</v>
      </c>
      <c r="K7" s="58">
        <f t="shared" si="6"/>
        <v>128</v>
      </c>
      <c r="L7" s="42">
        <f t="shared" ref="L7:N7" si="9">L3</f>
        <v>0</v>
      </c>
      <c r="M7" s="42">
        <f t="shared" si="9"/>
        <v>0</v>
      </c>
      <c r="N7" s="42">
        <f t="shared" si="9"/>
        <v>0</v>
      </c>
      <c r="O7" s="68">
        <f t="shared" si="3"/>
        <v>0</v>
      </c>
      <c r="P7" s="43">
        <f>P6</f>
        <v>0</v>
      </c>
      <c r="Q7" s="50"/>
      <c r="R7" s="69">
        <f t="shared" si="4"/>
        <v>0</v>
      </c>
      <c r="S7" s="69">
        <f t="shared" si="5"/>
        <v>3.5</v>
      </c>
      <c r="T7" s="58" t="s">
        <v>54</v>
      </c>
    </row>
    <row r="8" s="22" customFormat="1" ht="15" spans="1:1024 1025:16342">
      <c r="A8" s="41">
        <f t="shared" si="0"/>
        <v>5</v>
      </c>
      <c r="B8" s="58" t="s">
        <v>27</v>
      </c>
      <c r="C8" s="58" t="s">
        <v>32</v>
      </c>
      <c r="D8" s="58" t="s">
        <v>22</v>
      </c>
      <c r="E8" s="58" t="s">
        <v>23</v>
      </c>
      <c r="F8" s="58" t="s">
        <v>55</v>
      </c>
      <c r="G8" s="58" t="s">
        <v>25</v>
      </c>
      <c r="H8" s="58" t="s">
        <v>26</v>
      </c>
      <c r="I8" s="58">
        <f>8*16*2</f>
        <v>256</v>
      </c>
      <c r="J8" s="58">
        <f>8*16*1</f>
        <v>128</v>
      </c>
      <c r="K8" s="58"/>
      <c r="L8" s="42">
        <f t="shared" ref="L8:N8" si="10">L3</f>
        <v>0</v>
      </c>
      <c r="M8" s="42">
        <f t="shared" si="10"/>
        <v>0</v>
      </c>
      <c r="N8" s="42">
        <f t="shared" si="10"/>
        <v>0</v>
      </c>
      <c r="O8" s="68">
        <f t="shared" si="3"/>
        <v>0</v>
      </c>
      <c r="P8" s="43">
        <f>P7</f>
        <v>0</v>
      </c>
      <c r="Q8" s="50"/>
      <c r="R8" s="69">
        <f t="shared" si="4"/>
        <v>0</v>
      </c>
      <c r="S8" s="69">
        <f t="shared" si="5"/>
        <v>3.5</v>
      </c>
      <c r="T8" s="58" t="s">
        <v>54</v>
      </c>
    </row>
    <row r="9" s="22" customFormat="1" ht="15" spans="1:1024 1025:16342">
      <c r="A9" s="41">
        <f t="shared" si="0"/>
        <v>6</v>
      </c>
      <c r="B9" s="58" t="s">
        <v>27</v>
      </c>
      <c r="C9" s="58" t="s">
        <v>34</v>
      </c>
      <c r="D9" s="58" t="s">
        <v>22</v>
      </c>
      <c r="E9" s="58" t="s">
        <v>23</v>
      </c>
      <c r="F9" s="58" t="s">
        <v>55</v>
      </c>
      <c r="G9" s="58" t="s">
        <v>25</v>
      </c>
      <c r="H9" s="41" t="s">
        <v>30</v>
      </c>
      <c r="I9" s="58">
        <f>8*16*3</f>
        <v>384</v>
      </c>
      <c r="J9" s="58">
        <f>8*16*1</f>
        <v>128</v>
      </c>
      <c r="K9" s="58">
        <f t="shared" si="6"/>
        <v>128</v>
      </c>
      <c r="L9" s="42">
        <f t="shared" ref="L9:N9" si="11">L3</f>
        <v>0</v>
      </c>
      <c r="M9" s="42">
        <f t="shared" si="11"/>
        <v>0</v>
      </c>
      <c r="N9" s="42">
        <f t="shared" si="11"/>
        <v>0</v>
      </c>
      <c r="O9" s="68">
        <f t="shared" si="3"/>
        <v>0</v>
      </c>
      <c r="P9" s="43">
        <f>P8</f>
        <v>0</v>
      </c>
      <c r="Q9" s="50"/>
      <c r="R9" s="69">
        <f t="shared" si="4"/>
        <v>0</v>
      </c>
      <c r="S9" s="69">
        <f t="shared" si="5"/>
        <v>3.5</v>
      </c>
      <c r="T9" s="58" t="s">
        <v>54</v>
      </c>
    </row>
    <row r="10" s="22" customFormat="1" ht="15" spans="1:1024 1025:16342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  <c r="M10" s="47"/>
      <c r="N10" s="47"/>
      <c r="O10" s="48"/>
      <c r="P10" s="48"/>
      <c r="Q10" s="49"/>
      <c r="R10" s="69"/>
      <c r="S10" s="45"/>
      <c r="T10" s="46"/>
    </row>
    <row r="11" s="22" customFormat="1" ht="15" spans="1:1024 1025:16342">
      <c r="A11" s="41">
        <f>ROW()-3</f>
        <v>8</v>
      </c>
      <c r="B11" s="41" t="s">
        <v>35</v>
      </c>
      <c r="C11" s="41" t="s">
        <v>21</v>
      </c>
      <c r="D11" s="41" t="s">
        <v>22</v>
      </c>
      <c r="E11" s="41" t="s">
        <v>23</v>
      </c>
      <c r="F11" s="58" t="s">
        <v>55</v>
      </c>
      <c r="G11" s="41" t="s">
        <v>25</v>
      </c>
      <c r="H11" s="41" t="s">
        <v>26</v>
      </c>
      <c r="I11" s="58">
        <f>10*20*4</f>
        <v>800</v>
      </c>
      <c r="J11" s="58">
        <f>10*20*2</f>
        <v>400</v>
      </c>
      <c r="K11" s="41"/>
      <c r="L11" s="42">
        <f t="shared" ref="L11:N11" si="12">L3</f>
        <v>0</v>
      </c>
      <c r="M11" s="42">
        <f t="shared" si="12"/>
        <v>0</v>
      </c>
      <c r="N11" s="42">
        <f t="shared" si="12"/>
        <v>0</v>
      </c>
      <c r="O11" s="43">
        <f>I11*L11+J11*M11+K11*N11</f>
        <v>0</v>
      </c>
      <c r="P11" s="43">
        <f>套件!G7</f>
        <v>0</v>
      </c>
      <c r="Q11" s="44"/>
      <c r="R11" s="69">
        <f>Q11+P11+O11</f>
        <v>0</v>
      </c>
      <c r="S11" s="45">
        <f>R11+3.5</f>
        <v>3.5</v>
      </c>
      <c r="T11" s="58" t="s">
        <v>54</v>
      </c>
    </row>
    <row r="12" s="22" customFormat="1" ht="15" spans="1:1024 1025:16342">
      <c r="A12" s="41">
        <f>ROW()-3</f>
        <v>9</v>
      </c>
      <c r="B12" s="41" t="s">
        <v>35</v>
      </c>
      <c r="C12" s="41" t="s">
        <v>31</v>
      </c>
      <c r="D12" s="41" t="s">
        <v>22</v>
      </c>
      <c r="E12" s="41" t="s">
        <v>23</v>
      </c>
      <c r="F12" s="58" t="s">
        <v>55</v>
      </c>
      <c r="G12" s="41" t="s">
        <v>25</v>
      </c>
      <c r="H12" s="41" t="s">
        <v>26</v>
      </c>
      <c r="I12" s="58">
        <f t="shared" ref="I12:I15" si="13">10*20*3</f>
        <v>600</v>
      </c>
      <c r="J12" s="58">
        <f>10*20*2</f>
        <v>400</v>
      </c>
      <c r="K12" s="58"/>
      <c r="L12" s="42">
        <f t="shared" ref="L12:N12" si="14">L3</f>
        <v>0</v>
      </c>
      <c r="M12" s="42">
        <f t="shared" si="14"/>
        <v>0</v>
      </c>
      <c r="N12" s="42">
        <f t="shared" si="14"/>
        <v>0</v>
      </c>
      <c r="O12" s="43">
        <f>I12*L12+J12*M12+K12*N12</f>
        <v>0</v>
      </c>
      <c r="P12" s="43">
        <f>P11</f>
        <v>0</v>
      </c>
      <c r="Q12" s="44"/>
      <c r="R12" s="69">
        <f t="shared" ref="R12:R21" si="15">Q12+P12+O12</f>
        <v>0</v>
      </c>
      <c r="S12" s="45">
        <f>R12+3.5</f>
        <v>3.5</v>
      </c>
      <c r="T12" s="58" t="s">
        <v>54</v>
      </c>
    </row>
    <row r="13" s="22" customFormat="1" ht="15" spans="1:1024 1025:16342">
      <c r="A13" s="41">
        <f>ROW()-3</f>
        <v>10</v>
      </c>
      <c r="B13" s="41" t="s">
        <v>35</v>
      </c>
      <c r="C13" s="41" t="s">
        <v>33</v>
      </c>
      <c r="D13" s="41" t="s">
        <v>22</v>
      </c>
      <c r="E13" s="41" t="s">
        <v>23</v>
      </c>
      <c r="F13" s="58" t="s">
        <v>55</v>
      </c>
      <c r="G13" s="41" t="s">
        <v>25</v>
      </c>
      <c r="H13" s="41" t="s">
        <v>30</v>
      </c>
      <c r="I13" s="58">
        <f t="shared" si="13"/>
        <v>600</v>
      </c>
      <c r="J13" s="58">
        <f>10*20*2</f>
        <v>400</v>
      </c>
      <c r="K13" s="58">
        <f>10*20*1</f>
        <v>200</v>
      </c>
      <c r="L13" s="42">
        <f t="shared" ref="L13:N13" si="16">L3</f>
        <v>0</v>
      </c>
      <c r="M13" s="42">
        <f t="shared" si="16"/>
        <v>0</v>
      </c>
      <c r="N13" s="42">
        <f t="shared" si="16"/>
        <v>0</v>
      </c>
      <c r="O13" s="43">
        <f>I13*L13+J13*M13+K13*N13</f>
        <v>0</v>
      </c>
      <c r="P13" s="43">
        <f>P12</f>
        <v>0</v>
      </c>
      <c r="Q13" s="44"/>
      <c r="R13" s="69">
        <f t="shared" si="15"/>
        <v>0</v>
      </c>
      <c r="S13" s="45">
        <f>R13+3.5</f>
        <v>3.5</v>
      </c>
      <c r="T13" s="58" t="s">
        <v>54</v>
      </c>
    </row>
    <row r="14" s="22" customFormat="1" ht="15" spans="1:1024 1025:16342">
      <c r="A14" s="41">
        <f>ROW()-3</f>
        <v>11</v>
      </c>
      <c r="B14" s="41" t="s">
        <v>35</v>
      </c>
      <c r="C14" s="41" t="s">
        <v>32</v>
      </c>
      <c r="D14" s="41" t="s">
        <v>22</v>
      </c>
      <c r="E14" s="41" t="s">
        <v>23</v>
      </c>
      <c r="F14" s="58" t="s">
        <v>55</v>
      </c>
      <c r="G14" s="41" t="s">
        <v>25</v>
      </c>
      <c r="H14" s="41" t="s">
        <v>26</v>
      </c>
      <c r="I14" s="58">
        <f t="shared" ref="I14:I18" si="17">10*20*2</f>
        <v>400</v>
      </c>
      <c r="J14" s="58">
        <f t="shared" ref="J14:J18" si="18">10*20*1</f>
        <v>200</v>
      </c>
      <c r="K14" s="41"/>
      <c r="L14" s="42">
        <f t="shared" ref="L14:N14" si="19">L3</f>
        <v>0</v>
      </c>
      <c r="M14" s="42">
        <f t="shared" si="19"/>
        <v>0</v>
      </c>
      <c r="N14" s="42">
        <f t="shared" si="19"/>
        <v>0</v>
      </c>
      <c r="O14" s="43">
        <f>I14*L14+J14*M14+K14*N14</f>
        <v>0</v>
      </c>
      <c r="P14" s="43">
        <f>P13</f>
        <v>0</v>
      </c>
      <c r="Q14" s="44"/>
      <c r="R14" s="69">
        <f t="shared" si="15"/>
        <v>0</v>
      </c>
      <c r="S14" s="45">
        <f>R14+3.5</f>
        <v>3.5</v>
      </c>
      <c r="T14" s="58" t="s">
        <v>54</v>
      </c>
    </row>
    <row r="15" s="22" customFormat="1" ht="15" spans="1:1024 1025:16342">
      <c r="A15" s="41">
        <f>ROW()-3</f>
        <v>12</v>
      </c>
      <c r="B15" s="41" t="s">
        <v>35</v>
      </c>
      <c r="C15" s="41" t="s">
        <v>34</v>
      </c>
      <c r="D15" s="41" t="s">
        <v>22</v>
      </c>
      <c r="E15" s="41" t="s">
        <v>23</v>
      </c>
      <c r="F15" s="58" t="s">
        <v>55</v>
      </c>
      <c r="G15" s="41" t="s">
        <v>25</v>
      </c>
      <c r="H15" s="41" t="s">
        <v>30</v>
      </c>
      <c r="I15" s="58">
        <f t="shared" si="17"/>
        <v>400</v>
      </c>
      <c r="J15" s="58">
        <f t="shared" si="18"/>
        <v>200</v>
      </c>
      <c r="K15" s="58">
        <f>10*20*1</f>
        <v>200</v>
      </c>
      <c r="L15" s="42">
        <f t="shared" ref="L15:N15" si="20">L3</f>
        <v>0</v>
      </c>
      <c r="M15" s="42">
        <f t="shared" si="20"/>
        <v>0</v>
      </c>
      <c r="N15" s="42">
        <f t="shared" si="20"/>
        <v>0</v>
      </c>
      <c r="O15" s="43">
        <f>I15*L15+J15*M15+K15*N15</f>
        <v>0</v>
      </c>
      <c r="P15" s="43">
        <f>P14</f>
        <v>0</v>
      </c>
      <c r="Q15" s="44"/>
      <c r="R15" s="69">
        <f t="shared" si="15"/>
        <v>0</v>
      </c>
      <c r="S15" s="45">
        <f>R15+3.5</f>
        <v>3.5</v>
      </c>
      <c r="T15" s="58" t="s">
        <v>54</v>
      </c>
    </row>
    <row r="16" s="22" customFormat="1" ht="15" spans="1:1024 1025:16342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7"/>
      <c r="M16" s="47"/>
      <c r="N16" s="47"/>
      <c r="O16" s="48"/>
      <c r="P16" s="48"/>
      <c r="Q16" s="51"/>
      <c r="R16" s="69"/>
      <c r="S16" s="45"/>
      <c r="T16" s="46"/>
    </row>
    <row r="17" s="22" customFormat="1" ht="15" spans="1:1024 1025:16341">
      <c r="A17" s="41">
        <f t="shared" ref="A17:A20" si="21">ROW()-3</f>
        <v>14</v>
      </c>
      <c r="B17" s="41" t="s">
        <v>56</v>
      </c>
      <c r="C17" s="41" t="s">
        <v>32</v>
      </c>
      <c r="D17" s="41" t="s">
        <v>22</v>
      </c>
      <c r="E17" s="41" t="s">
        <v>23</v>
      </c>
      <c r="F17" s="58" t="s">
        <v>55</v>
      </c>
      <c r="G17" s="41" t="s">
        <v>25</v>
      </c>
      <c r="H17" s="41" t="s">
        <v>26</v>
      </c>
      <c r="I17" s="58">
        <f>12*24*2</f>
        <v>576</v>
      </c>
      <c r="J17" s="58">
        <f t="shared" ref="J17:J20" si="22">12*24*1</f>
        <v>288</v>
      </c>
      <c r="K17" s="41"/>
      <c r="L17" s="42">
        <f t="shared" ref="L17:N17" si="23">L3</f>
        <v>0</v>
      </c>
      <c r="M17" s="42">
        <f t="shared" si="23"/>
        <v>0</v>
      </c>
      <c r="N17" s="42">
        <f t="shared" si="23"/>
        <v>0</v>
      </c>
      <c r="O17" s="43">
        <f t="shared" ref="O17:O20" si="24">I17*L17+J17*M17+K17*N17</f>
        <v>0</v>
      </c>
      <c r="P17" s="43">
        <f>套件!G6</f>
        <v>0</v>
      </c>
      <c r="Q17" s="50"/>
      <c r="R17" s="69">
        <f t="shared" si="15"/>
        <v>0</v>
      </c>
      <c r="S17" s="45">
        <f>R17+3.5</f>
        <v>3.5</v>
      </c>
      <c r="T17" s="58" t="s">
        <v>54</v>
      </c>
      <c r="U17" s="22" t="s">
        <v>57</v>
      </c>
    </row>
    <row r="18" s="22" customFormat="1" ht="15" spans="1:1024 1025:16341">
      <c r="A18" s="41">
        <f t="shared" si="21"/>
        <v>15</v>
      </c>
      <c r="B18" s="41" t="s">
        <v>56</v>
      </c>
      <c r="C18" s="41" t="s">
        <v>34</v>
      </c>
      <c r="D18" s="41" t="s">
        <v>22</v>
      </c>
      <c r="E18" s="41" t="s">
        <v>23</v>
      </c>
      <c r="F18" s="58" t="s">
        <v>55</v>
      </c>
      <c r="G18" s="41" t="s">
        <v>25</v>
      </c>
      <c r="H18" s="41" t="s">
        <v>30</v>
      </c>
      <c r="I18" s="58">
        <f>12*24*2</f>
        <v>576</v>
      </c>
      <c r="J18" s="58">
        <f t="shared" si="22"/>
        <v>288</v>
      </c>
      <c r="K18" s="58">
        <f>12*24*1</f>
        <v>288</v>
      </c>
      <c r="L18" s="42">
        <f t="shared" ref="L18:N18" si="25">L3</f>
        <v>0</v>
      </c>
      <c r="M18" s="42">
        <f t="shared" si="25"/>
        <v>0</v>
      </c>
      <c r="N18" s="42">
        <f t="shared" si="25"/>
        <v>0</v>
      </c>
      <c r="O18" s="43">
        <f t="shared" si="24"/>
        <v>0</v>
      </c>
      <c r="P18" s="43">
        <f>P17</f>
        <v>0</v>
      </c>
      <c r="Q18" s="50"/>
      <c r="R18" s="69">
        <f t="shared" si="15"/>
        <v>0</v>
      </c>
      <c r="S18" s="45">
        <f>R18+3.5</f>
        <v>3.5</v>
      </c>
      <c r="T18" s="58" t="s">
        <v>54</v>
      </c>
      <c r="U18" s="22" t="s">
        <v>57</v>
      </c>
    </row>
    <row r="19" s="22" customFormat="1" ht="15" spans="1:1024 1025:16341">
      <c r="A19" s="41">
        <f t="shared" si="21"/>
        <v>16</v>
      </c>
      <c r="B19" s="41" t="s">
        <v>56</v>
      </c>
      <c r="C19" s="41" t="s">
        <v>46</v>
      </c>
      <c r="D19" s="41" t="s">
        <v>22</v>
      </c>
      <c r="E19" s="41" t="s">
        <v>23</v>
      </c>
      <c r="F19" s="58" t="s">
        <v>55</v>
      </c>
      <c r="G19" s="41" t="s">
        <v>25</v>
      </c>
      <c r="H19" s="41" t="s">
        <v>30</v>
      </c>
      <c r="I19" s="58">
        <f>12*24*1</f>
        <v>288</v>
      </c>
      <c r="J19" s="58">
        <f t="shared" si="22"/>
        <v>288</v>
      </c>
      <c r="K19" s="58"/>
      <c r="L19" s="42">
        <f>L3</f>
        <v>0</v>
      </c>
      <c r="M19" s="42">
        <f t="shared" ref="L19:N19" si="26">M3</f>
        <v>0</v>
      </c>
      <c r="N19" s="42">
        <f t="shared" si="26"/>
        <v>0</v>
      </c>
      <c r="O19" s="43">
        <f t="shared" si="24"/>
        <v>0</v>
      </c>
      <c r="P19" s="43">
        <f>P18</f>
        <v>0</v>
      </c>
      <c r="Q19" s="50"/>
      <c r="R19" s="69">
        <f t="shared" si="15"/>
        <v>0</v>
      </c>
      <c r="S19" s="45">
        <f>R19+3.5</f>
        <v>3.5</v>
      </c>
      <c r="T19" s="58" t="s">
        <v>54</v>
      </c>
      <c r="U19" s="22" t="s">
        <v>57</v>
      </c>
      <c r="V19" s="52"/>
    </row>
    <row r="20" s="22" customFormat="1" ht="15" spans="1:1024 1025:16341">
      <c r="A20" s="41">
        <f t="shared" si="21"/>
        <v>17</v>
      </c>
      <c r="B20" s="41" t="s">
        <v>56</v>
      </c>
      <c r="C20" s="41" t="s">
        <v>39</v>
      </c>
      <c r="D20" s="41" t="s">
        <v>22</v>
      </c>
      <c r="E20" s="41" t="s">
        <v>23</v>
      </c>
      <c r="F20" s="58" t="s">
        <v>55</v>
      </c>
      <c r="G20" s="41" t="s">
        <v>25</v>
      </c>
      <c r="H20" s="41" t="s">
        <v>30</v>
      </c>
      <c r="I20" s="58">
        <f>12*24*1</f>
        <v>288</v>
      </c>
      <c r="J20" s="58">
        <f t="shared" si="22"/>
        <v>288</v>
      </c>
      <c r="K20" s="58">
        <f>12*24*1</f>
        <v>288</v>
      </c>
      <c r="L20" s="42">
        <f t="shared" ref="L20:N20" si="27">L4</f>
        <v>0</v>
      </c>
      <c r="M20" s="42">
        <f t="shared" si="27"/>
        <v>0</v>
      </c>
      <c r="N20" s="42">
        <f t="shared" si="27"/>
        <v>0</v>
      </c>
      <c r="O20" s="43">
        <f t="shared" si="24"/>
        <v>0</v>
      </c>
      <c r="P20" s="43">
        <f>P19</f>
        <v>0</v>
      </c>
      <c r="Q20" s="50"/>
      <c r="R20" s="69">
        <f t="shared" si="15"/>
        <v>0</v>
      </c>
      <c r="S20" s="45">
        <f>R20+3.5</f>
        <v>3.5</v>
      </c>
      <c r="T20" s="58" t="s">
        <v>54</v>
      </c>
      <c r="U20" s="22" t="s">
        <v>57</v>
      </c>
    </row>
    <row r="21" s="22" customFormat="1" ht="15" spans="1:1024 1025:16341">
      <c r="A21" s="46"/>
      <c r="B21" s="46"/>
      <c r="C21" s="46"/>
      <c r="D21" s="46"/>
      <c r="E21" s="46"/>
      <c r="F21" s="70"/>
      <c r="G21" s="46"/>
      <c r="H21" s="46"/>
      <c r="I21" s="70"/>
      <c r="J21" s="70"/>
      <c r="K21" s="70"/>
      <c r="L21" s="47"/>
      <c r="M21" s="47"/>
      <c r="N21" s="47"/>
      <c r="O21" s="48"/>
      <c r="P21" s="48"/>
      <c r="Q21" s="51"/>
      <c r="R21" s="69"/>
      <c r="S21" s="45"/>
      <c r="T21" s="70"/>
      <c r="U21" s="19"/>
      <c r="V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19"/>
      <c r="OB21" s="19"/>
      <c r="OC21" s="19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19"/>
      <c r="OP21" s="19"/>
      <c r="OQ21" s="19"/>
      <c r="OR21" s="19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  <c r="UR21" s="19"/>
      <c r="US21" s="19"/>
      <c r="UT21" s="19"/>
      <c r="UU21" s="19"/>
      <c r="UV21" s="19"/>
      <c r="UW21" s="19"/>
      <c r="UX21" s="19"/>
      <c r="UY21" s="19"/>
      <c r="UZ21" s="19"/>
      <c r="VA21" s="19"/>
      <c r="VB21" s="19"/>
      <c r="VC21" s="19"/>
      <c r="VD21" s="19"/>
      <c r="VE21" s="19"/>
      <c r="VF21" s="19"/>
      <c r="VG21" s="19"/>
      <c r="VH21" s="19"/>
      <c r="VI21" s="19"/>
      <c r="VJ21" s="19"/>
      <c r="VK21" s="19"/>
      <c r="VL21" s="19"/>
      <c r="VM21" s="19"/>
      <c r="VN21" s="19"/>
      <c r="VO21" s="19"/>
      <c r="VP21" s="19"/>
      <c r="VQ21" s="19"/>
      <c r="VR21" s="19"/>
      <c r="VS21" s="19"/>
      <c r="VT21" s="19"/>
      <c r="VU21" s="19"/>
      <c r="VV21" s="19"/>
      <c r="VW21" s="19"/>
      <c r="VX21" s="19"/>
      <c r="VY21" s="19"/>
      <c r="VZ21" s="19"/>
      <c r="WA21" s="19"/>
      <c r="WB21" s="19"/>
      <c r="WC21" s="19"/>
      <c r="WD21" s="19"/>
      <c r="WE21" s="19"/>
      <c r="WF21" s="19"/>
      <c r="WG21" s="19"/>
      <c r="WH21" s="19"/>
      <c r="WI21" s="19"/>
      <c r="WJ21" s="19"/>
      <c r="WK21" s="19"/>
      <c r="WL21" s="19"/>
      <c r="WM21" s="19"/>
      <c r="WN21" s="19"/>
      <c r="WO21" s="19"/>
      <c r="WP21" s="19"/>
      <c r="WQ21" s="19"/>
      <c r="WR21" s="19"/>
      <c r="WS21" s="19"/>
      <c r="WT21" s="19"/>
      <c r="WU21" s="19"/>
      <c r="WV21" s="19"/>
      <c r="WW21" s="19"/>
      <c r="WX21" s="19"/>
      <c r="WY21" s="19"/>
      <c r="WZ21" s="19"/>
      <c r="XA21" s="19"/>
      <c r="XB21" s="19"/>
      <c r="XC21" s="19"/>
      <c r="XD21" s="19"/>
      <c r="XE21" s="19"/>
      <c r="XF21" s="19"/>
      <c r="XG21" s="19"/>
      <c r="XH21" s="19"/>
      <c r="XI21" s="19"/>
      <c r="XJ21" s="19"/>
      <c r="XK21" s="19"/>
      <c r="XL21" s="19"/>
      <c r="XM21" s="19"/>
      <c r="XN21" s="19"/>
      <c r="XO21" s="19"/>
      <c r="XP21" s="19"/>
      <c r="XQ21" s="19"/>
      <c r="XR21" s="19"/>
      <c r="XS21" s="19"/>
      <c r="XT21" s="19"/>
      <c r="XU21" s="19"/>
      <c r="XV21" s="19"/>
      <c r="XW21" s="19"/>
      <c r="XX21" s="19"/>
      <c r="XY21" s="19"/>
      <c r="XZ21" s="19"/>
      <c r="YA21" s="19"/>
      <c r="YB21" s="19"/>
      <c r="YC21" s="19"/>
      <c r="YD21" s="19"/>
      <c r="YE21" s="19"/>
      <c r="YF21" s="19"/>
      <c r="YG21" s="19"/>
      <c r="YH21" s="19"/>
      <c r="YI21" s="19"/>
      <c r="YJ21" s="19"/>
      <c r="YK21" s="19"/>
      <c r="YL21" s="19"/>
      <c r="YM21" s="19"/>
      <c r="YN21" s="19"/>
      <c r="YO21" s="19"/>
      <c r="YP21" s="19"/>
      <c r="YQ21" s="19"/>
      <c r="YR21" s="19"/>
      <c r="YS21" s="19"/>
      <c r="YT21" s="19"/>
      <c r="YU21" s="19"/>
      <c r="YV21" s="19"/>
      <c r="YW21" s="19"/>
      <c r="YX21" s="19"/>
      <c r="YY21" s="19"/>
      <c r="YZ21" s="19"/>
      <c r="ZA21" s="19"/>
      <c r="ZB21" s="19"/>
      <c r="ZC21" s="19"/>
      <c r="ZD21" s="19"/>
      <c r="ZE21" s="19"/>
      <c r="ZF21" s="19"/>
      <c r="ZG21" s="19"/>
      <c r="ZH21" s="19"/>
      <c r="ZI21" s="19"/>
      <c r="ZJ21" s="19"/>
      <c r="ZK21" s="19"/>
      <c r="ZL21" s="19"/>
      <c r="ZM21" s="19"/>
      <c r="ZN21" s="19"/>
      <c r="ZO21" s="19"/>
      <c r="ZP21" s="19"/>
      <c r="ZQ21" s="19"/>
      <c r="ZR21" s="19"/>
      <c r="ZS21" s="19"/>
      <c r="ZT21" s="19"/>
      <c r="ZU21" s="19"/>
      <c r="ZV21" s="19"/>
      <c r="ZW21" s="19"/>
      <c r="ZX21" s="19"/>
      <c r="ZY21" s="19"/>
      <c r="ZZ21" s="19"/>
      <c r="AAA21" s="19"/>
      <c r="AAB21" s="19"/>
      <c r="AAC21" s="19"/>
      <c r="AAD21" s="19"/>
      <c r="AAE21" s="19"/>
      <c r="AAF21" s="19"/>
      <c r="AAG21" s="19"/>
      <c r="AAH21" s="19"/>
      <c r="AAI21" s="19"/>
      <c r="AAJ21" s="19"/>
      <c r="AAK21" s="19"/>
      <c r="AAL21" s="19"/>
      <c r="AAM21" s="19"/>
      <c r="AAN21" s="19"/>
      <c r="AAO21" s="19"/>
      <c r="AAP21" s="19"/>
      <c r="AAQ21" s="19"/>
      <c r="AAR21" s="19"/>
      <c r="AAS21" s="19"/>
      <c r="AAT21" s="19"/>
      <c r="AAU21" s="19"/>
      <c r="AAV21" s="19"/>
      <c r="AAW21" s="19"/>
      <c r="AAX21" s="19"/>
      <c r="AAY21" s="19"/>
      <c r="AAZ21" s="19"/>
      <c r="ABA21" s="19"/>
      <c r="ABB21" s="19"/>
      <c r="ABC21" s="19"/>
      <c r="ABD21" s="19"/>
      <c r="ABE21" s="19"/>
      <c r="ABF21" s="19"/>
      <c r="ABG21" s="19"/>
      <c r="ABH21" s="19"/>
      <c r="ABI21" s="19"/>
      <c r="ABJ21" s="19"/>
      <c r="ABK21" s="19"/>
      <c r="ABL21" s="19"/>
      <c r="ABM21" s="19"/>
      <c r="ABN21" s="19"/>
      <c r="ABO21" s="19"/>
      <c r="ABP21" s="19"/>
      <c r="ABQ21" s="19"/>
      <c r="ABR21" s="19"/>
      <c r="ABS21" s="19"/>
      <c r="ABT21" s="19"/>
      <c r="ABU21" s="19"/>
      <c r="ABV21" s="19"/>
      <c r="ABW21" s="19"/>
      <c r="ABX21" s="19"/>
      <c r="ABY21" s="19"/>
      <c r="ABZ21" s="19"/>
      <c r="ACA21" s="19"/>
      <c r="ACB21" s="19"/>
      <c r="ACC21" s="19"/>
      <c r="ACD21" s="19"/>
      <c r="ACE21" s="19"/>
      <c r="ACF21" s="19"/>
      <c r="ACG21" s="19"/>
      <c r="ACH21" s="19"/>
      <c r="ACI21" s="19"/>
      <c r="ACJ21" s="19"/>
      <c r="ACK21" s="19"/>
      <c r="ACL21" s="19"/>
      <c r="ACM21" s="19"/>
      <c r="ACN21" s="19"/>
      <c r="ACO21" s="19"/>
      <c r="ACP21" s="19"/>
      <c r="ACQ21" s="19"/>
      <c r="ACR21" s="19"/>
      <c r="ACS21" s="19"/>
      <c r="ACT21" s="19"/>
      <c r="ACU21" s="19"/>
      <c r="ACV21" s="19"/>
      <c r="ACW21" s="19"/>
      <c r="ACX21" s="19"/>
      <c r="ACY21" s="19"/>
      <c r="ACZ21" s="19"/>
      <c r="ADA21" s="19"/>
      <c r="ADB21" s="19"/>
      <c r="ADC21" s="19"/>
      <c r="ADD21" s="19"/>
      <c r="ADE21" s="19"/>
      <c r="ADF21" s="19"/>
      <c r="ADG21" s="19"/>
      <c r="ADH21" s="19"/>
      <c r="ADI21" s="19"/>
      <c r="ADJ21" s="19"/>
      <c r="ADK21" s="19"/>
      <c r="ADL21" s="19"/>
      <c r="ADM21" s="19"/>
      <c r="ADN21" s="19"/>
      <c r="ADO21" s="19"/>
      <c r="ADP21" s="19"/>
      <c r="ADQ21" s="19"/>
      <c r="ADR21" s="19"/>
      <c r="ADS21" s="19"/>
      <c r="ADT21" s="19"/>
      <c r="ADU21" s="19"/>
      <c r="ADV21" s="19"/>
      <c r="ADW21" s="19"/>
      <c r="ADX21" s="19"/>
      <c r="ADY21" s="19"/>
      <c r="ADZ21" s="19"/>
      <c r="AEA21" s="19"/>
      <c r="AEB21" s="19"/>
      <c r="AEC21" s="19"/>
      <c r="AED21" s="19"/>
      <c r="AEE21" s="19"/>
      <c r="AEF21" s="19"/>
      <c r="AEG21" s="19"/>
      <c r="AEH21" s="19"/>
      <c r="AEI21" s="19"/>
      <c r="AEJ21" s="19"/>
      <c r="AEK21" s="19"/>
      <c r="AEL21" s="19"/>
      <c r="AEM21" s="19"/>
      <c r="AEN21" s="19"/>
      <c r="AEO21" s="19"/>
      <c r="AEP21" s="19"/>
      <c r="AEQ21" s="19"/>
      <c r="AER21" s="19"/>
      <c r="AES21" s="19"/>
      <c r="AET21" s="19"/>
      <c r="AEU21" s="19"/>
      <c r="AEV21" s="19"/>
      <c r="AEW21" s="19"/>
      <c r="AEX21" s="19"/>
      <c r="AEY21" s="19"/>
      <c r="AEZ21" s="19"/>
      <c r="AFA21" s="19"/>
      <c r="AFB21" s="19"/>
      <c r="AFC21" s="19"/>
      <c r="AFD21" s="19"/>
      <c r="AFE21" s="19"/>
      <c r="AFF21" s="19"/>
      <c r="AFG21" s="19"/>
      <c r="AFH21" s="19"/>
      <c r="AFI21" s="19"/>
      <c r="AFJ21" s="19"/>
      <c r="AFK21" s="19"/>
      <c r="AFL21" s="19"/>
      <c r="AFM21" s="19"/>
      <c r="AFN21" s="19"/>
      <c r="AFO21" s="19"/>
      <c r="AFP21" s="19"/>
      <c r="AFQ21" s="19"/>
      <c r="AFR21" s="19"/>
      <c r="AFS21" s="19"/>
      <c r="AFT21" s="19"/>
      <c r="AFU21" s="19"/>
      <c r="AFV21" s="19"/>
      <c r="AFW21" s="19"/>
      <c r="AFX21" s="19"/>
      <c r="AFY21" s="19"/>
      <c r="AFZ21" s="19"/>
      <c r="AGA21" s="19"/>
      <c r="AGB21" s="19"/>
      <c r="AGC21" s="19"/>
      <c r="AGD21" s="19"/>
      <c r="AGE21" s="19"/>
      <c r="AGF21" s="19"/>
      <c r="AGG21" s="19"/>
      <c r="AGH21" s="19"/>
      <c r="AGI21" s="19"/>
      <c r="AGJ21" s="19"/>
      <c r="AGK21" s="19"/>
      <c r="AGL21" s="19"/>
      <c r="AGM21" s="19"/>
      <c r="AGN21" s="19"/>
      <c r="AGO21" s="19"/>
      <c r="AGP21" s="19"/>
      <c r="AGQ21" s="19"/>
      <c r="AGR21" s="19"/>
      <c r="AGS21" s="19"/>
      <c r="AGT21" s="19"/>
      <c r="AGU21" s="19"/>
      <c r="AGV21" s="19"/>
      <c r="AGW21" s="19"/>
      <c r="AGX21" s="19"/>
      <c r="AGY21" s="19"/>
      <c r="AGZ21" s="19"/>
      <c r="AHA21" s="19"/>
      <c r="AHB21" s="19"/>
      <c r="AHC21" s="19"/>
      <c r="AHD21" s="19"/>
      <c r="AHE21" s="19"/>
      <c r="AHF21" s="19"/>
      <c r="AHG21" s="19"/>
      <c r="AHH21" s="19"/>
      <c r="AHI21" s="19"/>
      <c r="AHJ21" s="19"/>
      <c r="AHK21" s="19"/>
      <c r="AHL21" s="19"/>
      <c r="AHM21" s="19"/>
      <c r="AHN21" s="19"/>
      <c r="AHO21" s="19"/>
      <c r="AHP21" s="19"/>
      <c r="AHQ21" s="19"/>
      <c r="AHR21" s="19"/>
      <c r="AHS21" s="19"/>
      <c r="AHT21" s="19"/>
      <c r="AHU21" s="19"/>
      <c r="AHV21" s="19"/>
      <c r="AHW21" s="19"/>
      <c r="AHX21" s="19"/>
      <c r="AHY21" s="19"/>
      <c r="AHZ21" s="19"/>
      <c r="AIA21" s="19"/>
      <c r="AIB21" s="19"/>
      <c r="AIC21" s="19"/>
      <c r="AID21" s="19"/>
      <c r="AIE21" s="19"/>
      <c r="AIF21" s="19"/>
      <c r="AIG21" s="19"/>
      <c r="AIH21" s="19"/>
      <c r="AII21" s="19"/>
      <c r="AIJ21" s="19"/>
      <c r="AIK21" s="19"/>
      <c r="AIL21" s="19"/>
      <c r="AIM21" s="19"/>
      <c r="AIN21" s="19"/>
      <c r="AIO21" s="19"/>
      <c r="AIP21" s="19"/>
      <c r="AIQ21" s="19"/>
      <c r="AIR21" s="19"/>
      <c r="AIS21" s="19"/>
      <c r="AIT21" s="19"/>
      <c r="AIU21" s="19"/>
      <c r="AIV21" s="19"/>
      <c r="AIW21" s="19"/>
      <c r="AIX21" s="19"/>
      <c r="AIY21" s="19"/>
      <c r="AIZ21" s="19"/>
      <c r="AJA21" s="19"/>
      <c r="AJB21" s="19"/>
      <c r="AJC21" s="19"/>
      <c r="AJD21" s="19"/>
      <c r="AJE21" s="19"/>
      <c r="AJF21" s="19"/>
      <c r="AJG21" s="19"/>
      <c r="AJH21" s="19"/>
      <c r="AJI21" s="19"/>
      <c r="AJJ21" s="19"/>
      <c r="AJK21" s="19"/>
      <c r="AJL21" s="19"/>
      <c r="AJM21" s="19"/>
      <c r="AJN21" s="19"/>
      <c r="AJO21" s="19"/>
      <c r="AJP21" s="19"/>
      <c r="AJQ21" s="19"/>
      <c r="AJR21" s="19"/>
      <c r="AJS21" s="19"/>
      <c r="AJT21" s="19"/>
      <c r="AJU21" s="19"/>
      <c r="AJV21" s="19"/>
      <c r="AJW21" s="19"/>
      <c r="AJX21" s="19"/>
      <c r="AJY21" s="19"/>
      <c r="AJZ21" s="19"/>
      <c r="AKA21" s="19"/>
      <c r="AKB21" s="19"/>
      <c r="AKC21" s="19"/>
      <c r="AKD21" s="19"/>
      <c r="AKE21" s="19"/>
      <c r="AKF21" s="19"/>
      <c r="AKG21" s="19"/>
      <c r="AKH21" s="19"/>
      <c r="AKI21" s="19"/>
      <c r="AKJ21" s="19"/>
      <c r="AKK21" s="19"/>
      <c r="AKL21" s="19"/>
      <c r="AKM21" s="19"/>
      <c r="AKN21" s="19"/>
      <c r="AKO21" s="19"/>
      <c r="AKP21" s="19"/>
      <c r="AKQ21" s="19"/>
      <c r="AKR21" s="19"/>
      <c r="AKS21" s="19"/>
      <c r="AKT21" s="19"/>
      <c r="AKU21" s="19"/>
      <c r="AKV21" s="19"/>
      <c r="AKW21" s="19"/>
      <c r="AKX21" s="19"/>
      <c r="AKY21" s="19"/>
      <c r="AKZ21" s="19"/>
      <c r="ALA21" s="19"/>
      <c r="ALB21" s="19"/>
      <c r="ALC21" s="19"/>
      <c r="ALD21" s="19"/>
      <c r="ALE21" s="19"/>
      <c r="ALF21" s="19"/>
      <c r="ALG21" s="19"/>
      <c r="ALH21" s="19"/>
      <c r="ALI21" s="19"/>
      <c r="ALJ21" s="19"/>
      <c r="ALK21" s="19"/>
      <c r="ALL21" s="19"/>
      <c r="ALM21" s="19"/>
      <c r="ALN21" s="19"/>
      <c r="ALO21" s="19"/>
      <c r="ALP21" s="19"/>
      <c r="ALQ21" s="19"/>
      <c r="ALR21" s="19"/>
      <c r="ALS21" s="19"/>
      <c r="ALT21" s="19"/>
      <c r="ALU21" s="19"/>
      <c r="ALV21" s="19"/>
      <c r="ALW21" s="19"/>
      <c r="ALX21" s="19"/>
      <c r="ALY21" s="19"/>
      <c r="ALZ21" s="19"/>
      <c r="AMA21" s="19"/>
      <c r="AMB21" s="19"/>
      <c r="AMC21" s="19"/>
      <c r="AMD21" s="19"/>
      <c r="AME21" s="19"/>
      <c r="AMF21" s="19"/>
      <c r="AMG21" s="19"/>
      <c r="AMH21" s="19"/>
      <c r="AMI21" s="19"/>
      <c r="AMJ21" s="19"/>
      <c r="AMK21" s="19"/>
      <c r="AML21" s="19"/>
      <c r="AMM21" s="19"/>
      <c r="AMN21" s="19"/>
      <c r="AMO21" s="19"/>
      <c r="AMP21" s="19"/>
      <c r="AMQ21" s="19"/>
      <c r="AMR21" s="19"/>
      <c r="AMS21" s="19"/>
      <c r="AMT21" s="19"/>
      <c r="AMU21" s="19"/>
      <c r="AMV21" s="19"/>
      <c r="AMW21" s="19"/>
      <c r="AMX21" s="19"/>
      <c r="AMY21" s="19"/>
      <c r="AMZ21" s="19"/>
      <c r="ANA21" s="19"/>
      <c r="ANB21" s="19"/>
      <c r="ANC21" s="19"/>
      <c r="AND21" s="19"/>
      <c r="ANE21" s="19"/>
      <c r="ANF21" s="19"/>
      <c r="ANG21" s="19"/>
      <c r="ANH21" s="19"/>
      <c r="ANI21" s="19"/>
      <c r="ANJ21" s="19"/>
      <c r="ANK21" s="19"/>
      <c r="ANL21" s="19"/>
      <c r="ANM21" s="19"/>
      <c r="ANN21" s="19"/>
      <c r="ANO21" s="19"/>
      <c r="ANP21" s="19"/>
      <c r="ANQ21" s="19"/>
      <c r="ANR21" s="19"/>
      <c r="ANS21" s="19"/>
      <c r="ANT21" s="19"/>
      <c r="ANU21" s="19"/>
      <c r="ANV21" s="19"/>
      <c r="ANW21" s="19"/>
      <c r="ANX21" s="19"/>
      <c r="ANY21" s="19"/>
      <c r="ANZ21" s="19"/>
      <c r="AOA21" s="19"/>
      <c r="AOB21" s="19"/>
      <c r="AOC21" s="19"/>
      <c r="AOD21" s="19"/>
      <c r="AOE21" s="19"/>
      <c r="AOF21" s="19"/>
      <c r="AOG21" s="19"/>
      <c r="AOH21" s="19"/>
      <c r="AOI21" s="19"/>
      <c r="AOJ21" s="19"/>
      <c r="AOK21" s="19"/>
      <c r="AOL21" s="19"/>
      <c r="AOM21" s="19"/>
      <c r="AON21" s="19"/>
      <c r="AOO21" s="19"/>
      <c r="AOP21" s="19"/>
      <c r="AOQ21" s="19"/>
      <c r="AOR21" s="19"/>
      <c r="AOS21" s="19"/>
      <c r="AOT21" s="19"/>
      <c r="AOU21" s="19"/>
      <c r="AOV21" s="19"/>
      <c r="AOW21" s="19"/>
      <c r="AOX21" s="19"/>
      <c r="AOY21" s="19"/>
      <c r="AOZ21" s="19"/>
      <c r="APA21" s="19"/>
      <c r="APB21" s="19"/>
      <c r="APC21" s="19"/>
      <c r="APD21" s="19"/>
      <c r="APE21" s="19"/>
      <c r="APF21" s="19"/>
      <c r="APG21" s="19"/>
      <c r="APH21" s="19"/>
      <c r="API21" s="19"/>
      <c r="APJ21" s="19"/>
      <c r="APK21" s="19"/>
      <c r="APL21" s="19"/>
      <c r="APM21" s="19"/>
      <c r="APN21" s="19"/>
      <c r="APO21" s="19"/>
      <c r="APP21" s="19"/>
      <c r="APQ21" s="19"/>
      <c r="APR21" s="19"/>
      <c r="APS21" s="19"/>
      <c r="APT21" s="19"/>
      <c r="APU21" s="19"/>
      <c r="APV21" s="19"/>
      <c r="APW21" s="19"/>
      <c r="APX21" s="19"/>
      <c r="APY21" s="19"/>
      <c r="APZ21" s="19"/>
      <c r="AQA21" s="19"/>
      <c r="AQB21" s="19"/>
      <c r="AQC21" s="19"/>
      <c r="AQD21" s="19"/>
      <c r="AQE21" s="19"/>
      <c r="AQF21" s="19"/>
      <c r="AQG21" s="19"/>
      <c r="AQH21" s="19"/>
      <c r="AQI21" s="19"/>
      <c r="AQJ21" s="19"/>
      <c r="AQK21" s="19"/>
      <c r="AQL21" s="19"/>
      <c r="AQM21" s="19"/>
      <c r="AQN21" s="19"/>
      <c r="AQO21" s="19"/>
      <c r="AQP21" s="19"/>
      <c r="AQQ21" s="19"/>
      <c r="AQR21" s="19"/>
      <c r="AQS21" s="19"/>
      <c r="AQT21" s="19"/>
      <c r="AQU21" s="19"/>
      <c r="AQV21" s="19"/>
      <c r="AQW21" s="19"/>
      <c r="AQX21" s="19"/>
      <c r="AQY21" s="19"/>
      <c r="AQZ21" s="19"/>
      <c r="ARA21" s="19"/>
      <c r="ARB21" s="19"/>
      <c r="ARC21" s="19"/>
      <c r="ARD21" s="19"/>
      <c r="ARE21" s="19"/>
      <c r="ARF21" s="19"/>
      <c r="ARG21" s="19"/>
      <c r="ARH21" s="19"/>
      <c r="ARI21" s="19"/>
      <c r="ARJ21" s="19"/>
      <c r="ARK21" s="19"/>
      <c r="ARL21" s="19"/>
      <c r="ARM21" s="19"/>
      <c r="ARN21" s="19"/>
      <c r="ARO21" s="19"/>
      <c r="ARP21" s="19"/>
      <c r="ARQ21" s="19"/>
      <c r="ARR21" s="19"/>
      <c r="ARS21" s="19"/>
      <c r="ART21" s="19"/>
      <c r="ARU21" s="19"/>
      <c r="ARV21" s="19"/>
      <c r="ARW21" s="19"/>
      <c r="ARX21" s="19"/>
      <c r="ARY21" s="19"/>
      <c r="ARZ21" s="19"/>
      <c r="ASA21" s="19"/>
      <c r="ASB21" s="19"/>
      <c r="ASC21" s="19"/>
      <c r="ASD21" s="19"/>
      <c r="ASE21" s="19"/>
      <c r="ASF21" s="19"/>
      <c r="ASG21" s="19"/>
      <c r="ASH21" s="19"/>
      <c r="ASI21" s="19"/>
      <c r="ASJ21" s="19"/>
      <c r="ASK21" s="19"/>
      <c r="ASL21" s="19"/>
      <c r="ASM21" s="19"/>
      <c r="ASN21" s="19"/>
      <c r="ASO21" s="19"/>
      <c r="ASP21" s="19"/>
      <c r="ASQ21" s="19"/>
      <c r="ASR21" s="19"/>
      <c r="ASS21" s="19"/>
      <c r="AST21" s="19"/>
      <c r="ASU21" s="19"/>
      <c r="ASV21" s="19"/>
      <c r="ASW21" s="19"/>
      <c r="ASX21" s="19"/>
      <c r="ASY21" s="19"/>
      <c r="ASZ21" s="19"/>
      <c r="ATA21" s="19"/>
      <c r="ATB21" s="19"/>
      <c r="ATC21" s="19"/>
      <c r="ATD21" s="19"/>
      <c r="ATE21" s="19"/>
      <c r="ATF21" s="19"/>
      <c r="ATG21" s="19"/>
      <c r="ATH21" s="19"/>
      <c r="ATI21" s="19"/>
      <c r="ATJ21" s="19"/>
      <c r="ATK21" s="19"/>
      <c r="ATL21" s="19"/>
      <c r="ATM21" s="19"/>
      <c r="ATN21" s="19"/>
      <c r="ATO21" s="19"/>
      <c r="ATP21" s="19"/>
      <c r="ATQ21" s="19"/>
      <c r="ATR21" s="19"/>
      <c r="ATS21" s="19"/>
      <c r="ATT21" s="19"/>
      <c r="ATU21" s="19"/>
      <c r="ATV21" s="19"/>
      <c r="ATW21" s="19"/>
      <c r="ATX21" s="19"/>
      <c r="ATY21" s="19"/>
      <c r="ATZ21" s="19"/>
      <c r="AUA21" s="19"/>
      <c r="AUB21" s="19"/>
      <c r="AUC21" s="19"/>
      <c r="AUD21" s="19"/>
      <c r="AUE21" s="19"/>
      <c r="AUF21" s="19"/>
      <c r="AUG21" s="19"/>
      <c r="AUH21" s="19"/>
      <c r="AUI21" s="19"/>
      <c r="AUJ21" s="19"/>
      <c r="AUK21" s="19"/>
      <c r="AUL21" s="19"/>
      <c r="AUM21" s="19"/>
      <c r="AUN21" s="19"/>
      <c r="AUO21" s="19"/>
      <c r="AUP21" s="19"/>
      <c r="AUQ21" s="19"/>
      <c r="AUR21" s="19"/>
      <c r="AUS21" s="19"/>
      <c r="AUT21" s="19"/>
      <c r="AUU21" s="19"/>
      <c r="AUV21" s="19"/>
      <c r="AUW21" s="19"/>
      <c r="AUX21" s="19"/>
      <c r="AUY21" s="19"/>
      <c r="AUZ21" s="19"/>
      <c r="AVA21" s="19"/>
      <c r="AVB21" s="19"/>
      <c r="AVC21" s="19"/>
      <c r="AVD21" s="19"/>
      <c r="AVE21" s="19"/>
      <c r="AVF21" s="19"/>
      <c r="AVG21" s="19"/>
      <c r="AVH21" s="19"/>
      <c r="AVI21" s="19"/>
      <c r="AVJ21" s="19"/>
      <c r="AVK21" s="19"/>
      <c r="AVL21" s="19"/>
      <c r="AVM21" s="19"/>
      <c r="AVN21" s="19"/>
      <c r="AVO21" s="19"/>
      <c r="AVP21" s="19"/>
      <c r="AVQ21" s="19"/>
      <c r="AVR21" s="19"/>
      <c r="AVS21" s="19"/>
      <c r="AVT21" s="19"/>
      <c r="AVU21" s="19"/>
      <c r="AVV21" s="19"/>
      <c r="AVW21" s="19"/>
      <c r="AVX21" s="19"/>
      <c r="AVY21" s="19"/>
      <c r="AVZ21" s="19"/>
      <c r="AWA21" s="19"/>
      <c r="AWB21" s="19"/>
      <c r="AWC21" s="19"/>
      <c r="AWD21" s="19"/>
      <c r="AWE21" s="19"/>
      <c r="AWF21" s="19"/>
      <c r="AWG21" s="19"/>
      <c r="AWH21" s="19"/>
      <c r="AWI21" s="19"/>
      <c r="AWJ21" s="19"/>
      <c r="AWK21" s="19"/>
      <c r="AWL21" s="19"/>
      <c r="AWM21" s="19"/>
      <c r="AWN21" s="19"/>
      <c r="AWO21" s="19"/>
      <c r="AWP21" s="19"/>
      <c r="AWQ21" s="19"/>
      <c r="AWR21" s="19"/>
      <c r="AWS21" s="19"/>
      <c r="AWT21" s="19"/>
      <c r="AWU21" s="19"/>
      <c r="AWV21" s="19"/>
      <c r="AWW21" s="19"/>
      <c r="AWX21" s="19"/>
      <c r="AWY21" s="19"/>
      <c r="AWZ21" s="19"/>
      <c r="AXA21" s="19"/>
      <c r="AXB21" s="19"/>
      <c r="AXC21" s="19"/>
      <c r="AXD21" s="19"/>
      <c r="AXE21" s="19"/>
      <c r="AXF21" s="19"/>
      <c r="AXG21" s="19"/>
      <c r="AXH21" s="19"/>
      <c r="AXI21" s="19"/>
      <c r="AXJ21" s="19"/>
      <c r="AXK21" s="19"/>
      <c r="AXL21" s="19"/>
      <c r="AXM21" s="19"/>
      <c r="AXN21" s="19"/>
      <c r="AXO21" s="19"/>
      <c r="AXP21" s="19"/>
      <c r="AXQ21" s="19"/>
      <c r="AXR21" s="19"/>
      <c r="AXS21" s="19"/>
      <c r="AXT21" s="19"/>
      <c r="AXU21" s="19"/>
      <c r="AXV21" s="19"/>
      <c r="AXW21" s="19"/>
      <c r="AXX21" s="19"/>
      <c r="AXY21" s="19"/>
      <c r="AXZ21" s="19"/>
      <c r="AYA21" s="19"/>
      <c r="AYB21" s="19"/>
      <c r="AYC21" s="19"/>
      <c r="AYD21" s="19"/>
      <c r="AYE21" s="19"/>
      <c r="AYF21" s="19"/>
      <c r="AYG21" s="19"/>
      <c r="AYH21" s="19"/>
      <c r="AYI21" s="19"/>
      <c r="AYJ21" s="19"/>
      <c r="AYK21" s="19"/>
      <c r="AYL21" s="19"/>
      <c r="AYM21" s="19"/>
      <c r="AYN21" s="19"/>
      <c r="AYO21" s="19"/>
      <c r="AYP21" s="19"/>
      <c r="AYQ21" s="19"/>
      <c r="AYR21" s="19"/>
      <c r="AYS21" s="19"/>
      <c r="AYT21" s="19"/>
      <c r="AYU21" s="19"/>
      <c r="AYV21" s="19"/>
      <c r="AYW21" s="19"/>
      <c r="AYX21" s="19"/>
      <c r="AYY21" s="19"/>
      <c r="AYZ21" s="19"/>
      <c r="AZA21" s="19"/>
      <c r="AZB21" s="19"/>
      <c r="AZC21" s="19"/>
      <c r="AZD21" s="19"/>
      <c r="AZE21" s="19"/>
      <c r="AZF21" s="19"/>
      <c r="AZG21" s="19"/>
      <c r="AZH21" s="19"/>
      <c r="AZI21" s="19"/>
      <c r="AZJ21" s="19"/>
      <c r="AZK21" s="19"/>
      <c r="AZL21" s="19"/>
      <c r="AZM21" s="19"/>
      <c r="AZN21" s="19"/>
      <c r="AZO21" s="19"/>
      <c r="AZP21" s="19"/>
      <c r="AZQ21" s="19"/>
      <c r="AZR21" s="19"/>
      <c r="AZS21" s="19"/>
      <c r="AZT21" s="19"/>
      <c r="AZU21" s="19"/>
      <c r="AZV21" s="19"/>
      <c r="AZW21" s="19"/>
      <c r="AZX21" s="19"/>
      <c r="AZY21" s="19"/>
      <c r="AZZ21" s="19"/>
      <c r="BAA21" s="19"/>
      <c r="BAB21" s="19"/>
      <c r="BAC21" s="19"/>
      <c r="BAD21" s="19"/>
      <c r="BAE21" s="19"/>
      <c r="BAF21" s="19"/>
      <c r="BAG21" s="19"/>
      <c r="BAH21" s="19"/>
      <c r="BAI21" s="19"/>
      <c r="BAJ21" s="19"/>
      <c r="BAK21" s="19"/>
      <c r="BAL21" s="19"/>
      <c r="BAM21" s="19"/>
      <c r="BAN21" s="19"/>
      <c r="BAO21" s="19"/>
      <c r="BAP21" s="19"/>
      <c r="BAQ21" s="19"/>
      <c r="BAR21" s="19"/>
      <c r="BAS21" s="19"/>
      <c r="BAT21" s="19"/>
      <c r="BAU21" s="19"/>
      <c r="BAV21" s="19"/>
      <c r="BAW21" s="19"/>
      <c r="BAX21" s="19"/>
      <c r="BAY21" s="19"/>
      <c r="BAZ21" s="19"/>
      <c r="BBA21" s="19"/>
      <c r="BBB21" s="19"/>
      <c r="BBC21" s="19"/>
      <c r="BBD21" s="19"/>
      <c r="BBE21" s="19"/>
      <c r="BBF21" s="19"/>
      <c r="BBG21" s="19"/>
      <c r="BBH21" s="19"/>
      <c r="BBI21" s="19"/>
      <c r="BBJ21" s="19"/>
      <c r="BBK21" s="19"/>
      <c r="BBL21" s="19"/>
      <c r="BBM21" s="19"/>
      <c r="BBN21" s="19"/>
      <c r="BBO21" s="19"/>
      <c r="BBP21" s="19"/>
      <c r="BBQ21" s="19"/>
      <c r="BBR21" s="19"/>
      <c r="BBS21" s="19"/>
      <c r="BBT21" s="19"/>
      <c r="BBU21" s="19"/>
      <c r="BBV21" s="19"/>
      <c r="BBW21" s="19"/>
      <c r="BBX21" s="19"/>
      <c r="BBY21" s="19"/>
      <c r="BBZ21" s="19"/>
      <c r="BCA21" s="19"/>
      <c r="BCB21" s="19"/>
      <c r="BCC21" s="19"/>
      <c r="BCD21" s="19"/>
      <c r="BCE21" s="19"/>
      <c r="BCF21" s="19"/>
      <c r="BCG21" s="19"/>
      <c r="BCH21" s="19"/>
      <c r="BCI21" s="19"/>
      <c r="BCJ21" s="19"/>
      <c r="BCK21" s="19"/>
      <c r="BCL21" s="19"/>
      <c r="BCM21" s="19"/>
      <c r="BCN21" s="19"/>
      <c r="BCO21" s="19"/>
      <c r="BCP21" s="19"/>
      <c r="BCQ21" s="19"/>
      <c r="BCR21" s="19"/>
      <c r="BCS21" s="19"/>
      <c r="BCT21" s="19"/>
      <c r="BCU21" s="19"/>
      <c r="BCV21" s="19"/>
      <c r="BCW21" s="19"/>
      <c r="BCX21" s="19"/>
      <c r="BCY21" s="19"/>
      <c r="BCZ21" s="19"/>
      <c r="BDA21" s="19"/>
      <c r="BDB21" s="19"/>
      <c r="BDC21" s="19"/>
      <c r="BDD21" s="19"/>
      <c r="BDE21" s="19"/>
      <c r="BDF21" s="19"/>
      <c r="BDG21" s="19"/>
      <c r="BDH21" s="19"/>
      <c r="BDI21" s="19"/>
      <c r="BDJ21" s="19"/>
      <c r="BDK21" s="19"/>
      <c r="BDL21" s="19"/>
      <c r="BDM21" s="19"/>
      <c r="BDN21" s="19"/>
      <c r="BDO21" s="19"/>
      <c r="BDP21" s="19"/>
      <c r="BDQ21" s="19"/>
      <c r="BDR21" s="19"/>
      <c r="BDS21" s="19"/>
      <c r="BDT21" s="19"/>
      <c r="BDU21" s="19"/>
      <c r="BDV21" s="19"/>
      <c r="BDW21" s="19"/>
      <c r="BDX21" s="19"/>
      <c r="BDY21" s="19"/>
      <c r="BDZ21" s="19"/>
      <c r="BEA21" s="19"/>
      <c r="BEB21" s="19"/>
      <c r="BEC21" s="19"/>
      <c r="BED21" s="19"/>
      <c r="BEE21" s="19"/>
      <c r="BEF21" s="19"/>
      <c r="BEG21" s="19"/>
      <c r="BEH21" s="19"/>
      <c r="BEI21" s="19"/>
      <c r="BEJ21" s="19"/>
      <c r="BEK21" s="19"/>
      <c r="BEL21" s="19"/>
      <c r="BEM21" s="19"/>
      <c r="BEN21" s="19"/>
      <c r="BEO21" s="19"/>
      <c r="BEP21" s="19"/>
      <c r="BEQ21" s="19"/>
      <c r="BER21" s="19"/>
      <c r="BES21" s="19"/>
      <c r="BET21" s="19"/>
      <c r="BEU21" s="19"/>
      <c r="BEV21" s="19"/>
      <c r="BEW21" s="19"/>
      <c r="BEX21" s="19"/>
      <c r="BEY21" s="19"/>
      <c r="BEZ21" s="19"/>
      <c r="BFA21" s="19"/>
      <c r="BFB21" s="19"/>
      <c r="BFC21" s="19"/>
      <c r="BFD21" s="19"/>
      <c r="BFE21" s="19"/>
      <c r="BFF21" s="19"/>
      <c r="BFG21" s="19"/>
      <c r="BFH21" s="19"/>
      <c r="BFI21" s="19"/>
      <c r="BFJ21" s="19"/>
      <c r="BFK21" s="19"/>
      <c r="BFL21" s="19"/>
      <c r="BFM21" s="19"/>
      <c r="BFN21" s="19"/>
      <c r="BFO21" s="19"/>
      <c r="BFP21" s="19"/>
      <c r="BFQ21" s="19"/>
      <c r="BFR21" s="19"/>
      <c r="BFS21" s="19"/>
      <c r="BFT21" s="19"/>
      <c r="BFU21" s="19"/>
      <c r="BFV21" s="19"/>
      <c r="BFW21" s="19"/>
      <c r="BFX21" s="19"/>
      <c r="BFY21" s="19"/>
      <c r="BFZ21" s="19"/>
      <c r="BGA21" s="19"/>
      <c r="BGB21" s="19"/>
      <c r="BGC21" s="19"/>
      <c r="BGD21" s="19"/>
      <c r="BGE21" s="19"/>
      <c r="BGF21" s="19"/>
      <c r="BGG21" s="19"/>
      <c r="BGH21" s="19"/>
      <c r="BGI21" s="19"/>
      <c r="BGJ21" s="19"/>
      <c r="BGK21" s="19"/>
      <c r="BGL21" s="19"/>
      <c r="BGM21" s="19"/>
      <c r="BGN21" s="19"/>
      <c r="BGO21" s="19"/>
      <c r="BGP21" s="19"/>
      <c r="BGQ21" s="19"/>
      <c r="BGR21" s="19"/>
      <c r="BGS21" s="19"/>
      <c r="BGT21" s="19"/>
      <c r="BGU21" s="19"/>
      <c r="BGV21" s="19"/>
      <c r="BGW21" s="19"/>
      <c r="BGX21" s="19"/>
      <c r="BGY21" s="19"/>
      <c r="BGZ21" s="19"/>
      <c r="BHA21" s="19"/>
      <c r="BHB21" s="19"/>
      <c r="BHC21" s="19"/>
      <c r="BHD21" s="19"/>
      <c r="BHE21" s="19"/>
      <c r="BHF21" s="19"/>
      <c r="BHG21" s="19"/>
      <c r="BHH21" s="19"/>
      <c r="BHI21" s="19"/>
      <c r="BHJ21" s="19"/>
      <c r="BHK21" s="19"/>
      <c r="BHL21" s="19"/>
      <c r="BHM21" s="19"/>
      <c r="BHN21" s="19"/>
      <c r="BHO21" s="19"/>
      <c r="BHP21" s="19"/>
      <c r="BHQ21" s="19"/>
      <c r="BHR21" s="19"/>
      <c r="BHS21" s="19"/>
      <c r="BHT21" s="19"/>
      <c r="BHU21" s="19"/>
      <c r="BHV21" s="19"/>
      <c r="BHW21" s="19"/>
      <c r="BHX21" s="19"/>
      <c r="BHY21" s="19"/>
      <c r="BHZ21" s="19"/>
      <c r="BIA21" s="19"/>
      <c r="BIB21" s="19"/>
      <c r="BIC21" s="19"/>
      <c r="BID21" s="19"/>
      <c r="BIE21" s="19"/>
      <c r="BIF21" s="19"/>
      <c r="BIG21" s="19"/>
      <c r="BIH21" s="19"/>
      <c r="BII21" s="19"/>
      <c r="BIJ21" s="19"/>
      <c r="BIK21" s="19"/>
      <c r="BIL21" s="19"/>
      <c r="BIM21" s="19"/>
      <c r="BIN21" s="19"/>
      <c r="BIO21" s="19"/>
      <c r="BIP21" s="19"/>
      <c r="BIQ21" s="19"/>
      <c r="BIR21" s="19"/>
      <c r="BIS21" s="19"/>
      <c r="BIT21" s="19"/>
      <c r="BIU21" s="19"/>
      <c r="BIV21" s="19"/>
      <c r="BIW21" s="19"/>
      <c r="BIX21" s="19"/>
      <c r="BIY21" s="19"/>
      <c r="BIZ21" s="19"/>
      <c r="BJA21" s="19"/>
      <c r="BJB21" s="19"/>
      <c r="BJC21" s="19"/>
      <c r="BJD21" s="19"/>
      <c r="BJE21" s="19"/>
      <c r="BJF21" s="19"/>
      <c r="BJG21" s="19"/>
      <c r="BJH21" s="19"/>
      <c r="BJI21" s="19"/>
      <c r="BJJ21" s="19"/>
      <c r="BJK21" s="19"/>
      <c r="BJL21" s="19"/>
      <c r="BJM21" s="19"/>
      <c r="BJN21" s="19"/>
      <c r="BJO21" s="19"/>
      <c r="BJP21" s="19"/>
      <c r="BJQ21" s="19"/>
      <c r="BJR21" s="19"/>
      <c r="BJS21" s="19"/>
      <c r="BJT21" s="19"/>
      <c r="BJU21" s="19"/>
      <c r="BJV21" s="19"/>
      <c r="BJW21" s="19"/>
      <c r="BJX21" s="19"/>
      <c r="BJY21" s="19"/>
      <c r="BJZ21" s="19"/>
      <c r="BKA21" s="19"/>
      <c r="BKB21" s="19"/>
      <c r="BKC21" s="19"/>
      <c r="BKD21" s="19"/>
      <c r="BKE21" s="19"/>
      <c r="BKF21" s="19"/>
      <c r="BKG21" s="19"/>
      <c r="BKH21" s="19"/>
      <c r="BKI21" s="19"/>
      <c r="BKJ21" s="19"/>
      <c r="BKK21" s="19"/>
      <c r="BKL21" s="19"/>
      <c r="BKM21" s="19"/>
      <c r="BKN21" s="19"/>
      <c r="BKO21" s="19"/>
      <c r="BKP21" s="19"/>
      <c r="BKQ21" s="19"/>
      <c r="BKR21" s="19"/>
      <c r="BKS21" s="19"/>
      <c r="BKT21" s="19"/>
      <c r="BKU21" s="19"/>
      <c r="BKV21" s="19"/>
      <c r="BKW21" s="19"/>
      <c r="BKX21" s="19"/>
      <c r="BKY21" s="19"/>
      <c r="BKZ21" s="19"/>
      <c r="BLA21" s="19"/>
      <c r="BLB21" s="19"/>
      <c r="BLC21" s="19"/>
      <c r="BLD21" s="19"/>
      <c r="BLE21" s="19"/>
      <c r="BLF21" s="19"/>
      <c r="BLG21" s="19"/>
      <c r="BLH21" s="19"/>
      <c r="BLI21" s="19"/>
      <c r="BLJ21" s="19"/>
      <c r="BLK21" s="19"/>
      <c r="BLL21" s="19"/>
      <c r="BLM21" s="19"/>
      <c r="BLN21" s="19"/>
      <c r="BLO21" s="19"/>
      <c r="BLP21" s="19"/>
      <c r="BLQ21" s="19"/>
      <c r="BLR21" s="19"/>
      <c r="BLS21" s="19"/>
      <c r="BLT21" s="19"/>
      <c r="BLU21" s="19"/>
      <c r="BLV21" s="19"/>
      <c r="BLW21" s="19"/>
      <c r="BLX21" s="19"/>
      <c r="BLY21" s="19"/>
      <c r="BLZ21" s="19"/>
      <c r="BMA21" s="19"/>
      <c r="BMB21" s="19"/>
      <c r="BMC21" s="19"/>
      <c r="BMD21" s="19"/>
      <c r="BME21" s="19"/>
      <c r="BMF21" s="19"/>
      <c r="BMG21" s="19"/>
      <c r="BMH21" s="19"/>
      <c r="BMI21" s="19"/>
      <c r="BMJ21" s="19"/>
      <c r="BMK21" s="19"/>
      <c r="BML21" s="19"/>
      <c r="BMM21" s="19"/>
      <c r="BMN21" s="19"/>
      <c r="BMO21" s="19"/>
      <c r="BMP21" s="19"/>
      <c r="BMQ21" s="19"/>
      <c r="BMR21" s="19"/>
      <c r="BMS21" s="19"/>
      <c r="BMT21" s="19"/>
      <c r="BMU21" s="19"/>
      <c r="BMV21" s="19"/>
      <c r="BMW21" s="19"/>
      <c r="BMX21" s="19"/>
      <c r="BMY21" s="19"/>
      <c r="BMZ21" s="19"/>
      <c r="BNA21" s="19"/>
      <c r="BNB21" s="19"/>
      <c r="BNC21" s="19"/>
      <c r="BND21" s="19"/>
      <c r="BNE21" s="19"/>
      <c r="BNF21" s="19"/>
      <c r="BNG21" s="19"/>
      <c r="BNH21" s="19"/>
      <c r="BNI21" s="19"/>
      <c r="BNJ21" s="19"/>
      <c r="BNK21" s="19"/>
      <c r="BNL21" s="19"/>
      <c r="BNM21" s="19"/>
      <c r="BNN21" s="19"/>
      <c r="BNO21" s="19"/>
      <c r="BNP21" s="19"/>
      <c r="BNQ21" s="19"/>
      <c r="BNR21" s="19"/>
      <c r="BNS21" s="19"/>
      <c r="BNT21" s="19"/>
      <c r="BNU21" s="19"/>
      <c r="BNV21" s="19"/>
      <c r="BNW21" s="19"/>
      <c r="BNX21" s="19"/>
      <c r="BNY21" s="19"/>
      <c r="BNZ21" s="19"/>
      <c r="BOA21" s="19"/>
      <c r="BOB21" s="19"/>
      <c r="BOC21" s="19"/>
      <c r="BOD21" s="19"/>
      <c r="BOE21" s="19"/>
      <c r="BOF21" s="19"/>
      <c r="BOG21" s="19"/>
      <c r="BOH21" s="19"/>
      <c r="BOI21" s="19"/>
      <c r="BOJ21" s="19"/>
      <c r="BOK21" s="19"/>
      <c r="BOL21" s="19"/>
      <c r="BOM21" s="19"/>
      <c r="BON21" s="19"/>
      <c r="BOO21" s="19"/>
      <c r="BOP21" s="19"/>
      <c r="BOQ21" s="19"/>
      <c r="BOR21" s="19"/>
      <c r="BOS21" s="19"/>
      <c r="BOT21" s="19"/>
      <c r="BOU21" s="19"/>
      <c r="BOV21" s="19"/>
      <c r="BOW21" s="19"/>
      <c r="BOX21" s="19"/>
      <c r="BOY21" s="19"/>
      <c r="BOZ21" s="19"/>
      <c r="BPA21" s="19"/>
      <c r="BPB21" s="19"/>
      <c r="BPC21" s="19"/>
      <c r="BPD21" s="19"/>
      <c r="BPE21" s="19"/>
      <c r="BPF21" s="19"/>
      <c r="BPG21" s="19"/>
      <c r="BPH21" s="19"/>
      <c r="BPI21" s="19"/>
      <c r="BPJ21" s="19"/>
      <c r="BPK21" s="19"/>
      <c r="BPL21" s="19"/>
      <c r="BPM21" s="19"/>
      <c r="BPN21" s="19"/>
      <c r="BPO21" s="19"/>
      <c r="BPP21" s="19"/>
      <c r="BPQ21" s="19"/>
      <c r="BPR21" s="19"/>
      <c r="BPS21" s="19"/>
      <c r="BPT21" s="19"/>
      <c r="BPU21" s="19"/>
      <c r="BPV21" s="19"/>
      <c r="BPW21" s="19"/>
      <c r="BPX21" s="19"/>
      <c r="BPY21" s="19"/>
      <c r="BPZ21" s="19"/>
      <c r="BQA21" s="19"/>
      <c r="BQB21" s="19"/>
      <c r="BQC21" s="19"/>
      <c r="BQD21" s="19"/>
      <c r="BQE21" s="19"/>
      <c r="BQF21" s="19"/>
      <c r="BQG21" s="19"/>
      <c r="BQH21" s="19"/>
      <c r="BQI21" s="19"/>
      <c r="BQJ21" s="19"/>
      <c r="BQK21" s="19"/>
      <c r="BQL21" s="19"/>
      <c r="BQM21" s="19"/>
      <c r="BQN21" s="19"/>
      <c r="BQO21" s="19"/>
      <c r="BQP21" s="19"/>
      <c r="BQQ21" s="19"/>
      <c r="BQR21" s="19"/>
      <c r="BQS21" s="19"/>
      <c r="BQT21" s="19"/>
      <c r="BQU21" s="19"/>
      <c r="BQV21" s="19"/>
      <c r="BQW21" s="19"/>
      <c r="BQX21" s="19"/>
      <c r="BQY21" s="19"/>
      <c r="BQZ21" s="19"/>
      <c r="BRA21" s="19"/>
      <c r="BRB21" s="19"/>
      <c r="BRC21" s="19"/>
      <c r="BRD21" s="19"/>
      <c r="BRE21" s="19"/>
      <c r="BRF21" s="19"/>
      <c r="BRG21" s="19"/>
      <c r="BRH21" s="19"/>
      <c r="BRI21" s="19"/>
      <c r="BRJ21" s="19"/>
      <c r="BRK21" s="19"/>
      <c r="BRL21" s="19"/>
      <c r="BRM21" s="19"/>
      <c r="BRN21" s="19"/>
      <c r="BRO21" s="19"/>
      <c r="BRP21" s="19"/>
      <c r="BRQ21" s="19"/>
      <c r="BRR21" s="19"/>
      <c r="BRS21" s="19"/>
      <c r="BRT21" s="19"/>
      <c r="BRU21" s="19"/>
      <c r="BRV21" s="19"/>
      <c r="BRW21" s="19"/>
      <c r="BRX21" s="19"/>
      <c r="BRY21" s="19"/>
      <c r="BRZ21" s="19"/>
      <c r="BSA21" s="19"/>
      <c r="BSB21" s="19"/>
      <c r="BSC21" s="19"/>
      <c r="BSD21" s="19"/>
      <c r="BSE21" s="19"/>
      <c r="BSF21" s="19"/>
      <c r="BSG21" s="19"/>
      <c r="BSH21" s="19"/>
      <c r="BSI21" s="19"/>
      <c r="BSJ21" s="19"/>
      <c r="BSK21" s="19"/>
      <c r="BSL21" s="19"/>
      <c r="BSM21" s="19"/>
      <c r="BSN21" s="19"/>
      <c r="BSO21" s="19"/>
      <c r="BSP21" s="19"/>
      <c r="BSQ21" s="19"/>
      <c r="BSR21" s="19"/>
      <c r="BSS21" s="19"/>
      <c r="BST21" s="19"/>
      <c r="BSU21" s="19"/>
      <c r="BSV21" s="19"/>
      <c r="BSW21" s="19"/>
      <c r="BSX21" s="19"/>
      <c r="BSY21" s="19"/>
      <c r="BSZ21" s="19"/>
      <c r="BTA21" s="19"/>
      <c r="BTB21" s="19"/>
      <c r="BTC21" s="19"/>
      <c r="BTD21" s="19"/>
      <c r="BTE21" s="19"/>
      <c r="BTF21" s="19"/>
      <c r="BTG21" s="19"/>
      <c r="BTH21" s="19"/>
      <c r="BTI21" s="19"/>
      <c r="BTJ21" s="19"/>
      <c r="BTK21" s="19"/>
      <c r="BTL21" s="19"/>
      <c r="BTM21" s="19"/>
      <c r="BTN21" s="19"/>
      <c r="BTO21" s="19"/>
      <c r="BTP21" s="19"/>
      <c r="BTQ21" s="19"/>
      <c r="BTR21" s="19"/>
      <c r="BTS21" s="19"/>
      <c r="BTT21" s="19"/>
      <c r="BTU21" s="19"/>
      <c r="BTV21" s="19"/>
      <c r="BTW21" s="19"/>
      <c r="BTX21" s="19"/>
      <c r="BTY21" s="19"/>
      <c r="BTZ21" s="19"/>
      <c r="BUA21" s="19"/>
      <c r="BUB21" s="19"/>
      <c r="BUC21" s="19"/>
      <c r="BUD21" s="19"/>
      <c r="BUE21" s="19"/>
      <c r="BUF21" s="19"/>
      <c r="BUG21" s="19"/>
      <c r="BUH21" s="19"/>
      <c r="BUI21" s="19"/>
      <c r="BUJ21" s="19"/>
      <c r="BUK21" s="19"/>
      <c r="BUL21" s="19"/>
      <c r="BUM21" s="19"/>
      <c r="BUN21" s="19"/>
      <c r="BUO21" s="19"/>
      <c r="BUP21" s="19"/>
      <c r="BUQ21" s="19"/>
      <c r="BUR21" s="19"/>
      <c r="BUS21" s="19"/>
      <c r="BUT21" s="19"/>
      <c r="BUU21" s="19"/>
      <c r="BUV21" s="19"/>
      <c r="BUW21" s="19"/>
      <c r="BUX21" s="19"/>
      <c r="BUY21" s="19"/>
      <c r="BUZ21" s="19"/>
      <c r="BVA21" s="19"/>
      <c r="BVB21" s="19"/>
      <c r="BVC21" s="19"/>
      <c r="BVD21" s="19"/>
      <c r="BVE21" s="19"/>
      <c r="BVF21" s="19"/>
      <c r="BVG21" s="19"/>
      <c r="BVH21" s="19"/>
      <c r="BVI21" s="19"/>
      <c r="BVJ21" s="19"/>
      <c r="BVK21" s="19"/>
      <c r="BVL21" s="19"/>
      <c r="BVM21" s="19"/>
      <c r="BVN21" s="19"/>
      <c r="BVO21" s="19"/>
      <c r="BVP21" s="19"/>
      <c r="BVQ21" s="19"/>
      <c r="BVR21" s="19"/>
      <c r="BVS21" s="19"/>
      <c r="BVT21" s="19"/>
      <c r="BVU21" s="19"/>
      <c r="BVV21" s="19"/>
      <c r="BVW21" s="19"/>
      <c r="BVX21" s="19"/>
      <c r="BVY21" s="19"/>
      <c r="BVZ21" s="19"/>
      <c r="BWA21" s="19"/>
      <c r="BWB21" s="19"/>
      <c r="BWC21" s="19"/>
      <c r="BWD21" s="19"/>
      <c r="BWE21" s="19"/>
      <c r="BWF21" s="19"/>
      <c r="BWG21" s="19"/>
      <c r="BWH21" s="19"/>
      <c r="BWI21" s="19"/>
      <c r="BWJ21" s="19"/>
      <c r="BWK21" s="19"/>
      <c r="BWL21" s="19"/>
      <c r="BWM21" s="19"/>
      <c r="BWN21" s="19"/>
      <c r="BWO21" s="19"/>
      <c r="BWP21" s="19"/>
      <c r="BWQ21" s="19"/>
      <c r="BWR21" s="19"/>
      <c r="BWS21" s="19"/>
      <c r="BWT21" s="19"/>
      <c r="BWU21" s="19"/>
      <c r="BWV21" s="19"/>
      <c r="BWW21" s="19"/>
      <c r="BWX21" s="19"/>
      <c r="BWY21" s="19"/>
      <c r="BWZ21" s="19"/>
      <c r="BXA21" s="19"/>
      <c r="BXB21" s="19"/>
      <c r="BXC21" s="19"/>
      <c r="BXD21" s="19"/>
      <c r="BXE21" s="19"/>
      <c r="BXF21" s="19"/>
      <c r="BXG21" s="19"/>
      <c r="BXH21" s="19"/>
      <c r="BXI21" s="19"/>
      <c r="BXJ21" s="19"/>
      <c r="BXK21" s="19"/>
      <c r="BXL21" s="19"/>
      <c r="BXM21" s="19"/>
      <c r="BXN21" s="19"/>
      <c r="BXO21" s="19"/>
      <c r="BXP21" s="19"/>
      <c r="BXQ21" s="19"/>
      <c r="BXR21" s="19"/>
      <c r="BXS21" s="19"/>
      <c r="BXT21" s="19"/>
      <c r="BXU21" s="19"/>
      <c r="BXV21" s="19"/>
      <c r="BXW21" s="19"/>
      <c r="BXX21" s="19"/>
      <c r="BXY21" s="19"/>
      <c r="BXZ21" s="19"/>
      <c r="BYA21" s="19"/>
      <c r="BYB21" s="19"/>
      <c r="BYC21" s="19"/>
      <c r="BYD21" s="19"/>
      <c r="BYE21" s="19"/>
      <c r="BYF21" s="19"/>
      <c r="BYG21" s="19"/>
      <c r="BYH21" s="19"/>
      <c r="BYI21" s="19"/>
      <c r="BYJ21" s="19"/>
      <c r="BYK21" s="19"/>
      <c r="BYL21" s="19"/>
      <c r="BYM21" s="19"/>
      <c r="BYN21" s="19"/>
      <c r="BYO21" s="19"/>
      <c r="BYP21" s="19"/>
      <c r="BYQ21" s="19"/>
      <c r="BYR21" s="19"/>
      <c r="BYS21" s="19"/>
      <c r="BYT21" s="19"/>
      <c r="BYU21" s="19"/>
      <c r="BYV21" s="19"/>
      <c r="BYW21" s="19"/>
      <c r="BYX21" s="19"/>
      <c r="BYY21" s="19"/>
      <c r="BYZ21" s="19"/>
      <c r="BZA21" s="19"/>
      <c r="BZB21" s="19"/>
      <c r="BZC21" s="19"/>
      <c r="BZD21" s="19"/>
      <c r="BZE21" s="19"/>
      <c r="BZF21" s="19"/>
      <c r="BZG21" s="19"/>
      <c r="BZH21" s="19"/>
      <c r="BZI21" s="19"/>
      <c r="BZJ21" s="19"/>
      <c r="BZK21" s="19"/>
      <c r="BZL21" s="19"/>
      <c r="BZM21" s="19"/>
      <c r="BZN21" s="19"/>
      <c r="BZO21" s="19"/>
      <c r="BZP21" s="19"/>
      <c r="BZQ21" s="19"/>
      <c r="BZR21" s="19"/>
      <c r="BZS21" s="19"/>
      <c r="BZT21" s="19"/>
      <c r="BZU21" s="19"/>
      <c r="BZV21" s="19"/>
      <c r="BZW21" s="19"/>
      <c r="BZX21" s="19"/>
      <c r="BZY21" s="19"/>
      <c r="BZZ21" s="19"/>
      <c r="CAA21" s="19"/>
      <c r="CAB21" s="19"/>
      <c r="CAC21" s="19"/>
      <c r="CAD21" s="19"/>
      <c r="CAE21" s="19"/>
      <c r="CAF21" s="19"/>
      <c r="CAG21" s="19"/>
      <c r="CAH21" s="19"/>
      <c r="CAI21" s="19"/>
      <c r="CAJ21" s="19"/>
      <c r="CAK21" s="19"/>
      <c r="CAL21" s="19"/>
      <c r="CAM21" s="19"/>
      <c r="CAN21" s="19"/>
      <c r="CAO21" s="19"/>
      <c r="CAP21" s="19"/>
      <c r="CAQ21" s="19"/>
      <c r="CAR21" s="19"/>
      <c r="CAS21" s="19"/>
      <c r="CAT21" s="19"/>
      <c r="CAU21" s="19"/>
      <c r="CAV21" s="19"/>
      <c r="CAW21" s="19"/>
      <c r="CAX21" s="19"/>
      <c r="CAY21" s="19"/>
      <c r="CAZ21" s="19"/>
      <c r="CBA21" s="19"/>
      <c r="CBB21" s="19"/>
      <c r="CBC21" s="19"/>
      <c r="CBD21" s="19"/>
      <c r="CBE21" s="19"/>
      <c r="CBF21" s="19"/>
      <c r="CBG21" s="19"/>
      <c r="CBH21" s="19"/>
      <c r="CBI21" s="19"/>
      <c r="CBJ21" s="19"/>
      <c r="CBK21" s="19"/>
      <c r="CBL21" s="19"/>
      <c r="CBM21" s="19"/>
      <c r="CBN21" s="19"/>
      <c r="CBO21" s="19"/>
      <c r="CBP21" s="19"/>
      <c r="CBQ21" s="19"/>
      <c r="CBR21" s="19"/>
      <c r="CBS21" s="19"/>
      <c r="CBT21" s="19"/>
      <c r="CBU21" s="19"/>
      <c r="CBV21" s="19"/>
      <c r="CBW21" s="19"/>
      <c r="CBX21" s="19"/>
      <c r="CBY21" s="19"/>
      <c r="CBZ21" s="19"/>
      <c r="CCA21" s="19"/>
      <c r="CCB21" s="19"/>
      <c r="CCC21" s="19"/>
      <c r="CCD21" s="19"/>
      <c r="CCE21" s="19"/>
      <c r="CCF21" s="19"/>
      <c r="CCG21" s="19"/>
      <c r="CCH21" s="19"/>
      <c r="CCI21" s="19"/>
      <c r="CCJ21" s="19"/>
      <c r="CCK21" s="19"/>
      <c r="CCL21" s="19"/>
      <c r="CCM21" s="19"/>
      <c r="CCN21" s="19"/>
      <c r="CCO21" s="19"/>
      <c r="CCP21" s="19"/>
      <c r="CCQ21" s="19"/>
      <c r="CCR21" s="19"/>
      <c r="CCS21" s="19"/>
      <c r="CCT21" s="19"/>
      <c r="CCU21" s="19"/>
      <c r="CCV21" s="19"/>
      <c r="CCW21" s="19"/>
      <c r="CCX21" s="19"/>
      <c r="CCY21" s="19"/>
      <c r="CCZ21" s="19"/>
      <c r="CDA21" s="19"/>
      <c r="CDB21" s="19"/>
      <c r="CDC21" s="19"/>
      <c r="CDD21" s="19"/>
      <c r="CDE21" s="19"/>
      <c r="CDF21" s="19"/>
      <c r="CDG21" s="19"/>
      <c r="CDH21" s="19"/>
      <c r="CDI21" s="19"/>
      <c r="CDJ21" s="19"/>
      <c r="CDK21" s="19"/>
      <c r="CDL21" s="19"/>
      <c r="CDM21" s="19"/>
      <c r="CDN21" s="19"/>
      <c r="CDO21" s="19"/>
      <c r="CDP21" s="19"/>
      <c r="CDQ21" s="19"/>
      <c r="CDR21" s="19"/>
      <c r="CDS21" s="19"/>
      <c r="CDT21" s="19"/>
      <c r="CDU21" s="19"/>
      <c r="CDV21" s="19"/>
      <c r="CDW21" s="19"/>
      <c r="CDX21" s="19"/>
      <c r="CDY21" s="19"/>
      <c r="CDZ21" s="19"/>
      <c r="CEA21" s="19"/>
      <c r="CEB21" s="19"/>
      <c r="CEC21" s="19"/>
      <c r="CED21" s="19"/>
      <c r="CEE21" s="19"/>
      <c r="CEF21" s="19"/>
      <c r="CEG21" s="19"/>
      <c r="CEH21" s="19"/>
      <c r="CEI21" s="19"/>
      <c r="CEJ21" s="19"/>
      <c r="CEK21" s="19"/>
      <c r="CEL21" s="19"/>
      <c r="CEM21" s="19"/>
      <c r="CEN21" s="19"/>
      <c r="CEO21" s="19"/>
      <c r="CEP21" s="19"/>
      <c r="CEQ21" s="19"/>
      <c r="CER21" s="19"/>
      <c r="CES21" s="19"/>
      <c r="CET21" s="19"/>
      <c r="CEU21" s="19"/>
      <c r="CEV21" s="19"/>
      <c r="CEW21" s="19"/>
      <c r="CEX21" s="19"/>
      <c r="CEY21" s="19"/>
      <c r="CEZ21" s="19"/>
      <c r="CFA21" s="19"/>
      <c r="CFB21" s="19"/>
      <c r="CFC21" s="19"/>
      <c r="CFD21" s="19"/>
      <c r="CFE21" s="19"/>
      <c r="CFF21" s="19"/>
      <c r="CFG21" s="19"/>
      <c r="CFH21" s="19"/>
      <c r="CFI21" s="19"/>
      <c r="CFJ21" s="19"/>
      <c r="CFK21" s="19"/>
      <c r="CFL21" s="19"/>
      <c r="CFM21" s="19"/>
      <c r="CFN21" s="19"/>
      <c r="CFO21" s="19"/>
      <c r="CFP21" s="19"/>
      <c r="CFQ21" s="19"/>
      <c r="CFR21" s="19"/>
      <c r="CFS21" s="19"/>
      <c r="CFT21" s="19"/>
      <c r="CFU21" s="19"/>
      <c r="CFV21" s="19"/>
      <c r="CFW21" s="19"/>
      <c r="CFX21" s="19"/>
      <c r="CFY21" s="19"/>
      <c r="CFZ21" s="19"/>
      <c r="CGA21" s="19"/>
      <c r="CGB21" s="19"/>
      <c r="CGC21" s="19"/>
      <c r="CGD21" s="19"/>
      <c r="CGE21" s="19"/>
      <c r="CGF21" s="19"/>
      <c r="CGG21" s="19"/>
      <c r="CGH21" s="19"/>
      <c r="CGI21" s="19"/>
      <c r="CGJ21" s="19"/>
      <c r="CGK21" s="19"/>
      <c r="CGL21" s="19"/>
      <c r="CGM21" s="19"/>
      <c r="CGN21" s="19"/>
      <c r="CGO21" s="19"/>
      <c r="CGP21" s="19"/>
      <c r="CGQ21" s="19"/>
      <c r="CGR21" s="19"/>
      <c r="CGS21" s="19"/>
      <c r="CGT21" s="19"/>
      <c r="CGU21" s="19"/>
      <c r="CGV21" s="19"/>
      <c r="CGW21" s="19"/>
      <c r="CGX21" s="19"/>
      <c r="CGY21" s="19"/>
      <c r="CGZ21" s="19"/>
      <c r="CHA21" s="19"/>
      <c r="CHB21" s="19"/>
      <c r="CHC21" s="19"/>
      <c r="CHD21" s="19"/>
      <c r="CHE21" s="19"/>
      <c r="CHF21" s="19"/>
      <c r="CHG21" s="19"/>
      <c r="CHH21" s="19"/>
      <c r="CHI21" s="19"/>
      <c r="CHJ21" s="19"/>
      <c r="CHK21" s="19"/>
      <c r="CHL21" s="19"/>
      <c r="CHM21" s="19"/>
      <c r="CHN21" s="19"/>
      <c r="CHO21" s="19"/>
      <c r="CHP21" s="19"/>
      <c r="CHQ21" s="19"/>
      <c r="CHR21" s="19"/>
      <c r="CHS21" s="19"/>
      <c r="CHT21" s="19"/>
      <c r="CHU21" s="19"/>
      <c r="CHV21" s="19"/>
      <c r="CHW21" s="19"/>
      <c r="CHX21" s="19"/>
      <c r="CHY21" s="19"/>
      <c r="CHZ21" s="19"/>
      <c r="CIA21" s="19"/>
      <c r="CIB21" s="19"/>
      <c r="CIC21" s="19"/>
      <c r="CID21" s="19"/>
      <c r="CIE21" s="19"/>
      <c r="CIF21" s="19"/>
      <c r="CIG21" s="19"/>
      <c r="CIH21" s="19"/>
      <c r="CII21" s="19"/>
      <c r="CIJ21" s="19"/>
      <c r="CIK21" s="19"/>
      <c r="CIL21" s="19"/>
      <c r="CIM21" s="19"/>
      <c r="CIN21" s="19"/>
      <c r="CIO21" s="19"/>
      <c r="CIP21" s="19"/>
      <c r="CIQ21" s="19"/>
      <c r="CIR21" s="19"/>
      <c r="CIS21" s="19"/>
      <c r="CIT21" s="19"/>
      <c r="CIU21" s="19"/>
      <c r="CIV21" s="19"/>
      <c r="CIW21" s="19"/>
      <c r="CIX21" s="19"/>
      <c r="CIY21" s="19"/>
      <c r="CIZ21" s="19"/>
      <c r="CJA21" s="19"/>
      <c r="CJB21" s="19"/>
      <c r="CJC21" s="19"/>
      <c r="CJD21" s="19"/>
      <c r="CJE21" s="19"/>
      <c r="CJF21" s="19"/>
      <c r="CJG21" s="19"/>
      <c r="CJH21" s="19"/>
      <c r="CJI21" s="19"/>
      <c r="CJJ21" s="19"/>
      <c r="CJK21" s="19"/>
      <c r="CJL21" s="19"/>
      <c r="CJM21" s="19"/>
      <c r="CJN21" s="19"/>
      <c r="CJO21" s="19"/>
      <c r="CJP21" s="19"/>
      <c r="CJQ21" s="19"/>
      <c r="CJR21" s="19"/>
      <c r="CJS21" s="19"/>
      <c r="CJT21" s="19"/>
      <c r="CJU21" s="19"/>
      <c r="CJV21" s="19"/>
      <c r="CJW21" s="19"/>
      <c r="CJX21" s="19"/>
      <c r="CJY21" s="19"/>
      <c r="CJZ21" s="19"/>
      <c r="CKA21" s="19"/>
      <c r="CKB21" s="19"/>
      <c r="CKC21" s="19"/>
      <c r="CKD21" s="19"/>
      <c r="CKE21" s="19"/>
      <c r="CKF21" s="19"/>
      <c r="CKG21" s="19"/>
      <c r="CKH21" s="19"/>
      <c r="CKI21" s="19"/>
      <c r="CKJ21" s="19"/>
      <c r="CKK21" s="19"/>
      <c r="CKL21" s="19"/>
      <c r="CKM21" s="19"/>
      <c r="CKN21" s="19"/>
      <c r="CKO21" s="19"/>
      <c r="CKP21" s="19"/>
      <c r="CKQ21" s="19"/>
      <c r="CKR21" s="19"/>
      <c r="CKS21" s="19"/>
      <c r="CKT21" s="19"/>
      <c r="CKU21" s="19"/>
      <c r="CKV21" s="19"/>
      <c r="CKW21" s="19"/>
      <c r="CKX21" s="19"/>
      <c r="CKY21" s="19"/>
      <c r="CKZ21" s="19"/>
      <c r="CLA21" s="19"/>
      <c r="CLB21" s="19"/>
      <c r="CLC21" s="19"/>
      <c r="CLD21" s="19"/>
      <c r="CLE21" s="19"/>
      <c r="CLF21" s="19"/>
      <c r="CLG21" s="19"/>
      <c r="CLH21" s="19"/>
      <c r="CLI21" s="19"/>
      <c r="CLJ21" s="19"/>
      <c r="CLK21" s="19"/>
      <c r="CLL21" s="19"/>
      <c r="CLM21" s="19"/>
      <c r="CLN21" s="19"/>
      <c r="CLO21" s="19"/>
      <c r="CLP21" s="19"/>
      <c r="CLQ21" s="19"/>
      <c r="CLR21" s="19"/>
      <c r="CLS21" s="19"/>
      <c r="CLT21" s="19"/>
      <c r="CLU21" s="19"/>
      <c r="CLV21" s="19"/>
      <c r="CLW21" s="19"/>
      <c r="CLX21" s="19"/>
      <c r="CLY21" s="19"/>
      <c r="CLZ21" s="19"/>
      <c r="CMA21" s="19"/>
      <c r="CMB21" s="19"/>
      <c r="CMC21" s="19"/>
      <c r="CMD21" s="19"/>
      <c r="CME21" s="19"/>
      <c r="CMF21" s="19"/>
      <c r="CMG21" s="19"/>
      <c r="CMH21" s="19"/>
      <c r="CMI21" s="19"/>
      <c r="CMJ21" s="19"/>
      <c r="CMK21" s="19"/>
      <c r="CML21" s="19"/>
      <c r="CMM21" s="19"/>
      <c r="CMN21" s="19"/>
      <c r="CMO21" s="19"/>
      <c r="CMP21" s="19"/>
      <c r="CMQ21" s="19"/>
      <c r="CMR21" s="19"/>
      <c r="CMS21" s="19"/>
      <c r="CMT21" s="19"/>
      <c r="CMU21" s="19"/>
      <c r="CMV21" s="19"/>
      <c r="CMW21" s="19"/>
      <c r="CMX21" s="19"/>
      <c r="CMY21" s="19"/>
      <c r="CMZ21" s="19"/>
      <c r="CNA21" s="19"/>
      <c r="CNB21" s="19"/>
      <c r="CNC21" s="19"/>
      <c r="CND21" s="19"/>
      <c r="CNE21" s="19"/>
      <c r="CNF21" s="19"/>
      <c r="CNG21" s="19"/>
      <c r="CNH21" s="19"/>
      <c r="CNI21" s="19"/>
      <c r="CNJ21" s="19"/>
      <c r="CNK21" s="19"/>
      <c r="CNL21" s="19"/>
      <c r="CNM21" s="19"/>
      <c r="CNN21" s="19"/>
      <c r="CNO21" s="19"/>
      <c r="CNP21" s="19"/>
      <c r="CNQ21" s="19"/>
      <c r="CNR21" s="19"/>
      <c r="CNS21" s="19"/>
      <c r="CNT21" s="19"/>
      <c r="CNU21" s="19"/>
      <c r="CNV21" s="19"/>
      <c r="CNW21" s="19"/>
      <c r="CNX21" s="19"/>
      <c r="CNY21" s="19"/>
      <c r="CNZ21" s="19"/>
      <c r="COA21" s="19"/>
      <c r="COB21" s="19"/>
      <c r="COC21" s="19"/>
      <c r="COD21" s="19"/>
      <c r="COE21" s="19"/>
      <c r="COF21" s="19"/>
      <c r="COG21" s="19"/>
      <c r="COH21" s="19"/>
      <c r="COI21" s="19"/>
      <c r="COJ21" s="19"/>
      <c r="COK21" s="19"/>
      <c r="COL21" s="19"/>
      <c r="COM21" s="19"/>
      <c r="CON21" s="19"/>
      <c r="COO21" s="19"/>
      <c r="COP21" s="19"/>
      <c r="COQ21" s="19"/>
      <c r="COR21" s="19"/>
      <c r="COS21" s="19"/>
      <c r="COT21" s="19"/>
      <c r="COU21" s="19"/>
      <c r="COV21" s="19"/>
      <c r="COW21" s="19"/>
      <c r="COX21" s="19"/>
      <c r="COY21" s="19"/>
      <c r="COZ21" s="19"/>
      <c r="CPA21" s="19"/>
      <c r="CPB21" s="19"/>
      <c r="CPC21" s="19"/>
      <c r="CPD21" s="19"/>
      <c r="CPE21" s="19"/>
      <c r="CPF21" s="19"/>
      <c r="CPG21" s="19"/>
      <c r="CPH21" s="19"/>
      <c r="CPI21" s="19"/>
      <c r="CPJ21" s="19"/>
      <c r="CPK21" s="19"/>
      <c r="CPL21" s="19"/>
      <c r="CPM21" s="19"/>
      <c r="CPN21" s="19"/>
      <c r="CPO21" s="19"/>
      <c r="CPP21" s="19"/>
      <c r="CPQ21" s="19"/>
      <c r="CPR21" s="19"/>
      <c r="CPS21" s="19"/>
      <c r="CPT21" s="19"/>
      <c r="CPU21" s="19"/>
      <c r="CPV21" s="19"/>
      <c r="CPW21" s="19"/>
      <c r="CPX21" s="19"/>
      <c r="CPY21" s="19"/>
      <c r="CPZ21" s="19"/>
      <c r="CQA21" s="19"/>
      <c r="CQB21" s="19"/>
      <c r="CQC21" s="19"/>
      <c r="CQD21" s="19"/>
      <c r="CQE21" s="19"/>
      <c r="CQF21" s="19"/>
      <c r="CQG21" s="19"/>
      <c r="CQH21" s="19"/>
      <c r="CQI21" s="19"/>
      <c r="CQJ21" s="19"/>
      <c r="CQK21" s="19"/>
      <c r="CQL21" s="19"/>
      <c r="CQM21" s="19"/>
      <c r="CQN21" s="19"/>
      <c r="CQO21" s="19"/>
      <c r="CQP21" s="19"/>
      <c r="CQQ21" s="19"/>
      <c r="CQR21" s="19"/>
      <c r="CQS21" s="19"/>
      <c r="CQT21" s="19"/>
      <c r="CQU21" s="19"/>
      <c r="CQV21" s="19"/>
      <c r="CQW21" s="19"/>
      <c r="CQX21" s="19"/>
      <c r="CQY21" s="19"/>
      <c r="CQZ21" s="19"/>
      <c r="CRA21" s="19"/>
      <c r="CRB21" s="19"/>
      <c r="CRC21" s="19"/>
      <c r="CRD21" s="19"/>
      <c r="CRE21" s="19"/>
      <c r="CRF21" s="19"/>
      <c r="CRG21" s="19"/>
      <c r="CRH21" s="19"/>
      <c r="CRI21" s="19"/>
      <c r="CRJ21" s="19"/>
      <c r="CRK21" s="19"/>
      <c r="CRL21" s="19"/>
      <c r="CRM21" s="19"/>
      <c r="CRN21" s="19"/>
      <c r="CRO21" s="19"/>
      <c r="CRP21" s="19"/>
      <c r="CRQ21" s="19"/>
      <c r="CRR21" s="19"/>
      <c r="CRS21" s="19"/>
      <c r="CRT21" s="19"/>
      <c r="CRU21" s="19"/>
      <c r="CRV21" s="19"/>
      <c r="CRW21" s="19"/>
      <c r="CRX21" s="19"/>
      <c r="CRY21" s="19"/>
      <c r="CRZ21" s="19"/>
      <c r="CSA21" s="19"/>
      <c r="CSB21" s="19"/>
      <c r="CSC21" s="19"/>
      <c r="CSD21" s="19"/>
      <c r="CSE21" s="19"/>
      <c r="CSF21" s="19"/>
      <c r="CSG21" s="19"/>
      <c r="CSH21" s="19"/>
      <c r="CSI21" s="19"/>
      <c r="CSJ21" s="19"/>
      <c r="CSK21" s="19"/>
      <c r="CSL21" s="19"/>
      <c r="CSM21" s="19"/>
      <c r="CSN21" s="19"/>
      <c r="CSO21" s="19"/>
      <c r="CSP21" s="19"/>
      <c r="CSQ21" s="19"/>
      <c r="CSR21" s="19"/>
      <c r="CSS21" s="19"/>
      <c r="CST21" s="19"/>
      <c r="CSU21" s="19"/>
      <c r="CSV21" s="19"/>
      <c r="CSW21" s="19"/>
      <c r="CSX21" s="19"/>
      <c r="CSY21" s="19"/>
      <c r="CSZ21" s="19"/>
      <c r="CTA21" s="19"/>
      <c r="CTB21" s="19"/>
      <c r="CTC21" s="19"/>
      <c r="CTD21" s="19"/>
      <c r="CTE21" s="19"/>
      <c r="CTF21" s="19"/>
      <c r="CTG21" s="19"/>
      <c r="CTH21" s="19"/>
      <c r="CTI21" s="19"/>
      <c r="CTJ21" s="19"/>
      <c r="CTK21" s="19"/>
      <c r="CTL21" s="19"/>
      <c r="CTM21" s="19"/>
      <c r="CTN21" s="19"/>
      <c r="CTO21" s="19"/>
      <c r="CTP21" s="19"/>
      <c r="CTQ21" s="19"/>
      <c r="CTR21" s="19"/>
      <c r="CTS21" s="19"/>
      <c r="CTT21" s="19"/>
      <c r="CTU21" s="19"/>
      <c r="CTV21" s="19"/>
      <c r="CTW21" s="19"/>
      <c r="CTX21" s="19"/>
      <c r="CTY21" s="19"/>
      <c r="CTZ21" s="19"/>
      <c r="CUA21" s="19"/>
      <c r="CUB21" s="19"/>
      <c r="CUC21" s="19"/>
      <c r="CUD21" s="19"/>
      <c r="CUE21" s="19"/>
      <c r="CUF21" s="19"/>
      <c r="CUG21" s="19"/>
      <c r="CUH21" s="19"/>
      <c r="CUI21" s="19"/>
      <c r="CUJ21" s="19"/>
      <c r="CUK21" s="19"/>
      <c r="CUL21" s="19"/>
      <c r="CUM21" s="19"/>
      <c r="CUN21" s="19"/>
      <c r="CUO21" s="19"/>
      <c r="CUP21" s="19"/>
      <c r="CUQ21" s="19"/>
      <c r="CUR21" s="19"/>
      <c r="CUS21" s="19"/>
      <c r="CUT21" s="19"/>
      <c r="CUU21" s="19"/>
      <c r="CUV21" s="19"/>
      <c r="CUW21" s="19"/>
      <c r="CUX21" s="19"/>
      <c r="CUY21" s="19"/>
      <c r="CUZ21" s="19"/>
      <c r="CVA21" s="19"/>
      <c r="CVB21" s="19"/>
      <c r="CVC21" s="19"/>
      <c r="CVD21" s="19"/>
      <c r="CVE21" s="19"/>
      <c r="CVF21" s="19"/>
      <c r="CVG21" s="19"/>
      <c r="CVH21" s="19"/>
      <c r="CVI21" s="19"/>
      <c r="CVJ21" s="19"/>
      <c r="CVK21" s="19"/>
      <c r="CVL21" s="19"/>
      <c r="CVM21" s="19"/>
      <c r="CVN21" s="19"/>
      <c r="CVO21" s="19"/>
      <c r="CVP21" s="19"/>
      <c r="CVQ21" s="19"/>
      <c r="CVR21" s="19"/>
      <c r="CVS21" s="19"/>
      <c r="CVT21" s="19"/>
      <c r="CVU21" s="19"/>
      <c r="CVV21" s="19"/>
      <c r="CVW21" s="19"/>
      <c r="CVX21" s="19"/>
      <c r="CVY21" s="19"/>
      <c r="CVZ21" s="19"/>
      <c r="CWA21" s="19"/>
      <c r="CWB21" s="19"/>
      <c r="CWC21" s="19"/>
      <c r="CWD21" s="19"/>
      <c r="CWE21" s="19"/>
      <c r="CWF21" s="19"/>
      <c r="CWG21" s="19"/>
      <c r="CWH21" s="19"/>
      <c r="CWI21" s="19"/>
      <c r="CWJ21" s="19"/>
      <c r="CWK21" s="19"/>
      <c r="CWL21" s="19"/>
      <c r="CWM21" s="19"/>
      <c r="CWN21" s="19"/>
      <c r="CWO21" s="19"/>
      <c r="CWP21" s="19"/>
      <c r="CWQ21" s="19"/>
      <c r="CWR21" s="19"/>
      <c r="CWS21" s="19"/>
      <c r="CWT21" s="19"/>
      <c r="CWU21" s="19"/>
      <c r="CWV21" s="19"/>
      <c r="CWW21" s="19"/>
      <c r="CWX21" s="19"/>
      <c r="CWY21" s="19"/>
      <c r="CWZ21" s="19"/>
      <c r="CXA21" s="19"/>
      <c r="CXB21" s="19"/>
      <c r="CXC21" s="19"/>
      <c r="CXD21" s="19"/>
      <c r="CXE21" s="19"/>
      <c r="CXF21" s="19"/>
      <c r="CXG21" s="19"/>
      <c r="CXH21" s="19"/>
      <c r="CXI21" s="19"/>
      <c r="CXJ21" s="19"/>
      <c r="CXK21" s="19"/>
      <c r="CXL21" s="19"/>
      <c r="CXM21" s="19"/>
      <c r="CXN21" s="19"/>
      <c r="CXO21" s="19"/>
      <c r="CXP21" s="19"/>
      <c r="CXQ21" s="19"/>
      <c r="CXR21" s="19"/>
      <c r="CXS21" s="19"/>
      <c r="CXT21" s="19"/>
      <c r="CXU21" s="19"/>
      <c r="CXV21" s="19"/>
      <c r="CXW21" s="19"/>
      <c r="CXX21" s="19"/>
      <c r="CXY21" s="19"/>
      <c r="CXZ21" s="19"/>
      <c r="CYA21" s="19"/>
      <c r="CYB21" s="19"/>
      <c r="CYC21" s="19"/>
      <c r="CYD21" s="19"/>
      <c r="CYE21" s="19"/>
      <c r="CYF21" s="19"/>
      <c r="CYG21" s="19"/>
      <c r="CYH21" s="19"/>
      <c r="CYI21" s="19"/>
      <c r="CYJ21" s="19"/>
      <c r="CYK21" s="19"/>
      <c r="CYL21" s="19"/>
      <c r="CYM21" s="19"/>
      <c r="CYN21" s="19"/>
      <c r="CYO21" s="19"/>
      <c r="CYP21" s="19"/>
      <c r="CYQ21" s="19"/>
      <c r="CYR21" s="19"/>
      <c r="CYS21" s="19"/>
      <c r="CYT21" s="19"/>
      <c r="CYU21" s="19"/>
      <c r="CYV21" s="19"/>
      <c r="CYW21" s="19"/>
      <c r="CYX21" s="19"/>
      <c r="CYY21" s="19"/>
      <c r="CYZ21" s="19"/>
      <c r="CZA21" s="19"/>
      <c r="CZB21" s="19"/>
      <c r="CZC21" s="19"/>
      <c r="CZD21" s="19"/>
      <c r="CZE21" s="19"/>
      <c r="CZF21" s="19"/>
      <c r="CZG21" s="19"/>
      <c r="CZH21" s="19"/>
      <c r="CZI21" s="19"/>
      <c r="CZJ21" s="19"/>
      <c r="CZK21" s="19"/>
      <c r="CZL21" s="19"/>
      <c r="CZM21" s="19"/>
      <c r="CZN21" s="19"/>
      <c r="CZO21" s="19"/>
      <c r="CZP21" s="19"/>
      <c r="CZQ21" s="19"/>
      <c r="CZR21" s="19"/>
      <c r="CZS21" s="19"/>
      <c r="CZT21" s="19"/>
      <c r="CZU21" s="19"/>
      <c r="CZV21" s="19"/>
      <c r="CZW21" s="19"/>
      <c r="CZX21" s="19"/>
      <c r="CZY21" s="19"/>
      <c r="CZZ21" s="19"/>
      <c r="DAA21" s="19"/>
      <c r="DAB21" s="19"/>
      <c r="DAC21" s="19"/>
      <c r="DAD21" s="19"/>
      <c r="DAE21" s="19"/>
      <c r="DAF21" s="19"/>
      <c r="DAG21" s="19"/>
      <c r="DAH21" s="19"/>
      <c r="DAI21" s="19"/>
      <c r="DAJ21" s="19"/>
      <c r="DAK21" s="19"/>
      <c r="DAL21" s="19"/>
      <c r="DAM21" s="19"/>
      <c r="DAN21" s="19"/>
      <c r="DAO21" s="19"/>
      <c r="DAP21" s="19"/>
      <c r="DAQ21" s="19"/>
      <c r="DAR21" s="19"/>
      <c r="DAS21" s="19"/>
      <c r="DAT21" s="19"/>
      <c r="DAU21" s="19"/>
      <c r="DAV21" s="19"/>
      <c r="DAW21" s="19"/>
      <c r="DAX21" s="19"/>
      <c r="DAY21" s="19"/>
      <c r="DAZ21" s="19"/>
      <c r="DBA21" s="19"/>
      <c r="DBB21" s="19"/>
      <c r="DBC21" s="19"/>
      <c r="DBD21" s="19"/>
      <c r="DBE21" s="19"/>
      <c r="DBF21" s="19"/>
      <c r="DBG21" s="19"/>
      <c r="DBH21" s="19"/>
      <c r="DBI21" s="19"/>
      <c r="DBJ21" s="19"/>
      <c r="DBK21" s="19"/>
      <c r="DBL21" s="19"/>
      <c r="DBM21" s="19"/>
      <c r="DBN21" s="19"/>
      <c r="DBO21" s="19"/>
      <c r="DBP21" s="19"/>
      <c r="DBQ21" s="19"/>
      <c r="DBR21" s="19"/>
      <c r="DBS21" s="19"/>
      <c r="DBT21" s="19"/>
      <c r="DBU21" s="19"/>
      <c r="DBV21" s="19"/>
      <c r="DBW21" s="19"/>
      <c r="DBX21" s="19"/>
      <c r="DBY21" s="19"/>
      <c r="DBZ21" s="19"/>
      <c r="DCA21" s="19"/>
      <c r="DCB21" s="19"/>
      <c r="DCC21" s="19"/>
      <c r="DCD21" s="19"/>
      <c r="DCE21" s="19"/>
      <c r="DCF21" s="19"/>
      <c r="DCG21" s="19"/>
      <c r="DCH21" s="19"/>
      <c r="DCI21" s="19"/>
      <c r="DCJ21" s="19"/>
      <c r="DCK21" s="19"/>
      <c r="DCL21" s="19"/>
      <c r="DCM21" s="19"/>
      <c r="DCN21" s="19"/>
      <c r="DCO21" s="19"/>
      <c r="DCP21" s="19"/>
      <c r="DCQ21" s="19"/>
      <c r="DCR21" s="19"/>
      <c r="DCS21" s="19"/>
      <c r="DCT21" s="19"/>
      <c r="DCU21" s="19"/>
      <c r="DCV21" s="19"/>
      <c r="DCW21" s="19"/>
      <c r="DCX21" s="19"/>
      <c r="DCY21" s="19"/>
      <c r="DCZ21" s="19"/>
      <c r="DDA21" s="19"/>
      <c r="DDB21" s="19"/>
      <c r="DDC21" s="19"/>
      <c r="DDD21" s="19"/>
      <c r="DDE21" s="19"/>
      <c r="DDF21" s="19"/>
      <c r="DDG21" s="19"/>
      <c r="DDH21" s="19"/>
      <c r="DDI21" s="19"/>
      <c r="DDJ21" s="19"/>
      <c r="DDK21" s="19"/>
      <c r="DDL21" s="19"/>
      <c r="DDM21" s="19"/>
      <c r="DDN21" s="19"/>
      <c r="DDO21" s="19"/>
      <c r="DDP21" s="19"/>
      <c r="DDQ21" s="19"/>
      <c r="DDR21" s="19"/>
      <c r="DDS21" s="19"/>
      <c r="DDT21" s="19"/>
      <c r="DDU21" s="19"/>
      <c r="DDV21" s="19"/>
      <c r="DDW21" s="19"/>
      <c r="DDX21" s="19"/>
      <c r="DDY21" s="19"/>
      <c r="DDZ21" s="19"/>
      <c r="DEA21" s="19"/>
      <c r="DEB21" s="19"/>
      <c r="DEC21" s="19"/>
      <c r="DED21" s="19"/>
      <c r="DEE21" s="19"/>
      <c r="DEF21" s="19"/>
      <c r="DEG21" s="19"/>
      <c r="DEH21" s="19"/>
      <c r="DEI21" s="19"/>
      <c r="DEJ21" s="19"/>
      <c r="DEK21" s="19"/>
      <c r="DEL21" s="19"/>
      <c r="DEM21" s="19"/>
      <c r="DEN21" s="19"/>
      <c r="DEO21" s="19"/>
      <c r="DEP21" s="19"/>
      <c r="DEQ21" s="19"/>
      <c r="DER21" s="19"/>
      <c r="DES21" s="19"/>
      <c r="DET21" s="19"/>
      <c r="DEU21" s="19"/>
      <c r="DEV21" s="19"/>
      <c r="DEW21" s="19"/>
      <c r="DEX21" s="19"/>
      <c r="DEY21" s="19"/>
      <c r="DEZ21" s="19"/>
      <c r="DFA21" s="19"/>
      <c r="DFB21" s="19"/>
      <c r="DFC21" s="19"/>
      <c r="DFD21" s="19"/>
      <c r="DFE21" s="19"/>
      <c r="DFF21" s="19"/>
      <c r="DFG21" s="19"/>
      <c r="DFH21" s="19"/>
      <c r="DFI21" s="19"/>
      <c r="DFJ21" s="19"/>
      <c r="DFK21" s="19"/>
      <c r="DFL21" s="19"/>
      <c r="DFM21" s="19"/>
      <c r="DFN21" s="19"/>
      <c r="DFO21" s="19"/>
      <c r="DFP21" s="19"/>
      <c r="DFQ21" s="19"/>
      <c r="DFR21" s="19"/>
      <c r="DFS21" s="19"/>
      <c r="DFT21" s="19"/>
      <c r="DFU21" s="19"/>
      <c r="DFV21" s="19"/>
      <c r="DFW21" s="19"/>
      <c r="DFX21" s="19"/>
      <c r="DFY21" s="19"/>
      <c r="DFZ21" s="19"/>
      <c r="DGA21" s="19"/>
      <c r="DGB21" s="19"/>
      <c r="DGC21" s="19"/>
      <c r="DGD21" s="19"/>
      <c r="DGE21" s="19"/>
      <c r="DGF21" s="19"/>
      <c r="DGG21" s="19"/>
      <c r="DGH21" s="19"/>
      <c r="DGI21" s="19"/>
      <c r="DGJ21" s="19"/>
      <c r="DGK21" s="19"/>
      <c r="DGL21" s="19"/>
      <c r="DGM21" s="19"/>
      <c r="DGN21" s="19"/>
      <c r="DGO21" s="19"/>
      <c r="DGP21" s="19"/>
      <c r="DGQ21" s="19"/>
      <c r="DGR21" s="19"/>
      <c r="DGS21" s="19"/>
      <c r="DGT21" s="19"/>
      <c r="DGU21" s="19"/>
      <c r="DGV21" s="19"/>
      <c r="DGW21" s="19"/>
      <c r="DGX21" s="19"/>
      <c r="DGY21" s="19"/>
      <c r="DGZ21" s="19"/>
      <c r="DHA21" s="19"/>
      <c r="DHB21" s="19"/>
      <c r="DHC21" s="19"/>
      <c r="DHD21" s="19"/>
      <c r="DHE21" s="19"/>
      <c r="DHF21" s="19"/>
      <c r="DHG21" s="19"/>
      <c r="DHH21" s="19"/>
      <c r="DHI21" s="19"/>
      <c r="DHJ21" s="19"/>
      <c r="DHK21" s="19"/>
      <c r="DHL21" s="19"/>
      <c r="DHM21" s="19"/>
      <c r="DHN21" s="19"/>
      <c r="DHO21" s="19"/>
      <c r="DHP21" s="19"/>
      <c r="DHQ21" s="19"/>
      <c r="DHR21" s="19"/>
      <c r="DHS21" s="19"/>
      <c r="DHT21" s="19"/>
      <c r="DHU21" s="19"/>
      <c r="DHV21" s="19"/>
      <c r="DHW21" s="19"/>
      <c r="DHX21" s="19"/>
      <c r="DHY21" s="19"/>
      <c r="DHZ21" s="19"/>
      <c r="DIA21" s="19"/>
      <c r="DIB21" s="19"/>
      <c r="DIC21" s="19"/>
      <c r="DID21" s="19"/>
      <c r="DIE21" s="19"/>
      <c r="DIF21" s="19"/>
      <c r="DIG21" s="19"/>
      <c r="DIH21" s="19"/>
      <c r="DII21" s="19"/>
      <c r="DIJ21" s="19"/>
      <c r="DIK21" s="19"/>
      <c r="DIL21" s="19"/>
      <c r="DIM21" s="19"/>
      <c r="DIN21" s="19"/>
      <c r="DIO21" s="19"/>
      <c r="DIP21" s="19"/>
      <c r="DIQ21" s="19"/>
      <c r="DIR21" s="19"/>
      <c r="DIS21" s="19"/>
      <c r="DIT21" s="19"/>
      <c r="DIU21" s="19"/>
      <c r="DIV21" s="19"/>
      <c r="DIW21" s="19"/>
      <c r="DIX21" s="19"/>
      <c r="DIY21" s="19"/>
      <c r="DIZ21" s="19"/>
      <c r="DJA21" s="19"/>
      <c r="DJB21" s="19"/>
      <c r="DJC21" s="19"/>
      <c r="DJD21" s="19"/>
      <c r="DJE21" s="19"/>
      <c r="DJF21" s="19"/>
      <c r="DJG21" s="19"/>
      <c r="DJH21" s="19"/>
      <c r="DJI21" s="19"/>
      <c r="DJJ21" s="19"/>
      <c r="DJK21" s="19"/>
      <c r="DJL21" s="19"/>
      <c r="DJM21" s="19"/>
      <c r="DJN21" s="19"/>
      <c r="DJO21" s="19"/>
      <c r="DJP21" s="19"/>
      <c r="DJQ21" s="19"/>
      <c r="DJR21" s="19"/>
      <c r="DJS21" s="19"/>
      <c r="DJT21" s="19"/>
      <c r="DJU21" s="19"/>
      <c r="DJV21" s="19"/>
      <c r="DJW21" s="19"/>
      <c r="DJX21" s="19"/>
      <c r="DJY21" s="19"/>
      <c r="DJZ21" s="19"/>
      <c r="DKA21" s="19"/>
      <c r="DKB21" s="19"/>
      <c r="DKC21" s="19"/>
      <c r="DKD21" s="19"/>
      <c r="DKE21" s="19"/>
      <c r="DKF21" s="19"/>
      <c r="DKG21" s="19"/>
      <c r="DKH21" s="19"/>
      <c r="DKI21" s="19"/>
      <c r="DKJ21" s="19"/>
      <c r="DKK21" s="19"/>
      <c r="DKL21" s="19"/>
      <c r="DKM21" s="19"/>
      <c r="DKN21" s="19"/>
      <c r="DKO21" s="19"/>
      <c r="DKP21" s="19"/>
      <c r="DKQ21" s="19"/>
      <c r="DKR21" s="19"/>
      <c r="DKS21" s="19"/>
      <c r="DKT21" s="19"/>
      <c r="DKU21" s="19"/>
      <c r="DKV21" s="19"/>
      <c r="DKW21" s="19"/>
      <c r="DKX21" s="19"/>
      <c r="DKY21" s="19"/>
      <c r="DKZ21" s="19"/>
      <c r="DLA21" s="19"/>
      <c r="DLB21" s="19"/>
      <c r="DLC21" s="19"/>
      <c r="DLD21" s="19"/>
      <c r="DLE21" s="19"/>
      <c r="DLF21" s="19"/>
      <c r="DLG21" s="19"/>
      <c r="DLH21" s="19"/>
      <c r="DLI21" s="19"/>
      <c r="DLJ21" s="19"/>
      <c r="DLK21" s="19"/>
      <c r="DLL21" s="19"/>
      <c r="DLM21" s="19"/>
      <c r="DLN21" s="19"/>
      <c r="DLO21" s="19"/>
      <c r="DLP21" s="19"/>
      <c r="DLQ21" s="19"/>
      <c r="DLR21" s="19"/>
      <c r="DLS21" s="19"/>
      <c r="DLT21" s="19"/>
      <c r="DLU21" s="19"/>
      <c r="DLV21" s="19"/>
      <c r="DLW21" s="19"/>
      <c r="DLX21" s="19"/>
      <c r="DLY21" s="19"/>
      <c r="DLZ21" s="19"/>
      <c r="DMA21" s="19"/>
      <c r="DMB21" s="19"/>
      <c r="DMC21" s="19"/>
      <c r="DMD21" s="19"/>
      <c r="DME21" s="19"/>
      <c r="DMF21" s="19"/>
      <c r="DMG21" s="19"/>
      <c r="DMH21" s="19"/>
      <c r="DMI21" s="19"/>
      <c r="DMJ21" s="19"/>
      <c r="DMK21" s="19"/>
      <c r="DML21" s="19"/>
      <c r="DMM21" s="19"/>
      <c r="DMN21" s="19"/>
      <c r="DMO21" s="19"/>
      <c r="DMP21" s="19"/>
      <c r="DMQ21" s="19"/>
      <c r="DMR21" s="19"/>
      <c r="DMS21" s="19"/>
      <c r="DMT21" s="19"/>
      <c r="DMU21" s="19"/>
      <c r="DMV21" s="19"/>
      <c r="DMW21" s="19"/>
      <c r="DMX21" s="19"/>
      <c r="DMY21" s="19"/>
      <c r="DMZ21" s="19"/>
      <c r="DNA21" s="19"/>
      <c r="DNB21" s="19"/>
      <c r="DNC21" s="19"/>
      <c r="DND21" s="19"/>
      <c r="DNE21" s="19"/>
      <c r="DNF21" s="19"/>
      <c r="DNG21" s="19"/>
      <c r="DNH21" s="19"/>
      <c r="DNI21" s="19"/>
      <c r="DNJ21" s="19"/>
      <c r="DNK21" s="19"/>
      <c r="DNL21" s="19"/>
      <c r="DNM21" s="19"/>
      <c r="DNN21" s="19"/>
      <c r="DNO21" s="19"/>
      <c r="DNP21" s="19"/>
      <c r="DNQ21" s="19"/>
      <c r="DNR21" s="19"/>
      <c r="DNS21" s="19"/>
      <c r="DNT21" s="19"/>
      <c r="DNU21" s="19"/>
      <c r="DNV21" s="19"/>
      <c r="DNW21" s="19"/>
      <c r="DNX21" s="19"/>
      <c r="DNY21" s="19"/>
      <c r="DNZ21" s="19"/>
      <c r="DOA21" s="19"/>
      <c r="DOB21" s="19"/>
      <c r="DOC21" s="19"/>
      <c r="DOD21" s="19"/>
      <c r="DOE21" s="19"/>
      <c r="DOF21" s="19"/>
      <c r="DOG21" s="19"/>
      <c r="DOH21" s="19"/>
      <c r="DOI21" s="19"/>
      <c r="DOJ21" s="19"/>
      <c r="DOK21" s="19"/>
      <c r="DOL21" s="19"/>
      <c r="DOM21" s="19"/>
      <c r="DON21" s="19"/>
      <c r="DOO21" s="19"/>
      <c r="DOP21" s="19"/>
      <c r="DOQ21" s="19"/>
      <c r="DOR21" s="19"/>
      <c r="DOS21" s="19"/>
      <c r="DOT21" s="19"/>
      <c r="DOU21" s="19"/>
      <c r="DOV21" s="19"/>
      <c r="DOW21" s="19"/>
      <c r="DOX21" s="19"/>
      <c r="DOY21" s="19"/>
      <c r="DOZ21" s="19"/>
      <c r="DPA21" s="19"/>
      <c r="DPB21" s="19"/>
      <c r="DPC21" s="19"/>
      <c r="DPD21" s="19"/>
      <c r="DPE21" s="19"/>
      <c r="DPF21" s="19"/>
      <c r="DPG21" s="19"/>
      <c r="DPH21" s="19"/>
      <c r="DPI21" s="19"/>
      <c r="DPJ21" s="19"/>
      <c r="DPK21" s="19"/>
      <c r="DPL21" s="19"/>
      <c r="DPM21" s="19"/>
      <c r="DPN21" s="19"/>
      <c r="DPO21" s="19"/>
      <c r="DPP21" s="19"/>
      <c r="DPQ21" s="19"/>
      <c r="DPR21" s="19"/>
      <c r="DPS21" s="19"/>
      <c r="DPT21" s="19"/>
      <c r="DPU21" s="19"/>
      <c r="DPV21" s="19"/>
      <c r="DPW21" s="19"/>
      <c r="DPX21" s="19"/>
      <c r="DPY21" s="19"/>
      <c r="DPZ21" s="19"/>
      <c r="DQA21" s="19"/>
      <c r="DQB21" s="19"/>
      <c r="DQC21" s="19"/>
      <c r="DQD21" s="19"/>
      <c r="DQE21" s="19"/>
      <c r="DQF21" s="19"/>
      <c r="DQG21" s="19"/>
      <c r="DQH21" s="19"/>
      <c r="DQI21" s="19"/>
      <c r="DQJ21" s="19"/>
      <c r="DQK21" s="19"/>
      <c r="DQL21" s="19"/>
      <c r="DQM21" s="19"/>
      <c r="DQN21" s="19"/>
      <c r="DQO21" s="19"/>
      <c r="DQP21" s="19"/>
      <c r="DQQ21" s="19"/>
      <c r="DQR21" s="19"/>
      <c r="DQS21" s="19"/>
      <c r="DQT21" s="19"/>
      <c r="DQU21" s="19"/>
      <c r="DQV21" s="19"/>
      <c r="DQW21" s="19"/>
      <c r="DQX21" s="19"/>
      <c r="DQY21" s="19"/>
      <c r="DQZ21" s="19"/>
      <c r="DRA21" s="19"/>
      <c r="DRB21" s="19"/>
      <c r="DRC21" s="19"/>
      <c r="DRD21" s="19"/>
      <c r="DRE21" s="19"/>
      <c r="DRF21" s="19"/>
      <c r="DRG21" s="19"/>
      <c r="DRH21" s="19"/>
      <c r="DRI21" s="19"/>
      <c r="DRJ21" s="19"/>
      <c r="DRK21" s="19"/>
      <c r="DRL21" s="19"/>
      <c r="DRM21" s="19"/>
      <c r="DRN21" s="19"/>
      <c r="DRO21" s="19"/>
      <c r="DRP21" s="19"/>
      <c r="DRQ21" s="19"/>
      <c r="DRR21" s="19"/>
      <c r="DRS21" s="19"/>
      <c r="DRT21" s="19"/>
      <c r="DRU21" s="19"/>
      <c r="DRV21" s="19"/>
      <c r="DRW21" s="19"/>
      <c r="DRX21" s="19"/>
      <c r="DRY21" s="19"/>
      <c r="DRZ21" s="19"/>
      <c r="DSA21" s="19"/>
      <c r="DSB21" s="19"/>
      <c r="DSC21" s="19"/>
      <c r="DSD21" s="19"/>
      <c r="DSE21" s="19"/>
      <c r="DSF21" s="19"/>
      <c r="DSG21" s="19"/>
      <c r="DSH21" s="19"/>
      <c r="DSI21" s="19"/>
      <c r="DSJ21" s="19"/>
      <c r="DSK21" s="19"/>
      <c r="DSL21" s="19"/>
      <c r="DSM21" s="19"/>
      <c r="DSN21" s="19"/>
      <c r="DSO21" s="19"/>
      <c r="DSP21" s="19"/>
      <c r="DSQ21" s="19"/>
      <c r="DSR21" s="19"/>
      <c r="DSS21" s="19"/>
      <c r="DST21" s="19"/>
      <c r="DSU21" s="19"/>
      <c r="DSV21" s="19"/>
      <c r="DSW21" s="19"/>
      <c r="DSX21" s="19"/>
      <c r="DSY21" s="19"/>
      <c r="DSZ21" s="19"/>
      <c r="DTA21" s="19"/>
      <c r="DTB21" s="19"/>
      <c r="DTC21" s="19"/>
      <c r="DTD21" s="19"/>
      <c r="DTE21" s="19"/>
      <c r="DTF21" s="19"/>
      <c r="DTG21" s="19"/>
      <c r="DTH21" s="19"/>
      <c r="DTI21" s="19"/>
      <c r="DTJ21" s="19"/>
      <c r="DTK21" s="19"/>
      <c r="DTL21" s="19"/>
      <c r="DTM21" s="19"/>
      <c r="DTN21" s="19"/>
      <c r="DTO21" s="19"/>
      <c r="DTP21" s="19"/>
      <c r="DTQ21" s="19"/>
      <c r="DTR21" s="19"/>
      <c r="DTS21" s="19"/>
      <c r="DTT21" s="19"/>
      <c r="DTU21" s="19"/>
      <c r="DTV21" s="19"/>
      <c r="DTW21" s="19"/>
      <c r="DTX21" s="19"/>
      <c r="DTY21" s="19"/>
      <c r="DTZ21" s="19"/>
      <c r="DUA21" s="19"/>
      <c r="DUB21" s="19"/>
      <c r="DUC21" s="19"/>
      <c r="DUD21" s="19"/>
      <c r="DUE21" s="19"/>
      <c r="DUF21" s="19"/>
      <c r="DUG21" s="19"/>
      <c r="DUH21" s="19"/>
      <c r="DUI21" s="19"/>
      <c r="DUJ21" s="19"/>
      <c r="DUK21" s="19"/>
      <c r="DUL21" s="19"/>
      <c r="DUM21" s="19"/>
      <c r="DUN21" s="19"/>
      <c r="DUO21" s="19"/>
      <c r="DUP21" s="19"/>
      <c r="DUQ21" s="19"/>
      <c r="DUR21" s="19"/>
      <c r="DUS21" s="19"/>
      <c r="DUT21" s="19"/>
      <c r="DUU21" s="19"/>
      <c r="DUV21" s="19"/>
      <c r="DUW21" s="19"/>
      <c r="DUX21" s="19"/>
      <c r="DUY21" s="19"/>
      <c r="DUZ21" s="19"/>
      <c r="DVA21" s="19"/>
      <c r="DVB21" s="19"/>
      <c r="DVC21" s="19"/>
      <c r="DVD21" s="19"/>
      <c r="DVE21" s="19"/>
      <c r="DVF21" s="19"/>
      <c r="DVG21" s="19"/>
      <c r="DVH21" s="19"/>
      <c r="DVI21" s="19"/>
      <c r="DVJ21" s="19"/>
      <c r="DVK21" s="19"/>
      <c r="DVL21" s="19"/>
      <c r="DVM21" s="19"/>
      <c r="DVN21" s="19"/>
      <c r="DVO21" s="19"/>
      <c r="DVP21" s="19"/>
      <c r="DVQ21" s="19"/>
      <c r="DVR21" s="19"/>
      <c r="DVS21" s="19"/>
      <c r="DVT21" s="19"/>
      <c r="DVU21" s="19"/>
      <c r="DVV21" s="19"/>
      <c r="DVW21" s="19"/>
      <c r="DVX21" s="19"/>
      <c r="DVY21" s="19"/>
      <c r="DVZ21" s="19"/>
      <c r="DWA21" s="19"/>
      <c r="DWB21" s="19"/>
      <c r="DWC21" s="19"/>
      <c r="DWD21" s="19"/>
      <c r="DWE21" s="19"/>
      <c r="DWF21" s="19"/>
      <c r="DWG21" s="19"/>
      <c r="DWH21" s="19"/>
      <c r="DWI21" s="19"/>
      <c r="DWJ21" s="19"/>
      <c r="DWK21" s="19"/>
      <c r="DWL21" s="19"/>
      <c r="DWM21" s="19"/>
      <c r="DWN21" s="19"/>
      <c r="DWO21" s="19"/>
      <c r="DWP21" s="19"/>
      <c r="DWQ21" s="19"/>
      <c r="DWR21" s="19"/>
      <c r="DWS21" s="19"/>
      <c r="DWT21" s="19"/>
      <c r="DWU21" s="19"/>
      <c r="DWV21" s="19"/>
      <c r="DWW21" s="19"/>
      <c r="DWX21" s="19"/>
      <c r="DWY21" s="19"/>
      <c r="DWZ21" s="19"/>
      <c r="DXA21" s="19"/>
      <c r="DXB21" s="19"/>
      <c r="DXC21" s="19"/>
      <c r="DXD21" s="19"/>
      <c r="DXE21" s="19"/>
      <c r="DXF21" s="19"/>
      <c r="DXG21" s="19"/>
      <c r="DXH21" s="19"/>
      <c r="DXI21" s="19"/>
      <c r="DXJ21" s="19"/>
      <c r="DXK21" s="19"/>
      <c r="DXL21" s="19"/>
      <c r="DXM21" s="19"/>
      <c r="DXN21" s="19"/>
      <c r="DXO21" s="19"/>
      <c r="DXP21" s="19"/>
      <c r="DXQ21" s="19"/>
      <c r="DXR21" s="19"/>
      <c r="DXS21" s="19"/>
      <c r="DXT21" s="19"/>
      <c r="DXU21" s="19"/>
      <c r="DXV21" s="19"/>
      <c r="DXW21" s="19"/>
      <c r="DXX21" s="19"/>
      <c r="DXY21" s="19"/>
      <c r="DXZ21" s="19"/>
      <c r="DYA21" s="19"/>
      <c r="DYB21" s="19"/>
      <c r="DYC21" s="19"/>
      <c r="DYD21" s="19"/>
      <c r="DYE21" s="19"/>
      <c r="DYF21" s="19"/>
      <c r="DYG21" s="19"/>
      <c r="DYH21" s="19"/>
      <c r="DYI21" s="19"/>
      <c r="DYJ21" s="19"/>
      <c r="DYK21" s="19"/>
      <c r="DYL21" s="19"/>
      <c r="DYM21" s="19"/>
      <c r="DYN21" s="19"/>
      <c r="DYO21" s="19"/>
      <c r="DYP21" s="19"/>
      <c r="DYQ21" s="19"/>
      <c r="DYR21" s="19"/>
      <c r="DYS21" s="19"/>
      <c r="DYT21" s="19"/>
      <c r="DYU21" s="19"/>
      <c r="DYV21" s="19"/>
      <c r="DYW21" s="19"/>
      <c r="DYX21" s="19"/>
      <c r="DYY21" s="19"/>
      <c r="DYZ21" s="19"/>
      <c r="DZA21" s="19"/>
      <c r="DZB21" s="19"/>
      <c r="DZC21" s="19"/>
      <c r="DZD21" s="19"/>
      <c r="DZE21" s="19"/>
      <c r="DZF21" s="19"/>
      <c r="DZG21" s="19"/>
      <c r="DZH21" s="19"/>
      <c r="DZI21" s="19"/>
      <c r="DZJ21" s="19"/>
      <c r="DZK21" s="19"/>
      <c r="DZL21" s="19"/>
      <c r="DZM21" s="19"/>
      <c r="DZN21" s="19"/>
      <c r="DZO21" s="19"/>
      <c r="DZP21" s="19"/>
      <c r="DZQ21" s="19"/>
      <c r="DZR21" s="19"/>
      <c r="DZS21" s="19"/>
      <c r="DZT21" s="19"/>
      <c r="DZU21" s="19"/>
      <c r="DZV21" s="19"/>
      <c r="DZW21" s="19"/>
      <c r="DZX21" s="19"/>
      <c r="DZY21" s="19"/>
      <c r="DZZ21" s="19"/>
      <c r="EAA21" s="19"/>
      <c r="EAB21" s="19"/>
      <c r="EAC21" s="19"/>
      <c r="EAD21" s="19"/>
      <c r="EAE21" s="19"/>
      <c r="EAF21" s="19"/>
      <c r="EAG21" s="19"/>
      <c r="EAH21" s="19"/>
      <c r="EAI21" s="19"/>
      <c r="EAJ21" s="19"/>
      <c r="EAK21" s="19"/>
      <c r="EAL21" s="19"/>
      <c r="EAM21" s="19"/>
      <c r="EAN21" s="19"/>
      <c r="EAO21" s="19"/>
      <c r="EAP21" s="19"/>
      <c r="EAQ21" s="19"/>
      <c r="EAR21" s="19"/>
      <c r="EAS21" s="19"/>
      <c r="EAT21" s="19"/>
      <c r="EAU21" s="19"/>
      <c r="EAV21" s="19"/>
      <c r="EAW21" s="19"/>
      <c r="EAX21" s="19"/>
      <c r="EAY21" s="19"/>
      <c r="EAZ21" s="19"/>
      <c r="EBA21" s="19"/>
      <c r="EBB21" s="19"/>
      <c r="EBC21" s="19"/>
      <c r="EBD21" s="19"/>
      <c r="EBE21" s="19"/>
      <c r="EBF21" s="19"/>
      <c r="EBG21" s="19"/>
      <c r="EBH21" s="19"/>
      <c r="EBI21" s="19"/>
      <c r="EBJ21" s="19"/>
      <c r="EBK21" s="19"/>
      <c r="EBL21" s="19"/>
      <c r="EBM21" s="19"/>
      <c r="EBN21" s="19"/>
      <c r="EBO21" s="19"/>
      <c r="EBP21" s="19"/>
      <c r="EBQ21" s="19"/>
      <c r="EBR21" s="19"/>
      <c r="EBS21" s="19"/>
      <c r="EBT21" s="19"/>
      <c r="EBU21" s="19"/>
      <c r="EBV21" s="19"/>
      <c r="EBW21" s="19"/>
      <c r="EBX21" s="19"/>
      <c r="EBY21" s="19"/>
      <c r="EBZ21" s="19"/>
      <c r="ECA21" s="19"/>
      <c r="ECB21" s="19"/>
      <c r="ECC21" s="19"/>
      <c r="ECD21" s="19"/>
      <c r="ECE21" s="19"/>
      <c r="ECF21" s="19"/>
      <c r="ECG21" s="19"/>
      <c r="ECH21" s="19"/>
      <c r="ECI21" s="19"/>
      <c r="ECJ21" s="19"/>
      <c r="ECK21" s="19"/>
      <c r="ECL21" s="19"/>
      <c r="ECM21" s="19"/>
      <c r="ECN21" s="19"/>
      <c r="ECO21" s="19"/>
      <c r="ECP21" s="19"/>
      <c r="ECQ21" s="19"/>
      <c r="ECR21" s="19"/>
      <c r="ECS21" s="19"/>
      <c r="ECT21" s="19"/>
      <c r="ECU21" s="19"/>
      <c r="ECV21" s="19"/>
      <c r="ECW21" s="19"/>
      <c r="ECX21" s="19"/>
      <c r="ECY21" s="19"/>
      <c r="ECZ21" s="19"/>
      <c r="EDA21" s="19"/>
      <c r="EDB21" s="19"/>
      <c r="EDC21" s="19"/>
      <c r="EDD21" s="19"/>
      <c r="EDE21" s="19"/>
      <c r="EDF21" s="19"/>
      <c r="EDG21" s="19"/>
      <c r="EDH21" s="19"/>
      <c r="EDI21" s="19"/>
      <c r="EDJ21" s="19"/>
      <c r="EDK21" s="19"/>
      <c r="EDL21" s="19"/>
      <c r="EDM21" s="19"/>
      <c r="EDN21" s="19"/>
      <c r="EDO21" s="19"/>
      <c r="EDP21" s="19"/>
      <c r="EDQ21" s="19"/>
      <c r="EDR21" s="19"/>
      <c r="EDS21" s="19"/>
      <c r="EDT21" s="19"/>
      <c r="EDU21" s="19"/>
      <c r="EDV21" s="19"/>
      <c r="EDW21" s="19"/>
      <c r="EDX21" s="19"/>
      <c r="EDY21" s="19"/>
      <c r="EDZ21" s="19"/>
      <c r="EEA21" s="19"/>
      <c r="EEB21" s="19"/>
      <c r="EEC21" s="19"/>
      <c r="EED21" s="19"/>
      <c r="EEE21" s="19"/>
      <c r="EEF21" s="19"/>
      <c r="EEG21" s="19"/>
      <c r="EEH21" s="19"/>
      <c r="EEI21" s="19"/>
      <c r="EEJ21" s="19"/>
      <c r="EEK21" s="19"/>
      <c r="EEL21" s="19"/>
      <c r="EEM21" s="19"/>
      <c r="EEN21" s="19"/>
      <c r="EEO21" s="19"/>
      <c r="EEP21" s="19"/>
      <c r="EEQ21" s="19"/>
      <c r="EER21" s="19"/>
      <c r="EES21" s="19"/>
      <c r="EET21" s="19"/>
      <c r="EEU21" s="19"/>
      <c r="EEV21" s="19"/>
      <c r="EEW21" s="19"/>
      <c r="EEX21" s="19"/>
      <c r="EEY21" s="19"/>
      <c r="EEZ21" s="19"/>
      <c r="EFA21" s="19"/>
      <c r="EFB21" s="19"/>
      <c r="EFC21" s="19"/>
      <c r="EFD21" s="19"/>
      <c r="EFE21" s="19"/>
      <c r="EFF21" s="19"/>
      <c r="EFG21" s="19"/>
      <c r="EFH21" s="19"/>
      <c r="EFI21" s="19"/>
      <c r="EFJ21" s="19"/>
      <c r="EFK21" s="19"/>
      <c r="EFL21" s="19"/>
      <c r="EFM21" s="19"/>
      <c r="EFN21" s="19"/>
      <c r="EFO21" s="19"/>
      <c r="EFP21" s="19"/>
      <c r="EFQ21" s="19"/>
      <c r="EFR21" s="19"/>
      <c r="EFS21" s="19"/>
      <c r="EFT21" s="19"/>
      <c r="EFU21" s="19"/>
      <c r="EFV21" s="19"/>
      <c r="EFW21" s="19"/>
      <c r="EFX21" s="19"/>
      <c r="EFY21" s="19"/>
      <c r="EFZ21" s="19"/>
      <c r="EGA21" s="19"/>
      <c r="EGB21" s="19"/>
      <c r="EGC21" s="19"/>
      <c r="EGD21" s="19"/>
      <c r="EGE21" s="19"/>
      <c r="EGF21" s="19"/>
      <c r="EGG21" s="19"/>
      <c r="EGH21" s="19"/>
      <c r="EGI21" s="19"/>
      <c r="EGJ21" s="19"/>
      <c r="EGK21" s="19"/>
      <c r="EGL21" s="19"/>
      <c r="EGM21" s="19"/>
      <c r="EGN21" s="19"/>
      <c r="EGO21" s="19"/>
      <c r="EGP21" s="19"/>
      <c r="EGQ21" s="19"/>
      <c r="EGR21" s="19"/>
      <c r="EGS21" s="19"/>
      <c r="EGT21" s="19"/>
      <c r="EGU21" s="19"/>
      <c r="EGV21" s="19"/>
      <c r="EGW21" s="19"/>
      <c r="EGX21" s="19"/>
      <c r="EGY21" s="19"/>
      <c r="EGZ21" s="19"/>
      <c r="EHA21" s="19"/>
      <c r="EHB21" s="19"/>
      <c r="EHC21" s="19"/>
      <c r="EHD21" s="19"/>
      <c r="EHE21" s="19"/>
      <c r="EHF21" s="19"/>
      <c r="EHG21" s="19"/>
      <c r="EHH21" s="19"/>
      <c r="EHI21" s="19"/>
      <c r="EHJ21" s="19"/>
      <c r="EHK21" s="19"/>
      <c r="EHL21" s="19"/>
      <c r="EHM21" s="19"/>
      <c r="EHN21" s="19"/>
      <c r="EHO21" s="19"/>
      <c r="EHP21" s="19"/>
      <c r="EHQ21" s="19"/>
      <c r="EHR21" s="19"/>
      <c r="EHS21" s="19"/>
      <c r="EHT21" s="19"/>
      <c r="EHU21" s="19"/>
      <c r="EHV21" s="19"/>
      <c r="EHW21" s="19"/>
      <c r="EHX21" s="19"/>
      <c r="EHY21" s="19"/>
      <c r="EHZ21" s="19"/>
      <c r="EIA21" s="19"/>
      <c r="EIB21" s="19"/>
      <c r="EIC21" s="19"/>
      <c r="EID21" s="19"/>
      <c r="EIE21" s="19"/>
      <c r="EIF21" s="19"/>
      <c r="EIG21" s="19"/>
      <c r="EIH21" s="19"/>
      <c r="EII21" s="19"/>
      <c r="EIJ21" s="19"/>
      <c r="EIK21" s="19"/>
      <c r="EIL21" s="19"/>
      <c r="EIM21" s="19"/>
      <c r="EIN21" s="19"/>
      <c r="EIO21" s="19"/>
      <c r="EIP21" s="19"/>
      <c r="EIQ21" s="19"/>
      <c r="EIR21" s="19"/>
      <c r="EIS21" s="19"/>
      <c r="EIT21" s="19"/>
      <c r="EIU21" s="19"/>
      <c r="EIV21" s="19"/>
      <c r="EIW21" s="19"/>
      <c r="EIX21" s="19"/>
      <c r="EIY21" s="19"/>
      <c r="EIZ21" s="19"/>
      <c r="EJA21" s="19"/>
      <c r="EJB21" s="19"/>
      <c r="EJC21" s="19"/>
      <c r="EJD21" s="19"/>
      <c r="EJE21" s="19"/>
      <c r="EJF21" s="19"/>
      <c r="EJG21" s="19"/>
      <c r="EJH21" s="19"/>
      <c r="EJI21" s="19"/>
      <c r="EJJ21" s="19"/>
      <c r="EJK21" s="19"/>
      <c r="EJL21" s="19"/>
      <c r="EJM21" s="19"/>
      <c r="EJN21" s="19"/>
      <c r="EJO21" s="19"/>
      <c r="EJP21" s="19"/>
      <c r="EJQ21" s="19"/>
      <c r="EJR21" s="19"/>
      <c r="EJS21" s="19"/>
      <c r="EJT21" s="19"/>
      <c r="EJU21" s="19"/>
      <c r="EJV21" s="19"/>
      <c r="EJW21" s="19"/>
      <c r="EJX21" s="19"/>
      <c r="EJY21" s="19"/>
      <c r="EJZ21" s="19"/>
      <c r="EKA21" s="19"/>
      <c r="EKB21" s="19"/>
      <c r="EKC21" s="19"/>
      <c r="EKD21" s="19"/>
      <c r="EKE21" s="19"/>
      <c r="EKF21" s="19"/>
      <c r="EKG21" s="19"/>
      <c r="EKH21" s="19"/>
      <c r="EKI21" s="19"/>
      <c r="EKJ21" s="19"/>
      <c r="EKK21" s="19"/>
      <c r="EKL21" s="19"/>
      <c r="EKM21" s="19"/>
      <c r="EKN21" s="19"/>
      <c r="EKO21" s="19"/>
      <c r="EKP21" s="19"/>
      <c r="EKQ21" s="19"/>
      <c r="EKR21" s="19"/>
      <c r="EKS21" s="19"/>
      <c r="EKT21" s="19"/>
      <c r="EKU21" s="19"/>
      <c r="EKV21" s="19"/>
      <c r="EKW21" s="19"/>
      <c r="EKX21" s="19"/>
      <c r="EKY21" s="19"/>
      <c r="EKZ21" s="19"/>
      <c r="ELA21" s="19"/>
      <c r="ELB21" s="19"/>
      <c r="ELC21" s="19"/>
      <c r="ELD21" s="19"/>
      <c r="ELE21" s="19"/>
      <c r="ELF21" s="19"/>
      <c r="ELG21" s="19"/>
      <c r="ELH21" s="19"/>
      <c r="ELI21" s="19"/>
      <c r="ELJ21" s="19"/>
      <c r="ELK21" s="19"/>
      <c r="ELL21" s="19"/>
      <c r="ELM21" s="19"/>
      <c r="ELN21" s="19"/>
      <c r="ELO21" s="19"/>
      <c r="ELP21" s="19"/>
      <c r="ELQ21" s="19"/>
      <c r="ELR21" s="19"/>
      <c r="ELS21" s="19"/>
      <c r="ELT21" s="19"/>
      <c r="ELU21" s="19"/>
      <c r="ELV21" s="19"/>
      <c r="ELW21" s="19"/>
      <c r="ELX21" s="19"/>
      <c r="ELY21" s="19"/>
      <c r="ELZ21" s="19"/>
      <c r="EMA21" s="19"/>
      <c r="EMB21" s="19"/>
      <c r="EMC21" s="19"/>
      <c r="EMD21" s="19"/>
      <c r="EME21" s="19"/>
      <c r="EMF21" s="19"/>
      <c r="EMG21" s="19"/>
      <c r="EMH21" s="19"/>
      <c r="EMI21" s="19"/>
      <c r="EMJ21" s="19"/>
      <c r="EMK21" s="19"/>
      <c r="EML21" s="19"/>
      <c r="EMM21" s="19"/>
      <c r="EMN21" s="19"/>
      <c r="EMO21" s="19"/>
      <c r="EMP21" s="19"/>
      <c r="EMQ21" s="19"/>
      <c r="EMR21" s="19"/>
      <c r="EMS21" s="19"/>
      <c r="EMT21" s="19"/>
      <c r="EMU21" s="19"/>
      <c r="EMV21" s="19"/>
      <c r="EMW21" s="19"/>
      <c r="EMX21" s="19"/>
      <c r="EMY21" s="19"/>
      <c r="EMZ21" s="19"/>
      <c r="ENA21" s="19"/>
      <c r="ENB21" s="19"/>
      <c r="ENC21" s="19"/>
      <c r="END21" s="19"/>
      <c r="ENE21" s="19"/>
      <c r="ENF21" s="19"/>
      <c r="ENG21" s="19"/>
      <c r="ENH21" s="19"/>
      <c r="ENI21" s="19"/>
      <c r="ENJ21" s="19"/>
      <c r="ENK21" s="19"/>
      <c r="ENL21" s="19"/>
      <c r="ENM21" s="19"/>
      <c r="ENN21" s="19"/>
      <c r="ENO21" s="19"/>
      <c r="ENP21" s="19"/>
      <c r="ENQ21" s="19"/>
      <c r="ENR21" s="19"/>
      <c r="ENS21" s="19"/>
      <c r="ENT21" s="19"/>
      <c r="ENU21" s="19"/>
      <c r="ENV21" s="19"/>
      <c r="ENW21" s="19"/>
      <c r="ENX21" s="19"/>
      <c r="ENY21" s="19"/>
      <c r="ENZ21" s="19"/>
      <c r="EOA21" s="19"/>
      <c r="EOB21" s="19"/>
      <c r="EOC21" s="19"/>
      <c r="EOD21" s="19"/>
      <c r="EOE21" s="19"/>
      <c r="EOF21" s="19"/>
      <c r="EOG21" s="19"/>
      <c r="EOH21" s="19"/>
      <c r="EOI21" s="19"/>
      <c r="EOJ21" s="19"/>
      <c r="EOK21" s="19"/>
      <c r="EOL21" s="19"/>
      <c r="EOM21" s="19"/>
      <c r="EON21" s="19"/>
      <c r="EOO21" s="19"/>
      <c r="EOP21" s="19"/>
      <c r="EOQ21" s="19"/>
      <c r="EOR21" s="19"/>
      <c r="EOS21" s="19"/>
      <c r="EOT21" s="19"/>
      <c r="EOU21" s="19"/>
      <c r="EOV21" s="19"/>
      <c r="EOW21" s="19"/>
      <c r="EOX21" s="19"/>
      <c r="EOY21" s="19"/>
      <c r="EOZ21" s="19"/>
      <c r="EPA21" s="19"/>
      <c r="EPB21" s="19"/>
      <c r="EPC21" s="19"/>
      <c r="EPD21" s="19"/>
      <c r="EPE21" s="19"/>
      <c r="EPF21" s="19"/>
      <c r="EPG21" s="19"/>
      <c r="EPH21" s="19"/>
      <c r="EPI21" s="19"/>
      <c r="EPJ21" s="19"/>
      <c r="EPK21" s="19"/>
      <c r="EPL21" s="19"/>
      <c r="EPM21" s="19"/>
      <c r="EPN21" s="19"/>
      <c r="EPO21" s="19"/>
      <c r="EPP21" s="19"/>
      <c r="EPQ21" s="19"/>
      <c r="EPR21" s="19"/>
      <c r="EPS21" s="19"/>
      <c r="EPT21" s="19"/>
      <c r="EPU21" s="19"/>
      <c r="EPV21" s="19"/>
      <c r="EPW21" s="19"/>
      <c r="EPX21" s="19"/>
      <c r="EPY21" s="19"/>
      <c r="EPZ21" s="19"/>
      <c r="EQA21" s="19"/>
      <c r="EQB21" s="19"/>
      <c r="EQC21" s="19"/>
      <c r="EQD21" s="19"/>
      <c r="EQE21" s="19"/>
      <c r="EQF21" s="19"/>
      <c r="EQG21" s="19"/>
      <c r="EQH21" s="19"/>
      <c r="EQI21" s="19"/>
      <c r="EQJ21" s="19"/>
      <c r="EQK21" s="19"/>
      <c r="EQL21" s="19"/>
      <c r="EQM21" s="19"/>
      <c r="EQN21" s="19"/>
      <c r="EQO21" s="19"/>
      <c r="EQP21" s="19"/>
      <c r="EQQ21" s="19"/>
      <c r="EQR21" s="19"/>
      <c r="EQS21" s="19"/>
      <c r="EQT21" s="19"/>
      <c r="EQU21" s="19"/>
      <c r="EQV21" s="19"/>
      <c r="EQW21" s="19"/>
      <c r="EQX21" s="19"/>
      <c r="EQY21" s="19"/>
      <c r="EQZ21" s="19"/>
      <c r="ERA21" s="19"/>
      <c r="ERB21" s="19"/>
      <c r="ERC21" s="19"/>
      <c r="ERD21" s="19"/>
      <c r="ERE21" s="19"/>
      <c r="ERF21" s="19"/>
      <c r="ERG21" s="19"/>
      <c r="ERH21" s="19"/>
      <c r="ERI21" s="19"/>
      <c r="ERJ21" s="19"/>
      <c r="ERK21" s="19"/>
      <c r="ERL21" s="19"/>
      <c r="ERM21" s="19"/>
      <c r="ERN21" s="19"/>
      <c r="ERO21" s="19"/>
      <c r="ERP21" s="19"/>
      <c r="ERQ21" s="19"/>
      <c r="ERR21" s="19"/>
      <c r="ERS21" s="19"/>
      <c r="ERT21" s="19"/>
      <c r="ERU21" s="19"/>
      <c r="ERV21" s="19"/>
      <c r="ERW21" s="19"/>
      <c r="ERX21" s="19"/>
      <c r="ERY21" s="19"/>
      <c r="ERZ21" s="19"/>
      <c r="ESA21" s="19"/>
      <c r="ESB21" s="19"/>
      <c r="ESC21" s="19"/>
      <c r="ESD21" s="19"/>
      <c r="ESE21" s="19"/>
      <c r="ESF21" s="19"/>
      <c r="ESG21" s="19"/>
      <c r="ESH21" s="19"/>
      <c r="ESI21" s="19"/>
      <c r="ESJ21" s="19"/>
      <c r="ESK21" s="19"/>
      <c r="ESL21" s="19"/>
      <c r="ESM21" s="19"/>
      <c r="ESN21" s="19"/>
      <c r="ESO21" s="19"/>
      <c r="ESP21" s="19"/>
      <c r="ESQ21" s="19"/>
      <c r="ESR21" s="19"/>
      <c r="ESS21" s="19"/>
      <c r="EST21" s="19"/>
      <c r="ESU21" s="19"/>
      <c r="ESV21" s="19"/>
      <c r="ESW21" s="19"/>
      <c r="ESX21" s="19"/>
      <c r="ESY21" s="19"/>
      <c r="ESZ21" s="19"/>
      <c r="ETA21" s="19"/>
      <c r="ETB21" s="19"/>
      <c r="ETC21" s="19"/>
      <c r="ETD21" s="19"/>
      <c r="ETE21" s="19"/>
      <c r="ETF21" s="19"/>
      <c r="ETG21" s="19"/>
      <c r="ETH21" s="19"/>
      <c r="ETI21" s="19"/>
      <c r="ETJ21" s="19"/>
      <c r="ETK21" s="19"/>
      <c r="ETL21" s="19"/>
      <c r="ETM21" s="19"/>
      <c r="ETN21" s="19"/>
      <c r="ETO21" s="19"/>
      <c r="ETP21" s="19"/>
      <c r="ETQ21" s="19"/>
      <c r="ETR21" s="19"/>
      <c r="ETS21" s="19"/>
      <c r="ETT21" s="19"/>
      <c r="ETU21" s="19"/>
      <c r="ETV21" s="19"/>
      <c r="ETW21" s="19"/>
      <c r="ETX21" s="19"/>
      <c r="ETY21" s="19"/>
      <c r="ETZ21" s="19"/>
      <c r="EUA21" s="19"/>
      <c r="EUB21" s="19"/>
      <c r="EUC21" s="19"/>
      <c r="EUD21" s="19"/>
      <c r="EUE21" s="19"/>
      <c r="EUF21" s="19"/>
      <c r="EUG21" s="19"/>
      <c r="EUH21" s="19"/>
      <c r="EUI21" s="19"/>
      <c r="EUJ21" s="19"/>
      <c r="EUK21" s="19"/>
      <c r="EUL21" s="19"/>
      <c r="EUM21" s="19"/>
      <c r="EUN21" s="19"/>
      <c r="EUO21" s="19"/>
      <c r="EUP21" s="19"/>
      <c r="EUQ21" s="19"/>
      <c r="EUR21" s="19"/>
      <c r="EUS21" s="19"/>
      <c r="EUT21" s="19"/>
      <c r="EUU21" s="19"/>
      <c r="EUV21" s="19"/>
      <c r="EUW21" s="19"/>
      <c r="EUX21" s="19"/>
      <c r="EUY21" s="19"/>
      <c r="EUZ21" s="19"/>
      <c r="EVA21" s="19"/>
      <c r="EVB21" s="19"/>
      <c r="EVC21" s="19"/>
      <c r="EVD21" s="19"/>
      <c r="EVE21" s="19"/>
      <c r="EVF21" s="19"/>
      <c r="EVG21" s="19"/>
      <c r="EVH21" s="19"/>
      <c r="EVI21" s="19"/>
      <c r="EVJ21" s="19"/>
      <c r="EVK21" s="19"/>
      <c r="EVL21" s="19"/>
      <c r="EVM21" s="19"/>
      <c r="EVN21" s="19"/>
      <c r="EVO21" s="19"/>
      <c r="EVP21" s="19"/>
      <c r="EVQ21" s="19"/>
      <c r="EVR21" s="19"/>
      <c r="EVS21" s="19"/>
      <c r="EVT21" s="19"/>
      <c r="EVU21" s="19"/>
      <c r="EVV21" s="19"/>
      <c r="EVW21" s="19"/>
      <c r="EVX21" s="19"/>
      <c r="EVY21" s="19"/>
      <c r="EVZ21" s="19"/>
      <c r="EWA21" s="19"/>
      <c r="EWB21" s="19"/>
      <c r="EWC21" s="19"/>
      <c r="EWD21" s="19"/>
      <c r="EWE21" s="19"/>
      <c r="EWF21" s="19"/>
      <c r="EWG21" s="19"/>
      <c r="EWH21" s="19"/>
      <c r="EWI21" s="19"/>
      <c r="EWJ21" s="19"/>
      <c r="EWK21" s="19"/>
      <c r="EWL21" s="19"/>
      <c r="EWM21" s="19"/>
      <c r="EWN21" s="19"/>
      <c r="EWO21" s="19"/>
      <c r="EWP21" s="19"/>
      <c r="EWQ21" s="19"/>
      <c r="EWR21" s="19"/>
      <c r="EWS21" s="19"/>
      <c r="EWT21" s="19"/>
      <c r="EWU21" s="19"/>
      <c r="EWV21" s="19"/>
      <c r="EWW21" s="19"/>
      <c r="EWX21" s="19"/>
      <c r="EWY21" s="19"/>
      <c r="EWZ21" s="19"/>
      <c r="EXA21" s="19"/>
      <c r="EXB21" s="19"/>
      <c r="EXC21" s="19"/>
      <c r="EXD21" s="19"/>
      <c r="EXE21" s="19"/>
      <c r="EXF21" s="19"/>
      <c r="EXG21" s="19"/>
      <c r="EXH21" s="19"/>
      <c r="EXI21" s="19"/>
      <c r="EXJ21" s="19"/>
      <c r="EXK21" s="19"/>
      <c r="EXL21" s="19"/>
      <c r="EXM21" s="19"/>
      <c r="EXN21" s="19"/>
      <c r="EXO21" s="19"/>
      <c r="EXP21" s="19"/>
      <c r="EXQ21" s="19"/>
      <c r="EXR21" s="19"/>
      <c r="EXS21" s="19"/>
      <c r="EXT21" s="19"/>
      <c r="EXU21" s="19"/>
      <c r="EXV21" s="19"/>
      <c r="EXW21" s="19"/>
      <c r="EXX21" s="19"/>
      <c r="EXY21" s="19"/>
      <c r="EXZ21" s="19"/>
      <c r="EYA21" s="19"/>
      <c r="EYB21" s="19"/>
      <c r="EYC21" s="19"/>
      <c r="EYD21" s="19"/>
      <c r="EYE21" s="19"/>
      <c r="EYF21" s="19"/>
      <c r="EYG21" s="19"/>
      <c r="EYH21" s="19"/>
      <c r="EYI21" s="19"/>
      <c r="EYJ21" s="19"/>
      <c r="EYK21" s="19"/>
      <c r="EYL21" s="19"/>
      <c r="EYM21" s="19"/>
      <c r="EYN21" s="19"/>
      <c r="EYO21" s="19"/>
      <c r="EYP21" s="19"/>
      <c r="EYQ21" s="19"/>
      <c r="EYR21" s="19"/>
      <c r="EYS21" s="19"/>
      <c r="EYT21" s="19"/>
      <c r="EYU21" s="19"/>
      <c r="EYV21" s="19"/>
      <c r="EYW21" s="19"/>
      <c r="EYX21" s="19"/>
      <c r="EYY21" s="19"/>
      <c r="EYZ21" s="19"/>
      <c r="EZA21" s="19"/>
      <c r="EZB21" s="19"/>
      <c r="EZC21" s="19"/>
      <c r="EZD21" s="19"/>
      <c r="EZE21" s="19"/>
      <c r="EZF21" s="19"/>
      <c r="EZG21" s="19"/>
      <c r="EZH21" s="19"/>
      <c r="EZI21" s="19"/>
      <c r="EZJ21" s="19"/>
      <c r="EZK21" s="19"/>
      <c r="EZL21" s="19"/>
      <c r="EZM21" s="19"/>
      <c r="EZN21" s="19"/>
      <c r="EZO21" s="19"/>
      <c r="EZP21" s="19"/>
      <c r="EZQ21" s="19"/>
      <c r="EZR21" s="19"/>
      <c r="EZS21" s="19"/>
      <c r="EZT21" s="19"/>
      <c r="EZU21" s="19"/>
      <c r="EZV21" s="19"/>
      <c r="EZW21" s="19"/>
      <c r="EZX21" s="19"/>
      <c r="EZY21" s="19"/>
      <c r="EZZ21" s="19"/>
      <c r="FAA21" s="19"/>
      <c r="FAB21" s="19"/>
      <c r="FAC21" s="19"/>
      <c r="FAD21" s="19"/>
      <c r="FAE21" s="19"/>
      <c r="FAF21" s="19"/>
      <c r="FAG21" s="19"/>
      <c r="FAH21" s="19"/>
      <c r="FAI21" s="19"/>
      <c r="FAJ21" s="19"/>
      <c r="FAK21" s="19"/>
      <c r="FAL21" s="19"/>
      <c r="FAM21" s="19"/>
      <c r="FAN21" s="19"/>
      <c r="FAO21" s="19"/>
      <c r="FAP21" s="19"/>
      <c r="FAQ21" s="19"/>
      <c r="FAR21" s="19"/>
      <c r="FAS21" s="19"/>
      <c r="FAT21" s="19"/>
      <c r="FAU21" s="19"/>
      <c r="FAV21" s="19"/>
      <c r="FAW21" s="19"/>
      <c r="FAX21" s="19"/>
      <c r="FAY21" s="19"/>
      <c r="FAZ21" s="19"/>
      <c r="FBA21" s="19"/>
      <c r="FBB21" s="19"/>
      <c r="FBC21" s="19"/>
      <c r="FBD21" s="19"/>
      <c r="FBE21" s="19"/>
      <c r="FBF21" s="19"/>
      <c r="FBG21" s="19"/>
      <c r="FBH21" s="19"/>
      <c r="FBI21" s="19"/>
      <c r="FBJ21" s="19"/>
      <c r="FBK21" s="19"/>
      <c r="FBL21" s="19"/>
      <c r="FBM21" s="19"/>
      <c r="FBN21" s="19"/>
      <c r="FBO21" s="19"/>
      <c r="FBP21" s="19"/>
      <c r="FBQ21" s="19"/>
      <c r="FBR21" s="19"/>
      <c r="FBS21" s="19"/>
      <c r="FBT21" s="19"/>
      <c r="FBU21" s="19"/>
      <c r="FBV21" s="19"/>
      <c r="FBW21" s="19"/>
      <c r="FBX21" s="19"/>
      <c r="FBY21" s="19"/>
      <c r="FBZ21" s="19"/>
      <c r="FCA21" s="19"/>
      <c r="FCB21" s="19"/>
      <c r="FCC21" s="19"/>
      <c r="FCD21" s="19"/>
      <c r="FCE21" s="19"/>
      <c r="FCF21" s="19"/>
      <c r="FCG21" s="19"/>
      <c r="FCH21" s="19"/>
      <c r="FCI21" s="19"/>
      <c r="FCJ21" s="19"/>
      <c r="FCK21" s="19"/>
      <c r="FCL21" s="19"/>
      <c r="FCM21" s="19"/>
      <c r="FCN21" s="19"/>
      <c r="FCO21" s="19"/>
      <c r="FCP21" s="19"/>
      <c r="FCQ21" s="19"/>
      <c r="FCR21" s="19"/>
      <c r="FCS21" s="19"/>
      <c r="FCT21" s="19"/>
      <c r="FCU21" s="19"/>
      <c r="FCV21" s="19"/>
      <c r="FCW21" s="19"/>
      <c r="FCX21" s="19"/>
      <c r="FCY21" s="19"/>
      <c r="FCZ21" s="19"/>
      <c r="FDA21" s="19"/>
      <c r="FDB21" s="19"/>
      <c r="FDC21" s="19"/>
      <c r="FDD21" s="19"/>
      <c r="FDE21" s="19"/>
      <c r="FDF21" s="19"/>
      <c r="FDG21" s="19"/>
      <c r="FDH21" s="19"/>
      <c r="FDI21" s="19"/>
      <c r="FDJ21" s="19"/>
      <c r="FDK21" s="19"/>
      <c r="FDL21" s="19"/>
      <c r="FDM21" s="19"/>
      <c r="FDN21" s="19"/>
      <c r="FDO21" s="19"/>
      <c r="FDP21" s="19"/>
      <c r="FDQ21" s="19"/>
      <c r="FDR21" s="19"/>
      <c r="FDS21" s="19"/>
      <c r="FDT21" s="19"/>
      <c r="FDU21" s="19"/>
      <c r="FDV21" s="19"/>
      <c r="FDW21" s="19"/>
      <c r="FDX21" s="19"/>
      <c r="FDY21" s="19"/>
      <c r="FDZ21" s="19"/>
      <c r="FEA21" s="19"/>
      <c r="FEB21" s="19"/>
      <c r="FEC21" s="19"/>
      <c r="FED21" s="19"/>
      <c r="FEE21" s="19"/>
      <c r="FEF21" s="19"/>
      <c r="FEG21" s="19"/>
      <c r="FEH21" s="19"/>
      <c r="FEI21" s="19"/>
      <c r="FEJ21" s="19"/>
      <c r="FEK21" s="19"/>
      <c r="FEL21" s="19"/>
      <c r="FEM21" s="19"/>
      <c r="FEN21" s="19"/>
      <c r="FEO21" s="19"/>
      <c r="FEP21" s="19"/>
      <c r="FEQ21" s="19"/>
      <c r="FER21" s="19"/>
      <c r="FES21" s="19"/>
      <c r="FET21" s="19"/>
      <c r="FEU21" s="19"/>
      <c r="FEV21" s="19"/>
      <c r="FEW21" s="19"/>
      <c r="FEX21" s="19"/>
      <c r="FEY21" s="19"/>
      <c r="FEZ21" s="19"/>
      <c r="FFA21" s="19"/>
      <c r="FFB21" s="19"/>
      <c r="FFC21" s="19"/>
      <c r="FFD21" s="19"/>
      <c r="FFE21" s="19"/>
      <c r="FFF21" s="19"/>
      <c r="FFG21" s="19"/>
      <c r="FFH21" s="19"/>
      <c r="FFI21" s="19"/>
      <c r="FFJ21" s="19"/>
      <c r="FFK21" s="19"/>
      <c r="FFL21" s="19"/>
      <c r="FFM21" s="19"/>
      <c r="FFN21" s="19"/>
      <c r="FFO21" s="19"/>
      <c r="FFP21" s="19"/>
      <c r="FFQ21" s="19"/>
      <c r="FFR21" s="19"/>
      <c r="FFS21" s="19"/>
      <c r="FFT21" s="19"/>
      <c r="FFU21" s="19"/>
      <c r="FFV21" s="19"/>
      <c r="FFW21" s="19"/>
      <c r="FFX21" s="19"/>
      <c r="FFY21" s="19"/>
      <c r="FFZ21" s="19"/>
      <c r="FGA21" s="19"/>
      <c r="FGB21" s="19"/>
      <c r="FGC21" s="19"/>
      <c r="FGD21" s="19"/>
      <c r="FGE21" s="19"/>
      <c r="FGF21" s="19"/>
      <c r="FGG21" s="19"/>
      <c r="FGH21" s="19"/>
      <c r="FGI21" s="19"/>
      <c r="FGJ21" s="19"/>
      <c r="FGK21" s="19"/>
      <c r="FGL21" s="19"/>
      <c r="FGM21" s="19"/>
      <c r="FGN21" s="19"/>
      <c r="FGO21" s="19"/>
      <c r="FGP21" s="19"/>
      <c r="FGQ21" s="19"/>
      <c r="FGR21" s="19"/>
      <c r="FGS21" s="19"/>
      <c r="FGT21" s="19"/>
      <c r="FGU21" s="19"/>
      <c r="FGV21" s="19"/>
      <c r="FGW21" s="19"/>
      <c r="FGX21" s="19"/>
      <c r="FGY21" s="19"/>
      <c r="FGZ21" s="19"/>
      <c r="FHA21" s="19"/>
      <c r="FHB21" s="19"/>
      <c r="FHC21" s="19"/>
      <c r="FHD21" s="19"/>
      <c r="FHE21" s="19"/>
      <c r="FHF21" s="19"/>
      <c r="FHG21" s="19"/>
      <c r="FHH21" s="19"/>
      <c r="FHI21" s="19"/>
      <c r="FHJ21" s="19"/>
      <c r="FHK21" s="19"/>
      <c r="FHL21" s="19"/>
      <c r="FHM21" s="19"/>
      <c r="FHN21" s="19"/>
      <c r="FHO21" s="19"/>
      <c r="FHP21" s="19"/>
      <c r="FHQ21" s="19"/>
      <c r="FHR21" s="19"/>
      <c r="FHS21" s="19"/>
      <c r="FHT21" s="19"/>
      <c r="FHU21" s="19"/>
      <c r="FHV21" s="19"/>
      <c r="FHW21" s="19"/>
      <c r="FHX21" s="19"/>
      <c r="FHY21" s="19"/>
      <c r="FHZ21" s="19"/>
      <c r="FIA21" s="19"/>
      <c r="FIB21" s="19"/>
      <c r="FIC21" s="19"/>
      <c r="FID21" s="19"/>
      <c r="FIE21" s="19"/>
      <c r="FIF21" s="19"/>
      <c r="FIG21" s="19"/>
      <c r="FIH21" s="19"/>
      <c r="FII21" s="19"/>
      <c r="FIJ21" s="19"/>
      <c r="FIK21" s="19"/>
      <c r="FIL21" s="19"/>
      <c r="FIM21" s="19"/>
      <c r="FIN21" s="19"/>
      <c r="FIO21" s="19"/>
      <c r="FIP21" s="19"/>
      <c r="FIQ21" s="19"/>
      <c r="FIR21" s="19"/>
      <c r="FIS21" s="19"/>
      <c r="FIT21" s="19"/>
      <c r="FIU21" s="19"/>
      <c r="FIV21" s="19"/>
      <c r="FIW21" s="19"/>
      <c r="FIX21" s="19"/>
      <c r="FIY21" s="19"/>
      <c r="FIZ21" s="19"/>
      <c r="FJA21" s="19"/>
      <c r="FJB21" s="19"/>
      <c r="FJC21" s="19"/>
      <c r="FJD21" s="19"/>
      <c r="FJE21" s="19"/>
      <c r="FJF21" s="19"/>
      <c r="FJG21" s="19"/>
      <c r="FJH21" s="19"/>
      <c r="FJI21" s="19"/>
      <c r="FJJ21" s="19"/>
      <c r="FJK21" s="19"/>
      <c r="FJL21" s="19"/>
      <c r="FJM21" s="19"/>
      <c r="FJN21" s="19"/>
      <c r="FJO21" s="19"/>
      <c r="FJP21" s="19"/>
      <c r="FJQ21" s="19"/>
      <c r="FJR21" s="19"/>
      <c r="FJS21" s="19"/>
      <c r="FJT21" s="19"/>
      <c r="FJU21" s="19"/>
      <c r="FJV21" s="19"/>
      <c r="FJW21" s="19"/>
      <c r="FJX21" s="19"/>
      <c r="FJY21" s="19"/>
      <c r="FJZ21" s="19"/>
      <c r="FKA21" s="19"/>
      <c r="FKB21" s="19"/>
      <c r="FKC21" s="19"/>
      <c r="FKD21" s="19"/>
      <c r="FKE21" s="19"/>
      <c r="FKF21" s="19"/>
      <c r="FKG21" s="19"/>
      <c r="FKH21" s="19"/>
      <c r="FKI21" s="19"/>
      <c r="FKJ21" s="19"/>
      <c r="FKK21" s="19"/>
      <c r="FKL21" s="19"/>
      <c r="FKM21" s="19"/>
      <c r="FKN21" s="19"/>
      <c r="FKO21" s="19"/>
      <c r="FKP21" s="19"/>
      <c r="FKQ21" s="19"/>
      <c r="FKR21" s="19"/>
      <c r="FKS21" s="19"/>
      <c r="FKT21" s="19"/>
      <c r="FKU21" s="19"/>
      <c r="FKV21" s="19"/>
      <c r="FKW21" s="19"/>
      <c r="FKX21" s="19"/>
      <c r="FKY21" s="19"/>
      <c r="FKZ21" s="19"/>
      <c r="FLA21" s="19"/>
      <c r="FLB21" s="19"/>
      <c r="FLC21" s="19"/>
      <c r="FLD21" s="19"/>
      <c r="FLE21" s="19"/>
      <c r="FLF21" s="19"/>
      <c r="FLG21" s="19"/>
      <c r="FLH21" s="19"/>
      <c r="FLI21" s="19"/>
      <c r="FLJ21" s="19"/>
      <c r="FLK21" s="19"/>
      <c r="FLL21" s="19"/>
      <c r="FLM21" s="19"/>
      <c r="FLN21" s="19"/>
      <c r="FLO21" s="19"/>
      <c r="FLP21" s="19"/>
      <c r="FLQ21" s="19"/>
      <c r="FLR21" s="19"/>
      <c r="FLS21" s="19"/>
      <c r="FLT21" s="19"/>
      <c r="FLU21" s="19"/>
      <c r="FLV21" s="19"/>
      <c r="FLW21" s="19"/>
      <c r="FLX21" s="19"/>
      <c r="FLY21" s="19"/>
      <c r="FLZ21" s="19"/>
      <c r="FMA21" s="19"/>
      <c r="FMB21" s="19"/>
      <c r="FMC21" s="19"/>
      <c r="FMD21" s="19"/>
      <c r="FME21" s="19"/>
      <c r="FMF21" s="19"/>
      <c r="FMG21" s="19"/>
      <c r="FMH21" s="19"/>
      <c r="FMI21" s="19"/>
      <c r="FMJ21" s="19"/>
      <c r="FMK21" s="19"/>
      <c r="FML21" s="19"/>
      <c r="FMM21" s="19"/>
      <c r="FMN21" s="19"/>
      <c r="FMO21" s="19"/>
      <c r="FMP21" s="19"/>
      <c r="FMQ21" s="19"/>
      <c r="FMR21" s="19"/>
      <c r="FMS21" s="19"/>
      <c r="FMT21" s="19"/>
      <c r="FMU21" s="19"/>
      <c r="FMV21" s="19"/>
      <c r="FMW21" s="19"/>
      <c r="FMX21" s="19"/>
      <c r="FMY21" s="19"/>
      <c r="FMZ21" s="19"/>
      <c r="FNA21" s="19"/>
      <c r="FNB21" s="19"/>
      <c r="FNC21" s="19"/>
      <c r="FND21" s="19"/>
      <c r="FNE21" s="19"/>
      <c r="FNF21" s="19"/>
      <c r="FNG21" s="19"/>
      <c r="FNH21" s="19"/>
      <c r="FNI21" s="19"/>
      <c r="FNJ21" s="19"/>
      <c r="FNK21" s="19"/>
      <c r="FNL21" s="19"/>
      <c r="FNM21" s="19"/>
      <c r="FNN21" s="19"/>
      <c r="FNO21" s="19"/>
      <c r="FNP21" s="19"/>
      <c r="FNQ21" s="19"/>
      <c r="FNR21" s="19"/>
      <c r="FNS21" s="19"/>
      <c r="FNT21" s="19"/>
      <c r="FNU21" s="19"/>
      <c r="FNV21" s="19"/>
      <c r="FNW21" s="19"/>
      <c r="FNX21" s="19"/>
      <c r="FNY21" s="19"/>
      <c r="FNZ21" s="19"/>
      <c r="FOA21" s="19"/>
      <c r="FOB21" s="19"/>
      <c r="FOC21" s="19"/>
      <c r="FOD21" s="19"/>
      <c r="FOE21" s="19"/>
      <c r="FOF21" s="19"/>
      <c r="FOG21" s="19"/>
      <c r="FOH21" s="19"/>
      <c r="FOI21" s="19"/>
      <c r="FOJ21" s="19"/>
      <c r="FOK21" s="19"/>
      <c r="FOL21" s="19"/>
      <c r="FOM21" s="19"/>
      <c r="FON21" s="19"/>
      <c r="FOO21" s="19"/>
      <c r="FOP21" s="19"/>
      <c r="FOQ21" s="19"/>
      <c r="FOR21" s="19"/>
      <c r="FOS21" s="19"/>
      <c r="FOT21" s="19"/>
      <c r="FOU21" s="19"/>
      <c r="FOV21" s="19"/>
      <c r="FOW21" s="19"/>
      <c r="FOX21" s="19"/>
      <c r="FOY21" s="19"/>
      <c r="FOZ21" s="19"/>
      <c r="FPA21" s="19"/>
      <c r="FPB21" s="19"/>
      <c r="FPC21" s="19"/>
      <c r="FPD21" s="19"/>
      <c r="FPE21" s="19"/>
      <c r="FPF21" s="19"/>
      <c r="FPG21" s="19"/>
      <c r="FPH21" s="19"/>
      <c r="FPI21" s="19"/>
      <c r="FPJ21" s="19"/>
      <c r="FPK21" s="19"/>
      <c r="FPL21" s="19"/>
      <c r="FPM21" s="19"/>
      <c r="FPN21" s="19"/>
      <c r="FPO21" s="19"/>
      <c r="FPP21" s="19"/>
      <c r="FPQ21" s="19"/>
      <c r="FPR21" s="19"/>
      <c r="FPS21" s="19"/>
      <c r="FPT21" s="19"/>
      <c r="FPU21" s="19"/>
      <c r="FPV21" s="19"/>
      <c r="FPW21" s="19"/>
      <c r="FPX21" s="19"/>
      <c r="FPY21" s="19"/>
      <c r="FPZ21" s="19"/>
      <c r="FQA21" s="19"/>
      <c r="FQB21" s="19"/>
      <c r="FQC21" s="19"/>
      <c r="FQD21" s="19"/>
      <c r="FQE21" s="19"/>
      <c r="FQF21" s="19"/>
      <c r="FQG21" s="19"/>
      <c r="FQH21" s="19"/>
      <c r="FQI21" s="19"/>
      <c r="FQJ21" s="19"/>
      <c r="FQK21" s="19"/>
      <c r="FQL21" s="19"/>
      <c r="FQM21" s="19"/>
      <c r="FQN21" s="19"/>
      <c r="FQO21" s="19"/>
      <c r="FQP21" s="19"/>
      <c r="FQQ21" s="19"/>
      <c r="FQR21" s="19"/>
      <c r="FQS21" s="19"/>
      <c r="FQT21" s="19"/>
      <c r="FQU21" s="19"/>
      <c r="FQV21" s="19"/>
      <c r="FQW21" s="19"/>
      <c r="FQX21" s="19"/>
      <c r="FQY21" s="19"/>
      <c r="FQZ21" s="19"/>
      <c r="FRA21" s="19"/>
      <c r="FRB21" s="19"/>
      <c r="FRC21" s="19"/>
      <c r="FRD21" s="19"/>
      <c r="FRE21" s="19"/>
      <c r="FRF21" s="19"/>
      <c r="FRG21" s="19"/>
      <c r="FRH21" s="19"/>
      <c r="FRI21" s="19"/>
      <c r="FRJ21" s="19"/>
      <c r="FRK21" s="19"/>
      <c r="FRL21" s="19"/>
      <c r="FRM21" s="19"/>
      <c r="FRN21" s="19"/>
      <c r="FRO21" s="19"/>
      <c r="FRP21" s="19"/>
      <c r="FRQ21" s="19"/>
      <c r="FRR21" s="19"/>
      <c r="FRS21" s="19"/>
      <c r="FRT21" s="19"/>
      <c r="FRU21" s="19"/>
      <c r="FRV21" s="19"/>
      <c r="FRW21" s="19"/>
      <c r="FRX21" s="19"/>
      <c r="FRY21" s="19"/>
      <c r="FRZ21" s="19"/>
      <c r="FSA21" s="19"/>
      <c r="FSB21" s="19"/>
      <c r="FSC21" s="19"/>
      <c r="FSD21" s="19"/>
      <c r="FSE21" s="19"/>
      <c r="FSF21" s="19"/>
      <c r="FSG21" s="19"/>
      <c r="FSH21" s="19"/>
      <c r="FSI21" s="19"/>
      <c r="FSJ21" s="19"/>
      <c r="FSK21" s="19"/>
      <c r="FSL21" s="19"/>
      <c r="FSM21" s="19"/>
      <c r="FSN21" s="19"/>
      <c r="FSO21" s="19"/>
      <c r="FSP21" s="19"/>
      <c r="FSQ21" s="19"/>
      <c r="FSR21" s="19"/>
      <c r="FSS21" s="19"/>
      <c r="FST21" s="19"/>
      <c r="FSU21" s="19"/>
      <c r="FSV21" s="19"/>
      <c r="FSW21" s="19"/>
      <c r="FSX21" s="19"/>
      <c r="FSY21" s="19"/>
      <c r="FSZ21" s="19"/>
      <c r="FTA21" s="19"/>
      <c r="FTB21" s="19"/>
      <c r="FTC21" s="19"/>
      <c r="FTD21" s="19"/>
      <c r="FTE21" s="19"/>
      <c r="FTF21" s="19"/>
      <c r="FTG21" s="19"/>
      <c r="FTH21" s="19"/>
      <c r="FTI21" s="19"/>
      <c r="FTJ21" s="19"/>
      <c r="FTK21" s="19"/>
      <c r="FTL21" s="19"/>
      <c r="FTM21" s="19"/>
      <c r="FTN21" s="19"/>
      <c r="FTO21" s="19"/>
      <c r="FTP21" s="19"/>
      <c r="FTQ21" s="19"/>
      <c r="FTR21" s="19"/>
      <c r="FTS21" s="19"/>
      <c r="FTT21" s="19"/>
      <c r="FTU21" s="19"/>
      <c r="FTV21" s="19"/>
      <c r="FTW21" s="19"/>
      <c r="FTX21" s="19"/>
      <c r="FTY21" s="19"/>
      <c r="FTZ21" s="19"/>
      <c r="FUA21" s="19"/>
      <c r="FUB21" s="19"/>
      <c r="FUC21" s="19"/>
      <c r="FUD21" s="19"/>
      <c r="FUE21" s="19"/>
      <c r="FUF21" s="19"/>
      <c r="FUG21" s="19"/>
      <c r="FUH21" s="19"/>
      <c r="FUI21" s="19"/>
      <c r="FUJ21" s="19"/>
      <c r="FUK21" s="19"/>
      <c r="FUL21" s="19"/>
      <c r="FUM21" s="19"/>
      <c r="FUN21" s="19"/>
      <c r="FUO21" s="19"/>
      <c r="FUP21" s="19"/>
      <c r="FUQ21" s="19"/>
      <c r="FUR21" s="19"/>
      <c r="FUS21" s="19"/>
      <c r="FUT21" s="19"/>
      <c r="FUU21" s="19"/>
      <c r="FUV21" s="19"/>
      <c r="FUW21" s="19"/>
      <c r="FUX21" s="19"/>
      <c r="FUY21" s="19"/>
      <c r="FUZ21" s="19"/>
      <c r="FVA21" s="19"/>
      <c r="FVB21" s="19"/>
      <c r="FVC21" s="19"/>
      <c r="FVD21" s="19"/>
      <c r="FVE21" s="19"/>
      <c r="FVF21" s="19"/>
      <c r="FVG21" s="19"/>
      <c r="FVH21" s="19"/>
      <c r="FVI21" s="19"/>
      <c r="FVJ21" s="19"/>
      <c r="FVK21" s="19"/>
      <c r="FVL21" s="19"/>
      <c r="FVM21" s="19"/>
      <c r="FVN21" s="19"/>
      <c r="FVO21" s="19"/>
      <c r="FVP21" s="19"/>
      <c r="FVQ21" s="19"/>
      <c r="FVR21" s="19"/>
      <c r="FVS21" s="19"/>
      <c r="FVT21" s="19"/>
      <c r="FVU21" s="19"/>
      <c r="FVV21" s="19"/>
      <c r="FVW21" s="19"/>
      <c r="FVX21" s="19"/>
      <c r="FVY21" s="19"/>
      <c r="FVZ21" s="19"/>
      <c r="FWA21" s="19"/>
      <c r="FWB21" s="19"/>
      <c r="FWC21" s="19"/>
      <c r="FWD21" s="19"/>
      <c r="FWE21" s="19"/>
      <c r="FWF21" s="19"/>
      <c r="FWG21" s="19"/>
      <c r="FWH21" s="19"/>
      <c r="FWI21" s="19"/>
      <c r="FWJ21" s="19"/>
      <c r="FWK21" s="19"/>
      <c r="FWL21" s="19"/>
      <c r="FWM21" s="19"/>
      <c r="FWN21" s="19"/>
      <c r="FWO21" s="19"/>
      <c r="FWP21" s="19"/>
      <c r="FWQ21" s="19"/>
      <c r="FWR21" s="19"/>
      <c r="FWS21" s="19"/>
      <c r="FWT21" s="19"/>
      <c r="FWU21" s="19"/>
      <c r="FWV21" s="19"/>
      <c r="FWW21" s="19"/>
      <c r="FWX21" s="19"/>
      <c r="FWY21" s="19"/>
      <c r="FWZ21" s="19"/>
      <c r="FXA21" s="19"/>
      <c r="FXB21" s="19"/>
      <c r="FXC21" s="19"/>
      <c r="FXD21" s="19"/>
      <c r="FXE21" s="19"/>
      <c r="FXF21" s="19"/>
      <c r="FXG21" s="19"/>
      <c r="FXH21" s="19"/>
      <c r="FXI21" s="19"/>
      <c r="FXJ21" s="19"/>
      <c r="FXK21" s="19"/>
      <c r="FXL21" s="19"/>
      <c r="FXM21" s="19"/>
      <c r="FXN21" s="19"/>
      <c r="FXO21" s="19"/>
      <c r="FXP21" s="19"/>
      <c r="FXQ21" s="19"/>
      <c r="FXR21" s="19"/>
      <c r="FXS21" s="19"/>
      <c r="FXT21" s="19"/>
      <c r="FXU21" s="19"/>
      <c r="FXV21" s="19"/>
      <c r="FXW21" s="19"/>
      <c r="FXX21" s="19"/>
      <c r="FXY21" s="19"/>
      <c r="FXZ21" s="19"/>
      <c r="FYA21" s="19"/>
      <c r="FYB21" s="19"/>
      <c r="FYC21" s="19"/>
      <c r="FYD21" s="19"/>
      <c r="FYE21" s="19"/>
      <c r="FYF21" s="19"/>
      <c r="FYG21" s="19"/>
      <c r="FYH21" s="19"/>
      <c r="FYI21" s="19"/>
      <c r="FYJ21" s="19"/>
      <c r="FYK21" s="19"/>
      <c r="FYL21" s="19"/>
      <c r="FYM21" s="19"/>
      <c r="FYN21" s="19"/>
      <c r="FYO21" s="19"/>
      <c r="FYP21" s="19"/>
      <c r="FYQ21" s="19"/>
      <c r="FYR21" s="19"/>
      <c r="FYS21" s="19"/>
      <c r="FYT21" s="19"/>
      <c r="FYU21" s="19"/>
      <c r="FYV21" s="19"/>
      <c r="FYW21" s="19"/>
      <c r="FYX21" s="19"/>
      <c r="FYY21" s="19"/>
      <c r="FYZ21" s="19"/>
      <c r="FZA21" s="19"/>
      <c r="FZB21" s="19"/>
      <c r="FZC21" s="19"/>
      <c r="FZD21" s="19"/>
      <c r="FZE21" s="19"/>
      <c r="FZF21" s="19"/>
      <c r="FZG21" s="19"/>
      <c r="FZH21" s="19"/>
      <c r="FZI21" s="19"/>
      <c r="FZJ21" s="19"/>
      <c r="FZK21" s="19"/>
      <c r="FZL21" s="19"/>
      <c r="FZM21" s="19"/>
      <c r="FZN21" s="19"/>
      <c r="FZO21" s="19"/>
      <c r="FZP21" s="19"/>
      <c r="FZQ21" s="19"/>
      <c r="FZR21" s="19"/>
      <c r="FZS21" s="19"/>
      <c r="FZT21" s="19"/>
      <c r="FZU21" s="19"/>
      <c r="FZV21" s="19"/>
      <c r="FZW21" s="19"/>
      <c r="FZX21" s="19"/>
      <c r="FZY21" s="19"/>
      <c r="FZZ21" s="19"/>
      <c r="GAA21" s="19"/>
      <c r="GAB21" s="19"/>
      <c r="GAC21" s="19"/>
      <c r="GAD21" s="19"/>
      <c r="GAE21" s="19"/>
      <c r="GAF21" s="19"/>
      <c r="GAG21" s="19"/>
      <c r="GAH21" s="19"/>
      <c r="GAI21" s="19"/>
      <c r="GAJ21" s="19"/>
      <c r="GAK21" s="19"/>
      <c r="GAL21" s="19"/>
      <c r="GAM21" s="19"/>
      <c r="GAN21" s="19"/>
      <c r="GAO21" s="19"/>
      <c r="GAP21" s="19"/>
      <c r="GAQ21" s="19"/>
      <c r="GAR21" s="19"/>
      <c r="GAS21" s="19"/>
      <c r="GAT21" s="19"/>
      <c r="GAU21" s="19"/>
      <c r="GAV21" s="19"/>
      <c r="GAW21" s="19"/>
      <c r="GAX21" s="19"/>
      <c r="GAY21" s="19"/>
      <c r="GAZ21" s="19"/>
      <c r="GBA21" s="19"/>
      <c r="GBB21" s="19"/>
      <c r="GBC21" s="19"/>
      <c r="GBD21" s="19"/>
      <c r="GBE21" s="19"/>
      <c r="GBF21" s="19"/>
      <c r="GBG21" s="19"/>
      <c r="GBH21" s="19"/>
      <c r="GBI21" s="19"/>
      <c r="GBJ21" s="19"/>
      <c r="GBK21" s="19"/>
      <c r="GBL21" s="19"/>
      <c r="GBM21" s="19"/>
      <c r="GBN21" s="19"/>
      <c r="GBO21" s="19"/>
      <c r="GBP21" s="19"/>
      <c r="GBQ21" s="19"/>
      <c r="GBR21" s="19"/>
      <c r="GBS21" s="19"/>
      <c r="GBT21" s="19"/>
      <c r="GBU21" s="19"/>
      <c r="GBV21" s="19"/>
      <c r="GBW21" s="19"/>
      <c r="GBX21" s="19"/>
      <c r="GBY21" s="19"/>
      <c r="GBZ21" s="19"/>
      <c r="GCA21" s="19"/>
      <c r="GCB21" s="19"/>
      <c r="GCC21" s="19"/>
      <c r="GCD21" s="19"/>
      <c r="GCE21" s="19"/>
      <c r="GCF21" s="19"/>
      <c r="GCG21" s="19"/>
      <c r="GCH21" s="19"/>
      <c r="GCI21" s="19"/>
      <c r="GCJ21" s="19"/>
      <c r="GCK21" s="19"/>
      <c r="GCL21" s="19"/>
      <c r="GCM21" s="19"/>
      <c r="GCN21" s="19"/>
      <c r="GCO21" s="19"/>
      <c r="GCP21" s="19"/>
      <c r="GCQ21" s="19"/>
      <c r="GCR21" s="19"/>
      <c r="GCS21" s="19"/>
      <c r="GCT21" s="19"/>
      <c r="GCU21" s="19"/>
      <c r="GCV21" s="19"/>
      <c r="GCW21" s="19"/>
      <c r="GCX21" s="19"/>
      <c r="GCY21" s="19"/>
      <c r="GCZ21" s="19"/>
      <c r="GDA21" s="19"/>
      <c r="GDB21" s="19"/>
      <c r="GDC21" s="19"/>
      <c r="GDD21" s="19"/>
      <c r="GDE21" s="19"/>
      <c r="GDF21" s="19"/>
      <c r="GDG21" s="19"/>
      <c r="GDH21" s="19"/>
      <c r="GDI21" s="19"/>
      <c r="GDJ21" s="19"/>
      <c r="GDK21" s="19"/>
      <c r="GDL21" s="19"/>
      <c r="GDM21" s="19"/>
      <c r="GDN21" s="19"/>
      <c r="GDO21" s="19"/>
      <c r="GDP21" s="19"/>
      <c r="GDQ21" s="19"/>
      <c r="GDR21" s="19"/>
      <c r="GDS21" s="19"/>
      <c r="GDT21" s="19"/>
      <c r="GDU21" s="19"/>
      <c r="GDV21" s="19"/>
      <c r="GDW21" s="19"/>
      <c r="GDX21" s="19"/>
      <c r="GDY21" s="19"/>
      <c r="GDZ21" s="19"/>
      <c r="GEA21" s="19"/>
      <c r="GEB21" s="19"/>
      <c r="GEC21" s="19"/>
      <c r="GED21" s="19"/>
      <c r="GEE21" s="19"/>
      <c r="GEF21" s="19"/>
      <c r="GEG21" s="19"/>
      <c r="GEH21" s="19"/>
      <c r="GEI21" s="19"/>
      <c r="GEJ21" s="19"/>
      <c r="GEK21" s="19"/>
      <c r="GEL21" s="19"/>
      <c r="GEM21" s="19"/>
      <c r="GEN21" s="19"/>
      <c r="GEO21" s="19"/>
      <c r="GEP21" s="19"/>
      <c r="GEQ21" s="19"/>
      <c r="GER21" s="19"/>
      <c r="GES21" s="19"/>
      <c r="GET21" s="19"/>
      <c r="GEU21" s="19"/>
      <c r="GEV21" s="19"/>
      <c r="GEW21" s="19"/>
      <c r="GEX21" s="19"/>
      <c r="GEY21" s="19"/>
      <c r="GEZ21" s="19"/>
      <c r="GFA21" s="19"/>
      <c r="GFB21" s="19"/>
      <c r="GFC21" s="19"/>
      <c r="GFD21" s="19"/>
      <c r="GFE21" s="19"/>
      <c r="GFF21" s="19"/>
      <c r="GFG21" s="19"/>
      <c r="GFH21" s="19"/>
      <c r="GFI21" s="19"/>
      <c r="GFJ21" s="19"/>
      <c r="GFK21" s="19"/>
      <c r="GFL21" s="19"/>
      <c r="GFM21" s="19"/>
      <c r="GFN21" s="19"/>
      <c r="GFO21" s="19"/>
      <c r="GFP21" s="19"/>
      <c r="GFQ21" s="19"/>
      <c r="GFR21" s="19"/>
      <c r="GFS21" s="19"/>
      <c r="GFT21" s="19"/>
      <c r="GFU21" s="19"/>
      <c r="GFV21" s="19"/>
      <c r="GFW21" s="19"/>
      <c r="GFX21" s="19"/>
      <c r="GFY21" s="19"/>
      <c r="GFZ21" s="19"/>
      <c r="GGA21" s="19"/>
      <c r="GGB21" s="19"/>
      <c r="GGC21" s="19"/>
      <c r="GGD21" s="19"/>
      <c r="GGE21" s="19"/>
      <c r="GGF21" s="19"/>
      <c r="GGG21" s="19"/>
      <c r="GGH21" s="19"/>
      <c r="GGI21" s="19"/>
      <c r="GGJ21" s="19"/>
      <c r="GGK21" s="19"/>
      <c r="GGL21" s="19"/>
      <c r="GGM21" s="19"/>
      <c r="GGN21" s="19"/>
      <c r="GGO21" s="19"/>
      <c r="GGP21" s="19"/>
      <c r="GGQ21" s="19"/>
      <c r="GGR21" s="19"/>
      <c r="GGS21" s="19"/>
      <c r="GGT21" s="19"/>
      <c r="GGU21" s="19"/>
      <c r="GGV21" s="19"/>
      <c r="GGW21" s="19"/>
      <c r="GGX21" s="19"/>
      <c r="GGY21" s="19"/>
      <c r="GGZ21" s="19"/>
      <c r="GHA21" s="19"/>
      <c r="GHB21" s="19"/>
      <c r="GHC21" s="19"/>
      <c r="GHD21" s="19"/>
      <c r="GHE21" s="19"/>
      <c r="GHF21" s="19"/>
      <c r="GHG21" s="19"/>
      <c r="GHH21" s="19"/>
      <c r="GHI21" s="19"/>
      <c r="GHJ21" s="19"/>
      <c r="GHK21" s="19"/>
      <c r="GHL21" s="19"/>
      <c r="GHM21" s="19"/>
      <c r="GHN21" s="19"/>
      <c r="GHO21" s="19"/>
      <c r="GHP21" s="19"/>
      <c r="GHQ21" s="19"/>
      <c r="GHR21" s="19"/>
      <c r="GHS21" s="19"/>
      <c r="GHT21" s="19"/>
      <c r="GHU21" s="19"/>
      <c r="GHV21" s="19"/>
      <c r="GHW21" s="19"/>
      <c r="GHX21" s="19"/>
      <c r="GHY21" s="19"/>
      <c r="GHZ21" s="19"/>
      <c r="GIA21" s="19"/>
      <c r="GIB21" s="19"/>
      <c r="GIC21" s="19"/>
      <c r="GID21" s="19"/>
      <c r="GIE21" s="19"/>
      <c r="GIF21" s="19"/>
      <c r="GIG21" s="19"/>
      <c r="GIH21" s="19"/>
      <c r="GII21" s="19"/>
      <c r="GIJ21" s="19"/>
      <c r="GIK21" s="19"/>
      <c r="GIL21" s="19"/>
      <c r="GIM21" s="19"/>
      <c r="GIN21" s="19"/>
      <c r="GIO21" s="19"/>
      <c r="GIP21" s="19"/>
      <c r="GIQ21" s="19"/>
      <c r="GIR21" s="19"/>
      <c r="GIS21" s="19"/>
      <c r="GIT21" s="19"/>
      <c r="GIU21" s="19"/>
      <c r="GIV21" s="19"/>
      <c r="GIW21" s="19"/>
      <c r="GIX21" s="19"/>
      <c r="GIY21" s="19"/>
      <c r="GIZ21" s="19"/>
      <c r="GJA21" s="19"/>
      <c r="GJB21" s="19"/>
      <c r="GJC21" s="19"/>
      <c r="GJD21" s="19"/>
      <c r="GJE21" s="19"/>
      <c r="GJF21" s="19"/>
      <c r="GJG21" s="19"/>
      <c r="GJH21" s="19"/>
      <c r="GJI21" s="19"/>
      <c r="GJJ21" s="19"/>
      <c r="GJK21" s="19"/>
      <c r="GJL21" s="19"/>
      <c r="GJM21" s="19"/>
      <c r="GJN21" s="19"/>
      <c r="GJO21" s="19"/>
      <c r="GJP21" s="19"/>
      <c r="GJQ21" s="19"/>
      <c r="GJR21" s="19"/>
      <c r="GJS21" s="19"/>
      <c r="GJT21" s="19"/>
      <c r="GJU21" s="19"/>
      <c r="GJV21" s="19"/>
      <c r="GJW21" s="19"/>
      <c r="GJX21" s="19"/>
      <c r="GJY21" s="19"/>
      <c r="GJZ21" s="19"/>
      <c r="GKA21" s="19"/>
      <c r="GKB21" s="19"/>
      <c r="GKC21" s="19"/>
      <c r="GKD21" s="19"/>
      <c r="GKE21" s="19"/>
      <c r="GKF21" s="19"/>
      <c r="GKG21" s="19"/>
      <c r="GKH21" s="19"/>
      <c r="GKI21" s="19"/>
      <c r="GKJ21" s="19"/>
      <c r="GKK21" s="19"/>
      <c r="GKL21" s="19"/>
      <c r="GKM21" s="19"/>
      <c r="GKN21" s="19"/>
      <c r="GKO21" s="19"/>
      <c r="GKP21" s="19"/>
      <c r="GKQ21" s="19"/>
      <c r="GKR21" s="19"/>
      <c r="GKS21" s="19"/>
      <c r="GKT21" s="19"/>
      <c r="GKU21" s="19"/>
      <c r="GKV21" s="19"/>
      <c r="GKW21" s="19"/>
      <c r="GKX21" s="19"/>
      <c r="GKY21" s="19"/>
      <c r="GKZ21" s="19"/>
      <c r="GLA21" s="19"/>
      <c r="GLB21" s="19"/>
      <c r="GLC21" s="19"/>
      <c r="GLD21" s="19"/>
      <c r="GLE21" s="19"/>
      <c r="GLF21" s="19"/>
      <c r="GLG21" s="19"/>
      <c r="GLH21" s="19"/>
      <c r="GLI21" s="19"/>
      <c r="GLJ21" s="19"/>
      <c r="GLK21" s="19"/>
      <c r="GLL21" s="19"/>
      <c r="GLM21" s="19"/>
      <c r="GLN21" s="19"/>
      <c r="GLO21" s="19"/>
      <c r="GLP21" s="19"/>
      <c r="GLQ21" s="19"/>
      <c r="GLR21" s="19"/>
      <c r="GLS21" s="19"/>
      <c r="GLT21" s="19"/>
      <c r="GLU21" s="19"/>
      <c r="GLV21" s="19"/>
      <c r="GLW21" s="19"/>
      <c r="GLX21" s="19"/>
      <c r="GLY21" s="19"/>
      <c r="GLZ21" s="19"/>
      <c r="GMA21" s="19"/>
      <c r="GMB21" s="19"/>
      <c r="GMC21" s="19"/>
      <c r="GMD21" s="19"/>
      <c r="GME21" s="19"/>
      <c r="GMF21" s="19"/>
      <c r="GMG21" s="19"/>
      <c r="GMH21" s="19"/>
      <c r="GMI21" s="19"/>
      <c r="GMJ21" s="19"/>
      <c r="GMK21" s="19"/>
      <c r="GML21" s="19"/>
      <c r="GMM21" s="19"/>
      <c r="GMN21" s="19"/>
      <c r="GMO21" s="19"/>
      <c r="GMP21" s="19"/>
      <c r="GMQ21" s="19"/>
      <c r="GMR21" s="19"/>
      <c r="GMS21" s="19"/>
      <c r="GMT21" s="19"/>
      <c r="GMU21" s="19"/>
      <c r="GMV21" s="19"/>
      <c r="GMW21" s="19"/>
      <c r="GMX21" s="19"/>
      <c r="GMY21" s="19"/>
      <c r="GMZ21" s="19"/>
      <c r="GNA21" s="19"/>
      <c r="GNB21" s="19"/>
      <c r="GNC21" s="19"/>
      <c r="GND21" s="19"/>
      <c r="GNE21" s="19"/>
      <c r="GNF21" s="19"/>
      <c r="GNG21" s="19"/>
      <c r="GNH21" s="19"/>
      <c r="GNI21" s="19"/>
      <c r="GNJ21" s="19"/>
      <c r="GNK21" s="19"/>
      <c r="GNL21" s="19"/>
      <c r="GNM21" s="19"/>
      <c r="GNN21" s="19"/>
      <c r="GNO21" s="19"/>
      <c r="GNP21" s="19"/>
      <c r="GNQ21" s="19"/>
      <c r="GNR21" s="19"/>
      <c r="GNS21" s="19"/>
      <c r="GNT21" s="19"/>
      <c r="GNU21" s="19"/>
      <c r="GNV21" s="19"/>
      <c r="GNW21" s="19"/>
      <c r="GNX21" s="19"/>
      <c r="GNY21" s="19"/>
      <c r="GNZ21" s="19"/>
      <c r="GOA21" s="19"/>
      <c r="GOB21" s="19"/>
      <c r="GOC21" s="19"/>
      <c r="GOD21" s="19"/>
      <c r="GOE21" s="19"/>
      <c r="GOF21" s="19"/>
      <c r="GOG21" s="19"/>
      <c r="GOH21" s="19"/>
      <c r="GOI21" s="19"/>
      <c r="GOJ21" s="19"/>
      <c r="GOK21" s="19"/>
      <c r="GOL21" s="19"/>
      <c r="GOM21" s="19"/>
      <c r="GON21" s="19"/>
      <c r="GOO21" s="19"/>
      <c r="GOP21" s="19"/>
      <c r="GOQ21" s="19"/>
      <c r="GOR21" s="19"/>
      <c r="GOS21" s="19"/>
      <c r="GOT21" s="19"/>
      <c r="GOU21" s="19"/>
      <c r="GOV21" s="19"/>
      <c r="GOW21" s="19"/>
      <c r="GOX21" s="19"/>
      <c r="GOY21" s="19"/>
      <c r="GOZ21" s="19"/>
      <c r="GPA21" s="19"/>
      <c r="GPB21" s="19"/>
      <c r="GPC21" s="19"/>
      <c r="GPD21" s="19"/>
      <c r="GPE21" s="19"/>
      <c r="GPF21" s="19"/>
      <c r="GPG21" s="19"/>
      <c r="GPH21" s="19"/>
      <c r="GPI21" s="19"/>
      <c r="GPJ21" s="19"/>
      <c r="GPK21" s="19"/>
      <c r="GPL21" s="19"/>
      <c r="GPM21" s="19"/>
      <c r="GPN21" s="19"/>
      <c r="GPO21" s="19"/>
      <c r="GPP21" s="19"/>
      <c r="GPQ21" s="19"/>
      <c r="GPR21" s="19"/>
      <c r="GPS21" s="19"/>
      <c r="GPT21" s="19"/>
      <c r="GPU21" s="19"/>
      <c r="GPV21" s="19"/>
      <c r="GPW21" s="19"/>
      <c r="GPX21" s="19"/>
      <c r="GPY21" s="19"/>
      <c r="GPZ21" s="19"/>
      <c r="GQA21" s="19"/>
      <c r="GQB21" s="19"/>
      <c r="GQC21" s="19"/>
      <c r="GQD21" s="19"/>
      <c r="GQE21" s="19"/>
      <c r="GQF21" s="19"/>
      <c r="GQG21" s="19"/>
      <c r="GQH21" s="19"/>
      <c r="GQI21" s="19"/>
      <c r="GQJ21" s="19"/>
      <c r="GQK21" s="19"/>
      <c r="GQL21" s="19"/>
      <c r="GQM21" s="19"/>
      <c r="GQN21" s="19"/>
      <c r="GQO21" s="19"/>
      <c r="GQP21" s="19"/>
      <c r="GQQ21" s="19"/>
      <c r="GQR21" s="19"/>
      <c r="GQS21" s="19"/>
      <c r="GQT21" s="19"/>
      <c r="GQU21" s="19"/>
      <c r="GQV21" s="19"/>
      <c r="GQW21" s="19"/>
      <c r="GQX21" s="19"/>
      <c r="GQY21" s="19"/>
      <c r="GQZ21" s="19"/>
      <c r="GRA21" s="19"/>
      <c r="GRB21" s="19"/>
      <c r="GRC21" s="19"/>
      <c r="GRD21" s="19"/>
      <c r="GRE21" s="19"/>
      <c r="GRF21" s="19"/>
      <c r="GRG21" s="19"/>
      <c r="GRH21" s="19"/>
      <c r="GRI21" s="19"/>
      <c r="GRJ21" s="19"/>
      <c r="GRK21" s="19"/>
      <c r="GRL21" s="19"/>
      <c r="GRM21" s="19"/>
      <c r="GRN21" s="19"/>
      <c r="GRO21" s="19"/>
      <c r="GRP21" s="19"/>
      <c r="GRQ21" s="19"/>
      <c r="GRR21" s="19"/>
      <c r="GRS21" s="19"/>
      <c r="GRT21" s="19"/>
      <c r="GRU21" s="19"/>
      <c r="GRV21" s="19"/>
      <c r="GRW21" s="19"/>
      <c r="GRX21" s="19"/>
      <c r="GRY21" s="19"/>
      <c r="GRZ21" s="19"/>
      <c r="GSA21" s="19"/>
      <c r="GSB21" s="19"/>
      <c r="GSC21" s="19"/>
      <c r="GSD21" s="19"/>
      <c r="GSE21" s="19"/>
      <c r="GSF21" s="19"/>
      <c r="GSG21" s="19"/>
      <c r="GSH21" s="19"/>
      <c r="GSI21" s="19"/>
      <c r="GSJ21" s="19"/>
      <c r="GSK21" s="19"/>
      <c r="GSL21" s="19"/>
      <c r="GSM21" s="19"/>
      <c r="GSN21" s="19"/>
      <c r="GSO21" s="19"/>
      <c r="GSP21" s="19"/>
      <c r="GSQ21" s="19"/>
      <c r="GSR21" s="19"/>
      <c r="GSS21" s="19"/>
      <c r="GST21" s="19"/>
      <c r="GSU21" s="19"/>
      <c r="GSV21" s="19"/>
      <c r="GSW21" s="19"/>
      <c r="GSX21" s="19"/>
      <c r="GSY21" s="19"/>
      <c r="GSZ21" s="19"/>
      <c r="GTA21" s="19"/>
      <c r="GTB21" s="19"/>
      <c r="GTC21" s="19"/>
      <c r="GTD21" s="19"/>
      <c r="GTE21" s="19"/>
      <c r="GTF21" s="19"/>
      <c r="GTG21" s="19"/>
      <c r="GTH21" s="19"/>
      <c r="GTI21" s="19"/>
      <c r="GTJ21" s="19"/>
      <c r="GTK21" s="19"/>
      <c r="GTL21" s="19"/>
      <c r="GTM21" s="19"/>
      <c r="GTN21" s="19"/>
      <c r="GTO21" s="19"/>
      <c r="GTP21" s="19"/>
      <c r="GTQ21" s="19"/>
      <c r="GTR21" s="19"/>
      <c r="GTS21" s="19"/>
      <c r="GTT21" s="19"/>
      <c r="GTU21" s="19"/>
      <c r="GTV21" s="19"/>
      <c r="GTW21" s="19"/>
      <c r="GTX21" s="19"/>
      <c r="GTY21" s="19"/>
      <c r="GTZ21" s="19"/>
      <c r="GUA21" s="19"/>
      <c r="GUB21" s="19"/>
      <c r="GUC21" s="19"/>
      <c r="GUD21" s="19"/>
      <c r="GUE21" s="19"/>
      <c r="GUF21" s="19"/>
      <c r="GUG21" s="19"/>
      <c r="GUH21" s="19"/>
      <c r="GUI21" s="19"/>
      <c r="GUJ21" s="19"/>
      <c r="GUK21" s="19"/>
      <c r="GUL21" s="19"/>
      <c r="GUM21" s="19"/>
      <c r="GUN21" s="19"/>
      <c r="GUO21" s="19"/>
      <c r="GUP21" s="19"/>
      <c r="GUQ21" s="19"/>
      <c r="GUR21" s="19"/>
      <c r="GUS21" s="19"/>
      <c r="GUT21" s="19"/>
      <c r="GUU21" s="19"/>
      <c r="GUV21" s="19"/>
      <c r="GUW21" s="19"/>
      <c r="GUX21" s="19"/>
      <c r="GUY21" s="19"/>
      <c r="GUZ21" s="19"/>
      <c r="GVA21" s="19"/>
      <c r="GVB21" s="19"/>
      <c r="GVC21" s="19"/>
      <c r="GVD21" s="19"/>
      <c r="GVE21" s="19"/>
      <c r="GVF21" s="19"/>
      <c r="GVG21" s="19"/>
      <c r="GVH21" s="19"/>
      <c r="GVI21" s="19"/>
      <c r="GVJ21" s="19"/>
      <c r="GVK21" s="19"/>
      <c r="GVL21" s="19"/>
      <c r="GVM21" s="19"/>
      <c r="GVN21" s="19"/>
      <c r="GVO21" s="19"/>
      <c r="GVP21" s="19"/>
      <c r="GVQ21" s="19"/>
      <c r="GVR21" s="19"/>
      <c r="GVS21" s="19"/>
      <c r="GVT21" s="19"/>
      <c r="GVU21" s="19"/>
      <c r="GVV21" s="19"/>
      <c r="GVW21" s="19"/>
      <c r="GVX21" s="19"/>
      <c r="GVY21" s="19"/>
      <c r="GVZ21" s="19"/>
      <c r="GWA21" s="19"/>
      <c r="GWB21" s="19"/>
      <c r="GWC21" s="19"/>
      <c r="GWD21" s="19"/>
      <c r="GWE21" s="19"/>
      <c r="GWF21" s="19"/>
      <c r="GWG21" s="19"/>
      <c r="GWH21" s="19"/>
      <c r="GWI21" s="19"/>
      <c r="GWJ21" s="19"/>
      <c r="GWK21" s="19"/>
      <c r="GWL21" s="19"/>
      <c r="GWM21" s="19"/>
      <c r="GWN21" s="19"/>
      <c r="GWO21" s="19"/>
      <c r="GWP21" s="19"/>
      <c r="GWQ21" s="19"/>
      <c r="GWR21" s="19"/>
      <c r="GWS21" s="19"/>
      <c r="GWT21" s="19"/>
      <c r="GWU21" s="19"/>
      <c r="GWV21" s="19"/>
      <c r="GWW21" s="19"/>
      <c r="GWX21" s="19"/>
      <c r="GWY21" s="19"/>
      <c r="GWZ21" s="19"/>
      <c r="GXA21" s="19"/>
      <c r="GXB21" s="19"/>
      <c r="GXC21" s="19"/>
      <c r="GXD21" s="19"/>
      <c r="GXE21" s="19"/>
      <c r="GXF21" s="19"/>
      <c r="GXG21" s="19"/>
      <c r="GXH21" s="19"/>
      <c r="GXI21" s="19"/>
      <c r="GXJ21" s="19"/>
      <c r="GXK21" s="19"/>
      <c r="GXL21" s="19"/>
      <c r="GXM21" s="19"/>
      <c r="GXN21" s="19"/>
      <c r="GXO21" s="19"/>
      <c r="GXP21" s="19"/>
      <c r="GXQ21" s="19"/>
      <c r="GXR21" s="19"/>
      <c r="GXS21" s="19"/>
      <c r="GXT21" s="19"/>
      <c r="GXU21" s="19"/>
      <c r="GXV21" s="19"/>
      <c r="GXW21" s="19"/>
      <c r="GXX21" s="19"/>
      <c r="GXY21" s="19"/>
      <c r="GXZ21" s="19"/>
      <c r="GYA21" s="19"/>
      <c r="GYB21" s="19"/>
      <c r="GYC21" s="19"/>
      <c r="GYD21" s="19"/>
      <c r="GYE21" s="19"/>
      <c r="GYF21" s="19"/>
      <c r="GYG21" s="19"/>
      <c r="GYH21" s="19"/>
      <c r="GYI21" s="19"/>
      <c r="GYJ21" s="19"/>
      <c r="GYK21" s="19"/>
      <c r="GYL21" s="19"/>
      <c r="GYM21" s="19"/>
      <c r="GYN21" s="19"/>
      <c r="GYO21" s="19"/>
      <c r="GYP21" s="19"/>
      <c r="GYQ21" s="19"/>
      <c r="GYR21" s="19"/>
      <c r="GYS21" s="19"/>
      <c r="GYT21" s="19"/>
      <c r="GYU21" s="19"/>
      <c r="GYV21" s="19"/>
      <c r="GYW21" s="19"/>
      <c r="GYX21" s="19"/>
      <c r="GYY21" s="19"/>
      <c r="GYZ21" s="19"/>
      <c r="GZA21" s="19"/>
      <c r="GZB21" s="19"/>
      <c r="GZC21" s="19"/>
      <c r="GZD21" s="19"/>
      <c r="GZE21" s="19"/>
      <c r="GZF21" s="19"/>
      <c r="GZG21" s="19"/>
      <c r="GZH21" s="19"/>
      <c r="GZI21" s="19"/>
      <c r="GZJ21" s="19"/>
      <c r="GZK21" s="19"/>
      <c r="GZL21" s="19"/>
      <c r="GZM21" s="19"/>
      <c r="GZN21" s="19"/>
      <c r="GZO21" s="19"/>
      <c r="GZP21" s="19"/>
      <c r="GZQ21" s="19"/>
      <c r="GZR21" s="19"/>
      <c r="GZS21" s="19"/>
      <c r="GZT21" s="19"/>
      <c r="GZU21" s="19"/>
      <c r="GZV21" s="19"/>
      <c r="GZW21" s="19"/>
      <c r="GZX21" s="19"/>
      <c r="GZY21" s="19"/>
      <c r="GZZ21" s="19"/>
      <c r="HAA21" s="19"/>
      <c r="HAB21" s="19"/>
      <c r="HAC21" s="19"/>
      <c r="HAD21" s="19"/>
      <c r="HAE21" s="19"/>
      <c r="HAF21" s="19"/>
      <c r="HAG21" s="19"/>
      <c r="HAH21" s="19"/>
      <c r="HAI21" s="19"/>
      <c r="HAJ21" s="19"/>
      <c r="HAK21" s="19"/>
      <c r="HAL21" s="19"/>
      <c r="HAM21" s="19"/>
      <c r="HAN21" s="19"/>
      <c r="HAO21" s="19"/>
      <c r="HAP21" s="19"/>
      <c r="HAQ21" s="19"/>
      <c r="HAR21" s="19"/>
      <c r="HAS21" s="19"/>
      <c r="HAT21" s="19"/>
      <c r="HAU21" s="19"/>
      <c r="HAV21" s="19"/>
      <c r="HAW21" s="19"/>
      <c r="HAX21" s="19"/>
      <c r="HAY21" s="19"/>
      <c r="HAZ21" s="19"/>
      <c r="HBA21" s="19"/>
      <c r="HBB21" s="19"/>
      <c r="HBC21" s="19"/>
      <c r="HBD21" s="19"/>
      <c r="HBE21" s="19"/>
      <c r="HBF21" s="19"/>
      <c r="HBG21" s="19"/>
      <c r="HBH21" s="19"/>
      <c r="HBI21" s="19"/>
      <c r="HBJ21" s="19"/>
      <c r="HBK21" s="19"/>
      <c r="HBL21" s="19"/>
      <c r="HBM21" s="19"/>
      <c r="HBN21" s="19"/>
      <c r="HBO21" s="19"/>
      <c r="HBP21" s="19"/>
      <c r="HBQ21" s="19"/>
      <c r="HBR21" s="19"/>
      <c r="HBS21" s="19"/>
      <c r="HBT21" s="19"/>
      <c r="HBU21" s="19"/>
      <c r="HBV21" s="19"/>
      <c r="HBW21" s="19"/>
      <c r="HBX21" s="19"/>
      <c r="HBY21" s="19"/>
      <c r="HBZ21" s="19"/>
      <c r="HCA21" s="19"/>
      <c r="HCB21" s="19"/>
      <c r="HCC21" s="19"/>
      <c r="HCD21" s="19"/>
      <c r="HCE21" s="19"/>
      <c r="HCF21" s="19"/>
      <c r="HCG21" s="19"/>
      <c r="HCH21" s="19"/>
      <c r="HCI21" s="19"/>
      <c r="HCJ21" s="19"/>
      <c r="HCK21" s="19"/>
      <c r="HCL21" s="19"/>
      <c r="HCM21" s="19"/>
      <c r="HCN21" s="19"/>
      <c r="HCO21" s="19"/>
      <c r="HCP21" s="19"/>
      <c r="HCQ21" s="19"/>
      <c r="HCR21" s="19"/>
      <c r="HCS21" s="19"/>
      <c r="HCT21" s="19"/>
      <c r="HCU21" s="19"/>
      <c r="HCV21" s="19"/>
      <c r="HCW21" s="19"/>
      <c r="HCX21" s="19"/>
      <c r="HCY21" s="19"/>
      <c r="HCZ21" s="19"/>
      <c r="HDA21" s="19"/>
      <c r="HDB21" s="19"/>
      <c r="HDC21" s="19"/>
      <c r="HDD21" s="19"/>
      <c r="HDE21" s="19"/>
      <c r="HDF21" s="19"/>
      <c r="HDG21" s="19"/>
      <c r="HDH21" s="19"/>
      <c r="HDI21" s="19"/>
      <c r="HDJ21" s="19"/>
      <c r="HDK21" s="19"/>
      <c r="HDL21" s="19"/>
      <c r="HDM21" s="19"/>
      <c r="HDN21" s="19"/>
      <c r="HDO21" s="19"/>
      <c r="HDP21" s="19"/>
      <c r="HDQ21" s="19"/>
      <c r="HDR21" s="19"/>
      <c r="HDS21" s="19"/>
      <c r="HDT21" s="19"/>
      <c r="HDU21" s="19"/>
      <c r="HDV21" s="19"/>
      <c r="HDW21" s="19"/>
      <c r="HDX21" s="19"/>
      <c r="HDY21" s="19"/>
      <c r="HDZ21" s="19"/>
      <c r="HEA21" s="19"/>
      <c r="HEB21" s="19"/>
      <c r="HEC21" s="19"/>
      <c r="HED21" s="19"/>
      <c r="HEE21" s="19"/>
      <c r="HEF21" s="19"/>
      <c r="HEG21" s="19"/>
      <c r="HEH21" s="19"/>
      <c r="HEI21" s="19"/>
      <c r="HEJ21" s="19"/>
      <c r="HEK21" s="19"/>
      <c r="HEL21" s="19"/>
      <c r="HEM21" s="19"/>
      <c r="HEN21" s="19"/>
      <c r="HEO21" s="19"/>
      <c r="HEP21" s="19"/>
      <c r="HEQ21" s="19"/>
      <c r="HER21" s="19"/>
      <c r="HES21" s="19"/>
      <c r="HET21" s="19"/>
      <c r="HEU21" s="19"/>
      <c r="HEV21" s="19"/>
      <c r="HEW21" s="19"/>
      <c r="HEX21" s="19"/>
      <c r="HEY21" s="19"/>
      <c r="HEZ21" s="19"/>
      <c r="HFA21" s="19"/>
      <c r="HFB21" s="19"/>
      <c r="HFC21" s="19"/>
      <c r="HFD21" s="19"/>
      <c r="HFE21" s="19"/>
      <c r="HFF21" s="19"/>
      <c r="HFG21" s="19"/>
      <c r="HFH21" s="19"/>
      <c r="HFI21" s="19"/>
      <c r="HFJ21" s="19"/>
      <c r="HFK21" s="19"/>
      <c r="HFL21" s="19"/>
      <c r="HFM21" s="19"/>
      <c r="HFN21" s="19"/>
      <c r="HFO21" s="19"/>
      <c r="HFP21" s="19"/>
      <c r="HFQ21" s="19"/>
      <c r="HFR21" s="19"/>
      <c r="HFS21" s="19"/>
      <c r="HFT21" s="19"/>
      <c r="HFU21" s="19"/>
      <c r="HFV21" s="19"/>
      <c r="HFW21" s="19"/>
      <c r="HFX21" s="19"/>
      <c r="HFY21" s="19"/>
      <c r="HFZ21" s="19"/>
      <c r="HGA21" s="19"/>
      <c r="HGB21" s="19"/>
      <c r="HGC21" s="19"/>
      <c r="HGD21" s="19"/>
      <c r="HGE21" s="19"/>
      <c r="HGF21" s="19"/>
      <c r="HGG21" s="19"/>
      <c r="HGH21" s="19"/>
      <c r="HGI21" s="19"/>
      <c r="HGJ21" s="19"/>
      <c r="HGK21" s="19"/>
      <c r="HGL21" s="19"/>
      <c r="HGM21" s="19"/>
      <c r="HGN21" s="19"/>
      <c r="HGO21" s="19"/>
      <c r="HGP21" s="19"/>
      <c r="HGQ21" s="19"/>
      <c r="HGR21" s="19"/>
      <c r="HGS21" s="19"/>
      <c r="HGT21" s="19"/>
      <c r="HGU21" s="19"/>
      <c r="HGV21" s="19"/>
      <c r="HGW21" s="19"/>
      <c r="HGX21" s="19"/>
      <c r="HGY21" s="19"/>
      <c r="HGZ21" s="19"/>
      <c r="HHA21" s="19"/>
      <c r="HHB21" s="19"/>
      <c r="HHC21" s="19"/>
      <c r="HHD21" s="19"/>
      <c r="HHE21" s="19"/>
      <c r="HHF21" s="19"/>
      <c r="HHG21" s="19"/>
      <c r="HHH21" s="19"/>
      <c r="HHI21" s="19"/>
      <c r="HHJ21" s="19"/>
      <c r="HHK21" s="19"/>
      <c r="HHL21" s="19"/>
      <c r="HHM21" s="19"/>
      <c r="HHN21" s="19"/>
      <c r="HHO21" s="19"/>
      <c r="HHP21" s="19"/>
      <c r="HHQ21" s="19"/>
      <c r="HHR21" s="19"/>
      <c r="HHS21" s="19"/>
      <c r="HHT21" s="19"/>
      <c r="HHU21" s="19"/>
      <c r="HHV21" s="19"/>
      <c r="HHW21" s="19"/>
      <c r="HHX21" s="19"/>
      <c r="HHY21" s="19"/>
      <c r="HHZ21" s="19"/>
      <c r="HIA21" s="19"/>
      <c r="HIB21" s="19"/>
      <c r="HIC21" s="19"/>
      <c r="HID21" s="19"/>
      <c r="HIE21" s="19"/>
      <c r="HIF21" s="19"/>
      <c r="HIG21" s="19"/>
      <c r="HIH21" s="19"/>
      <c r="HII21" s="19"/>
      <c r="HIJ21" s="19"/>
      <c r="HIK21" s="19"/>
      <c r="HIL21" s="19"/>
      <c r="HIM21" s="19"/>
      <c r="HIN21" s="19"/>
      <c r="HIO21" s="19"/>
      <c r="HIP21" s="19"/>
      <c r="HIQ21" s="19"/>
      <c r="HIR21" s="19"/>
      <c r="HIS21" s="19"/>
      <c r="HIT21" s="19"/>
      <c r="HIU21" s="19"/>
      <c r="HIV21" s="19"/>
      <c r="HIW21" s="19"/>
      <c r="HIX21" s="19"/>
      <c r="HIY21" s="19"/>
      <c r="HIZ21" s="19"/>
      <c r="HJA21" s="19"/>
      <c r="HJB21" s="19"/>
      <c r="HJC21" s="19"/>
      <c r="HJD21" s="19"/>
      <c r="HJE21" s="19"/>
      <c r="HJF21" s="19"/>
      <c r="HJG21" s="19"/>
      <c r="HJH21" s="19"/>
      <c r="HJI21" s="19"/>
      <c r="HJJ21" s="19"/>
      <c r="HJK21" s="19"/>
      <c r="HJL21" s="19"/>
      <c r="HJM21" s="19"/>
      <c r="HJN21" s="19"/>
      <c r="HJO21" s="19"/>
      <c r="HJP21" s="19"/>
      <c r="HJQ21" s="19"/>
      <c r="HJR21" s="19"/>
      <c r="HJS21" s="19"/>
      <c r="HJT21" s="19"/>
      <c r="HJU21" s="19"/>
      <c r="HJV21" s="19"/>
      <c r="HJW21" s="19"/>
      <c r="HJX21" s="19"/>
      <c r="HJY21" s="19"/>
      <c r="HJZ21" s="19"/>
      <c r="HKA21" s="19"/>
      <c r="HKB21" s="19"/>
      <c r="HKC21" s="19"/>
      <c r="HKD21" s="19"/>
      <c r="HKE21" s="19"/>
      <c r="HKF21" s="19"/>
      <c r="HKG21" s="19"/>
      <c r="HKH21" s="19"/>
      <c r="HKI21" s="19"/>
      <c r="HKJ21" s="19"/>
      <c r="HKK21" s="19"/>
      <c r="HKL21" s="19"/>
      <c r="HKM21" s="19"/>
      <c r="HKN21" s="19"/>
      <c r="HKO21" s="19"/>
      <c r="HKP21" s="19"/>
      <c r="HKQ21" s="19"/>
      <c r="HKR21" s="19"/>
      <c r="HKS21" s="19"/>
      <c r="HKT21" s="19"/>
      <c r="HKU21" s="19"/>
      <c r="HKV21" s="19"/>
      <c r="HKW21" s="19"/>
      <c r="HKX21" s="19"/>
      <c r="HKY21" s="19"/>
      <c r="HKZ21" s="19"/>
      <c r="HLA21" s="19"/>
      <c r="HLB21" s="19"/>
      <c r="HLC21" s="19"/>
      <c r="HLD21" s="19"/>
      <c r="HLE21" s="19"/>
      <c r="HLF21" s="19"/>
      <c r="HLG21" s="19"/>
      <c r="HLH21" s="19"/>
      <c r="HLI21" s="19"/>
      <c r="HLJ21" s="19"/>
      <c r="HLK21" s="19"/>
      <c r="HLL21" s="19"/>
      <c r="HLM21" s="19"/>
      <c r="HLN21" s="19"/>
      <c r="HLO21" s="19"/>
      <c r="HLP21" s="19"/>
      <c r="HLQ21" s="19"/>
      <c r="HLR21" s="19"/>
      <c r="HLS21" s="19"/>
      <c r="HLT21" s="19"/>
      <c r="HLU21" s="19"/>
      <c r="HLV21" s="19"/>
      <c r="HLW21" s="19"/>
      <c r="HLX21" s="19"/>
      <c r="HLY21" s="19"/>
      <c r="HLZ21" s="19"/>
      <c r="HMA21" s="19"/>
      <c r="HMB21" s="19"/>
      <c r="HMC21" s="19"/>
      <c r="HMD21" s="19"/>
      <c r="HME21" s="19"/>
      <c r="HMF21" s="19"/>
      <c r="HMG21" s="19"/>
      <c r="HMH21" s="19"/>
      <c r="HMI21" s="19"/>
      <c r="HMJ21" s="19"/>
      <c r="HMK21" s="19"/>
      <c r="HML21" s="19"/>
      <c r="HMM21" s="19"/>
      <c r="HMN21" s="19"/>
      <c r="HMO21" s="19"/>
      <c r="HMP21" s="19"/>
      <c r="HMQ21" s="19"/>
      <c r="HMR21" s="19"/>
      <c r="HMS21" s="19"/>
      <c r="HMT21" s="19"/>
      <c r="HMU21" s="19"/>
      <c r="HMV21" s="19"/>
      <c r="HMW21" s="19"/>
      <c r="HMX21" s="19"/>
      <c r="HMY21" s="19"/>
      <c r="HMZ21" s="19"/>
      <c r="HNA21" s="19"/>
      <c r="HNB21" s="19"/>
      <c r="HNC21" s="19"/>
      <c r="HND21" s="19"/>
      <c r="HNE21" s="19"/>
      <c r="HNF21" s="19"/>
      <c r="HNG21" s="19"/>
      <c r="HNH21" s="19"/>
      <c r="HNI21" s="19"/>
      <c r="HNJ21" s="19"/>
      <c r="HNK21" s="19"/>
      <c r="HNL21" s="19"/>
      <c r="HNM21" s="19"/>
      <c r="HNN21" s="19"/>
      <c r="HNO21" s="19"/>
      <c r="HNP21" s="19"/>
      <c r="HNQ21" s="19"/>
      <c r="HNR21" s="19"/>
      <c r="HNS21" s="19"/>
      <c r="HNT21" s="19"/>
      <c r="HNU21" s="19"/>
      <c r="HNV21" s="19"/>
      <c r="HNW21" s="19"/>
      <c r="HNX21" s="19"/>
      <c r="HNY21" s="19"/>
      <c r="HNZ21" s="19"/>
      <c r="HOA21" s="19"/>
      <c r="HOB21" s="19"/>
      <c r="HOC21" s="19"/>
      <c r="HOD21" s="19"/>
      <c r="HOE21" s="19"/>
      <c r="HOF21" s="19"/>
      <c r="HOG21" s="19"/>
      <c r="HOH21" s="19"/>
      <c r="HOI21" s="19"/>
      <c r="HOJ21" s="19"/>
      <c r="HOK21" s="19"/>
      <c r="HOL21" s="19"/>
      <c r="HOM21" s="19"/>
      <c r="HON21" s="19"/>
      <c r="HOO21" s="19"/>
      <c r="HOP21" s="19"/>
      <c r="HOQ21" s="19"/>
      <c r="HOR21" s="19"/>
      <c r="HOS21" s="19"/>
      <c r="HOT21" s="19"/>
      <c r="HOU21" s="19"/>
      <c r="HOV21" s="19"/>
      <c r="HOW21" s="19"/>
      <c r="HOX21" s="19"/>
      <c r="HOY21" s="19"/>
      <c r="HOZ21" s="19"/>
      <c r="HPA21" s="19"/>
      <c r="HPB21" s="19"/>
      <c r="HPC21" s="19"/>
      <c r="HPD21" s="19"/>
      <c r="HPE21" s="19"/>
      <c r="HPF21" s="19"/>
      <c r="HPG21" s="19"/>
      <c r="HPH21" s="19"/>
      <c r="HPI21" s="19"/>
      <c r="HPJ21" s="19"/>
      <c r="HPK21" s="19"/>
      <c r="HPL21" s="19"/>
      <c r="HPM21" s="19"/>
      <c r="HPN21" s="19"/>
      <c r="HPO21" s="19"/>
      <c r="HPP21" s="19"/>
      <c r="HPQ21" s="19"/>
      <c r="HPR21" s="19"/>
      <c r="HPS21" s="19"/>
      <c r="HPT21" s="19"/>
      <c r="HPU21" s="19"/>
      <c r="HPV21" s="19"/>
      <c r="HPW21" s="19"/>
      <c r="HPX21" s="19"/>
      <c r="HPY21" s="19"/>
      <c r="HPZ21" s="19"/>
      <c r="HQA21" s="19"/>
      <c r="HQB21" s="19"/>
      <c r="HQC21" s="19"/>
      <c r="HQD21" s="19"/>
      <c r="HQE21" s="19"/>
      <c r="HQF21" s="19"/>
      <c r="HQG21" s="19"/>
      <c r="HQH21" s="19"/>
      <c r="HQI21" s="19"/>
      <c r="HQJ21" s="19"/>
      <c r="HQK21" s="19"/>
      <c r="HQL21" s="19"/>
      <c r="HQM21" s="19"/>
      <c r="HQN21" s="19"/>
      <c r="HQO21" s="19"/>
      <c r="HQP21" s="19"/>
      <c r="HQQ21" s="19"/>
      <c r="HQR21" s="19"/>
      <c r="HQS21" s="19"/>
      <c r="HQT21" s="19"/>
      <c r="HQU21" s="19"/>
      <c r="HQV21" s="19"/>
      <c r="HQW21" s="19"/>
      <c r="HQX21" s="19"/>
      <c r="HQY21" s="19"/>
      <c r="HQZ21" s="19"/>
      <c r="HRA21" s="19"/>
      <c r="HRB21" s="19"/>
      <c r="HRC21" s="19"/>
      <c r="HRD21" s="19"/>
      <c r="HRE21" s="19"/>
      <c r="HRF21" s="19"/>
      <c r="HRG21" s="19"/>
      <c r="HRH21" s="19"/>
      <c r="HRI21" s="19"/>
      <c r="HRJ21" s="19"/>
      <c r="HRK21" s="19"/>
      <c r="HRL21" s="19"/>
      <c r="HRM21" s="19"/>
      <c r="HRN21" s="19"/>
      <c r="HRO21" s="19"/>
      <c r="HRP21" s="19"/>
      <c r="HRQ21" s="19"/>
      <c r="HRR21" s="19"/>
      <c r="HRS21" s="19"/>
      <c r="HRT21" s="19"/>
      <c r="HRU21" s="19"/>
      <c r="HRV21" s="19"/>
      <c r="HRW21" s="19"/>
      <c r="HRX21" s="19"/>
      <c r="HRY21" s="19"/>
      <c r="HRZ21" s="19"/>
      <c r="HSA21" s="19"/>
      <c r="HSB21" s="19"/>
      <c r="HSC21" s="19"/>
      <c r="HSD21" s="19"/>
      <c r="HSE21" s="19"/>
      <c r="HSF21" s="19"/>
      <c r="HSG21" s="19"/>
      <c r="HSH21" s="19"/>
      <c r="HSI21" s="19"/>
      <c r="HSJ21" s="19"/>
      <c r="HSK21" s="19"/>
      <c r="HSL21" s="19"/>
      <c r="HSM21" s="19"/>
      <c r="HSN21" s="19"/>
      <c r="HSO21" s="19"/>
      <c r="HSP21" s="19"/>
      <c r="HSQ21" s="19"/>
      <c r="HSR21" s="19"/>
      <c r="HSS21" s="19"/>
      <c r="HST21" s="19"/>
      <c r="HSU21" s="19"/>
      <c r="HSV21" s="19"/>
      <c r="HSW21" s="19"/>
      <c r="HSX21" s="19"/>
      <c r="HSY21" s="19"/>
      <c r="HSZ21" s="19"/>
      <c r="HTA21" s="19"/>
      <c r="HTB21" s="19"/>
      <c r="HTC21" s="19"/>
      <c r="HTD21" s="19"/>
      <c r="HTE21" s="19"/>
      <c r="HTF21" s="19"/>
      <c r="HTG21" s="19"/>
      <c r="HTH21" s="19"/>
      <c r="HTI21" s="19"/>
      <c r="HTJ21" s="19"/>
      <c r="HTK21" s="19"/>
      <c r="HTL21" s="19"/>
      <c r="HTM21" s="19"/>
      <c r="HTN21" s="19"/>
      <c r="HTO21" s="19"/>
      <c r="HTP21" s="19"/>
      <c r="HTQ21" s="19"/>
      <c r="HTR21" s="19"/>
      <c r="HTS21" s="19"/>
      <c r="HTT21" s="19"/>
      <c r="HTU21" s="19"/>
      <c r="HTV21" s="19"/>
      <c r="HTW21" s="19"/>
      <c r="HTX21" s="19"/>
      <c r="HTY21" s="19"/>
      <c r="HTZ21" s="19"/>
      <c r="HUA21" s="19"/>
      <c r="HUB21" s="19"/>
      <c r="HUC21" s="19"/>
      <c r="HUD21" s="19"/>
      <c r="HUE21" s="19"/>
      <c r="HUF21" s="19"/>
      <c r="HUG21" s="19"/>
      <c r="HUH21" s="19"/>
      <c r="HUI21" s="19"/>
      <c r="HUJ21" s="19"/>
      <c r="HUK21" s="19"/>
      <c r="HUL21" s="19"/>
      <c r="HUM21" s="19"/>
      <c r="HUN21" s="19"/>
      <c r="HUO21" s="19"/>
      <c r="HUP21" s="19"/>
      <c r="HUQ21" s="19"/>
      <c r="HUR21" s="19"/>
      <c r="HUS21" s="19"/>
      <c r="HUT21" s="19"/>
      <c r="HUU21" s="19"/>
      <c r="HUV21" s="19"/>
      <c r="HUW21" s="19"/>
      <c r="HUX21" s="19"/>
      <c r="HUY21" s="19"/>
      <c r="HUZ21" s="19"/>
      <c r="HVA21" s="19"/>
      <c r="HVB21" s="19"/>
      <c r="HVC21" s="19"/>
      <c r="HVD21" s="19"/>
      <c r="HVE21" s="19"/>
      <c r="HVF21" s="19"/>
      <c r="HVG21" s="19"/>
      <c r="HVH21" s="19"/>
      <c r="HVI21" s="19"/>
      <c r="HVJ21" s="19"/>
      <c r="HVK21" s="19"/>
      <c r="HVL21" s="19"/>
      <c r="HVM21" s="19"/>
      <c r="HVN21" s="19"/>
      <c r="HVO21" s="19"/>
      <c r="HVP21" s="19"/>
      <c r="HVQ21" s="19"/>
      <c r="HVR21" s="19"/>
      <c r="HVS21" s="19"/>
      <c r="HVT21" s="19"/>
      <c r="HVU21" s="19"/>
      <c r="HVV21" s="19"/>
      <c r="HVW21" s="19"/>
      <c r="HVX21" s="19"/>
      <c r="HVY21" s="19"/>
      <c r="HVZ21" s="19"/>
      <c r="HWA21" s="19"/>
      <c r="HWB21" s="19"/>
      <c r="HWC21" s="19"/>
      <c r="HWD21" s="19"/>
      <c r="HWE21" s="19"/>
      <c r="HWF21" s="19"/>
      <c r="HWG21" s="19"/>
      <c r="HWH21" s="19"/>
      <c r="HWI21" s="19"/>
      <c r="HWJ21" s="19"/>
      <c r="HWK21" s="19"/>
      <c r="HWL21" s="19"/>
      <c r="HWM21" s="19"/>
      <c r="HWN21" s="19"/>
      <c r="HWO21" s="19"/>
      <c r="HWP21" s="19"/>
      <c r="HWQ21" s="19"/>
      <c r="HWR21" s="19"/>
      <c r="HWS21" s="19"/>
      <c r="HWT21" s="19"/>
      <c r="HWU21" s="19"/>
      <c r="HWV21" s="19"/>
      <c r="HWW21" s="19"/>
      <c r="HWX21" s="19"/>
      <c r="HWY21" s="19"/>
      <c r="HWZ21" s="19"/>
      <c r="HXA21" s="19"/>
      <c r="HXB21" s="19"/>
      <c r="HXC21" s="19"/>
      <c r="HXD21" s="19"/>
      <c r="HXE21" s="19"/>
      <c r="HXF21" s="19"/>
      <c r="HXG21" s="19"/>
      <c r="HXH21" s="19"/>
      <c r="HXI21" s="19"/>
      <c r="HXJ21" s="19"/>
      <c r="HXK21" s="19"/>
      <c r="HXL21" s="19"/>
      <c r="HXM21" s="19"/>
      <c r="HXN21" s="19"/>
      <c r="HXO21" s="19"/>
      <c r="HXP21" s="19"/>
      <c r="HXQ21" s="19"/>
      <c r="HXR21" s="19"/>
      <c r="HXS21" s="19"/>
      <c r="HXT21" s="19"/>
      <c r="HXU21" s="19"/>
      <c r="HXV21" s="19"/>
      <c r="HXW21" s="19"/>
      <c r="HXX21" s="19"/>
      <c r="HXY21" s="19"/>
      <c r="HXZ21" s="19"/>
      <c r="HYA21" s="19"/>
      <c r="HYB21" s="19"/>
      <c r="HYC21" s="19"/>
      <c r="HYD21" s="19"/>
      <c r="HYE21" s="19"/>
      <c r="HYF21" s="19"/>
      <c r="HYG21" s="19"/>
      <c r="HYH21" s="19"/>
      <c r="HYI21" s="19"/>
      <c r="HYJ21" s="19"/>
      <c r="HYK21" s="19"/>
      <c r="HYL21" s="19"/>
      <c r="HYM21" s="19"/>
      <c r="HYN21" s="19"/>
      <c r="HYO21" s="19"/>
      <c r="HYP21" s="19"/>
      <c r="HYQ21" s="19"/>
      <c r="HYR21" s="19"/>
      <c r="HYS21" s="19"/>
      <c r="HYT21" s="19"/>
      <c r="HYU21" s="19"/>
      <c r="HYV21" s="19"/>
      <c r="HYW21" s="19"/>
      <c r="HYX21" s="19"/>
      <c r="HYY21" s="19"/>
      <c r="HYZ21" s="19"/>
      <c r="HZA21" s="19"/>
      <c r="HZB21" s="19"/>
      <c r="HZC21" s="19"/>
      <c r="HZD21" s="19"/>
      <c r="HZE21" s="19"/>
      <c r="HZF21" s="19"/>
      <c r="HZG21" s="19"/>
      <c r="HZH21" s="19"/>
      <c r="HZI21" s="19"/>
      <c r="HZJ21" s="19"/>
      <c r="HZK21" s="19"/>
      <c r="HZL21" s="19"/>
      <c r="HZM21" s="19"/>
      <c r="HZN21" s="19"/>
      <c r="HZO21" s="19"/>
      <c r="HZP21" s="19"/>
      <c r="HZQ21" s="19"/>
      <c r="HZR21" s="19"/>
      <c r="HZS21" s="19"/>
      <c r="HZT21" s="19"/>
      <c r="HZU21" s="19"/>
      <c r="HZV21" s="19"/>
      <c r="HZW21" s="19"/>
      <c r="HZX21" s="19"/>
      <c r="HZY21" s="19"/>
      <c r="HZZ21" s="19"/>
      <c r="IAA21" s="19"/>
      <c r="IAB21" s="19"/>
      <c r="IAC21" s="19"/>
      <c r="IAD21" s="19"/>
      <c r="IAE21" s="19"/>
      <c r="IAF21" s="19"/>
      <c r="IAG21" s="19"/>
      <c r="IAH21" s="19"/>
      <c r="IAI21" s="19"/>
      <c r="IAJ21" s="19"/>
      <c r="IAK21" s="19"/>
      <c r="IAL21" s="19"/>
      <c r="IAM21" s="19"/>
      <c r="IAN21" s="19"/>
      <c r="IAO21" s="19"/>
      <c r="IAP21" s="19"/>
      <c r="IAQ21" s="19"/>
      <c r="IAR21" s="19"/>
      <c r="IAS21" s="19"/>
      <c r="IAT21" s="19"/>
      <c r="IAU21" s="19"/>
      <c r="IAV21" s="19"/>
      <c r="IAW21" s="19"/>
      <c r="IAX21" s="19"/>
      <c r="IAY21" s="19"/>
      <c r="IAZ21" s="19"/>
      <c r="IBA21" s="19"/>
      <c r="IBB21" s="19"/>
      <c r="IBC21" s="19"/>
      <c r="IBD21" s="19"/>
      <c r="IBE21" s="19"/>
      <c r="IBF21" s="19"/>
      <c r="IBG21" s="19"/>
      <c r="IBH21" s="19"/>
      <c r="IBI21" s="19"/>
      <c r="IBJ21" s="19"/>
      <c r="IBK21" s="19"/>
      <c r="IBL21" s="19"/>
      <c r="IBM21" s="19"/>
      <c r="IBN21" s="19"/>
      <c r="IBO21" s="19"/>
      <c r="IBP21" s="19"/>
      <c r="IBQ21" s="19"/>
      <c r="IBR21" s="19"/>
      <c r="IBS21" s="19"/>
      <c r="IBT21" s="19"/>
      <c r="IBU21" s="19"/>
      <c r="IBV21" s="19"/>
      <c r="IBW21" s="19"/>
      <c r="IBX21" s="19"/>
      <c r="IBY21" s="19"/>
      <c r="IBZ21" s="19"/>
      <c r="ICA21" s="19"/>
      <c r="ICB21" s="19"/>
      <c r="ICC21" s="19"/>
      <c r="ICD21" s="19"/>
      <c r="ICE21" s="19"/>
      <c r="ICF21" s="19"/>
      <c r="ICG21" s="19"/>
      <c r="ICH21" s="19"/>
      <c r="ICI21" s="19"/>
      <c r="ICJ21" s="19"/>
      <c r="ICK21" s="19"/>
      <c r="ICL21" s="19"/>
      <c r="ICM21" s="19"/>
      <c r="ICN21" s="19"/>
      <c r="ICO21" s="19"/>
      <c r="ICP21" s="19"/>
      <c r="ICQ21" s="19"/>
      <c r="ICR21" s="19"/>
      <c r="ICS21" s="19"/>
      <c r="ICT21" s="19"/>
      <c r="ICU21" s="19"/>
      <c r="ICV21" s="19"/>
      <c r="ICW21" s="19"/>
      <c r="ICX21" s="19"/>
      <c r="ICY21" s="19"/>
      <c r="ICZ21" s="19"/>
      <c r="IDA21" s="19"/>
      <c r="IDB21" s="19"/>
      <c r="IDC21" s="19"/>
      <c r="IDD21" s="19"/>
      <c r="IDE21" s="19"/>
      <c r="IDF21" s="19"/>
      <c r="IDG21" s="19"/>
      <c r="IDH21" s="19"/>
      <c r="IDI21" s="19"/>
      <c r="IDJ21" s="19"/>
      <c r="IDK21" s="19"/>
      <c r="IDL21" s="19"/>
      <c r="IDM21" s="19"/>
      <c r="IDN21" s="19"/>
      <c r="IDO21" s="19"/>
      <c r="IDP21" s="19"/>
      <c r="IDQ21" s="19"/>
      <c r="IDR21" s="19"/>
      <c r="IDS21" s="19"/>
      <c r="IDT21" s="19"/>
      <c r="IDU21" s="19"/>
      <c r="IDV21" s="19"/>
      <c r="IDW21" s="19"/>
      <c r="IDX21" s="19"/>
      <c r="IDY21" s="19"/>
      <c r="IDZ21" s="19"/>
      <c r="IEA21" s="19"/>
      <c r="IEB21" s="19"/>
      <c r="IEC21" s="19"/>
      <c r="IED21" s="19"/>
      <c r="IEE21" s="19"/>
      <c r="IEF21" s="19"/>
      <c r="IEG21" s="19"/>
      <c r="IEH21" s="19"/>
      <c r="IEI21" s="19"/>
      <c r="IEJ21" s="19"/>
      <c r="IEK21" s="19"/>
      <c r="IEL21" s="19"/>
      <c r="IEM21" s="19"/>
      <c r="IEN21" s="19"/>
      <c r="IEO21" s="19"/>
      <c r="IEP21" s="19"/>
      <c r="IEQ21" s="19"/>
      <c r="IER21" s="19"/>
      <c r="IES21" s="19"/>
      <c r="IET21" s="19"/>
      <c r="IEU21" s="19"/>
      <c r="IEV21" s="19"/>
      <c r="IEW21" s="19"/>
      <c r="IEX21" s="19"/>
      <c r="IEY21" s="19"/>
      <c r="IEZ21" s="19"/>
      <c r="IFA21" s="19"/>
      <c r="IFB21" s="19"/>
      <c r="IFC21" s="19"/>
      <c r="IFD21" s="19"/>
      <c r="IFE21" s="19"/>
      <c r="IFF21" s="19"/>
      <c r="IFG21" s="19"/>
      <c r="IFH21" s="19"/>
      <c r="IFI21" s="19"/>
      <c r="IFJ21" s="19"/>
      <c r="IFK21" s="19"/>
      <c r="IFL21" s="19"/>
      <c r="IFM21" s="19"/>
      <c r="IFN21" s="19"/>
      <c r="IFO21" s="19"/>
      <c r="IFP21" s="19"/>
      <c r="IFQ21" s="19"/>
      <c r="IFR21" s="19"/>
      <c r="IFS21" s="19"/>
      <c r="IFT21" s="19"/>
      <c r="IFU21" s="19"/>
      <c r="IFV21" s="19"/>
      <c r="IFW21" s="19"/>
      <c r="IFX21" s="19"/>
      <c r="IFY21" s="19"/>
      <c r="IFZ21" s="19"/>
      <c r="IGA21" s="19"/>
      <c r="IGB21" s="19"/>
      <c r="IGC21" s="19"/>
      <c r="IGD21" s="19"/>
      <c r="IGE21" s="19"/>
      <c r="IGF21" s="19"/>
      <c r="IGG21" s="19"/>
      <c r="IGH21" s="19"/>
      <c r="IGI21" s="19"/>
      <c r="IGJ21" s="19"/>
      <c r="IGK21" s="19"/>
      <c r="IGL21" s="19"/>
      <c r="IGM21" s="19"/>
      <c r="IGN21" s="19"/>
      <c r="IGO21" s="19"/>
      <c r="IGP21" s="19"/>
      <c r="IGQ21" s="19"/>
      <c r="IGR21" s="19"/>
      <c r="IGS21" s="19"/>
      <c r="IGT21" s="19"/>
      <c r="IGU21" s="19"/>
      <c r="IGV21" s="19"/>
      <c r="IGW21" s="19"/>
      <c r="IGX21" s="19"/>
      <c r="IGY21" s="19"/>
      <c r="IGZ21" s="19"/>
      <c r="IHA21" s="19"/>
      <c r="IHB21" s="19"/>
      <c r="IHC21" s="19"/>
      <c r="IHD21" s="19"/>
      <c r="IHE21" s="19"/>
      <c r="IHF21" s="19"/>
      <c r="IHG21" s="19"/>
      <c r="IHH21" s="19"/>
      <c r="IHI21" s="19"/>
      <c r="IHJ21" s="19"/>
      <c r="IHK21" s="19"/>
      <c r="IHL21" s="19"/>
      <c r="IHM21" s="19"/>
      <c r="IHN21" s="19"/>
      <c r="IHO21" s="19"/>
      <c r="IHP21" s="19"/>
      <c r="IHQ21" s="19"/>
      <c r="IHR21" s="19"/>
      <c r="IHS21" s="19"/>
      <c r="IHT21" s="19"/>
      <c r="IHU21" s="19"/>
      <c r="IHV21" s="19"/>
      <c r="IHW21" s="19"/>
      <c r="IHX21" s="19"/>
      <c r="IHY21" s="19"/>
      <c r="IHZ21" s="19"/>
      <c r="IIA21" s="19"/>
      <c r="IIB21" s="19"/>
      <c r="IIC21" s="19"/>
      <c r="IID21" s="19"/>
      <c r="IIE21" s="19"/>
      <c r="IIF21" s="19"/>
      <c r="IIG21" s="19"/>
      <c r="IIH21" s="19"/>
      <c r="III21" s="19"/>
      <c r="IIJ21" s="19"/>
      <c r="IIK21" s="19"/>
      <c r="IIL21" s="19"/>
      <c r="IIM21" s="19"/>
      <c r="IIN21" s="19"/>
      <c r="IIO21" s="19"/>
      <c r="IIP21" s="19"/>
      <c r="IIQ21" s="19"/>
      <c r="IIR21" s="19"/>
      <c r="IIS21" s="19"/>
      <c r="IIT21" s="19"/>
      <c r="IIU21" s="19"/>
      <c r="IIV21" s="19"/>
      <c r="IIW21" s="19"/>
      <c r="IIX21" s="19"/>
      <c r="IIY21" s="19"/>
      <c r="IIZ21" s="19"/>
      <c r="IJA21" s="19"/>
      <c r="IJB21" s="19"/>
      <c r="IJC21" s="19"/>
      <c r="IJD21" s="19"/>
      <c r="IJE21" s="19"/>
      <c r="IJF21" s="19"/>
      <c r="IJG21" s="19"/>
      <c r="IJH21" s="19"/>
      <c r="IJI21" s="19"/>
      <c r="IJJ21" s="19"/>
      <c r="IJK21" s="19"/>
      <c r="IJL21" s="19"/>
      <c r="IJM21" s="19"/>
      <c r="IJN21" s="19"/>
      <c r="IJO21" s="19"/>
      <c r="IJP21" s="19"/>
      <c r="IJQ21" s="19"/>
      <c r="IJR21" s="19"/>
      <c r="IJS21" s="19"/>
      <c r="IJT21" s="19"/>
      <c r="IJU21" s="19"/>
      <c r="IJV21" s="19"/>
      <c r="IJW21" s="19"/>
      <c r="IJX21" s="19"/>
      <c r="IJY21" s="19"/>
      <c r="IJZ21" s="19"/>
      <c r="IKA21" s="19"/>
      <c r="IKB21" s="19"/>
      <c r="IKC21" s="19"/>
      <c r="IKD21" s="19"/>
      <c r="IKE21" s="19"/>
      <c r="IKF21" s="19"/>
      <c r="IKG21" s="19"/>
      <c r="IKH21" s="19"/>
      <c r="IKI21" s="19"/>
      <c r="IKJ21" s="19"/>
      <c r="IKK21" s="19"/>
      <c r="IKL21" s="19"/>
      <c r="IKM21" s="19"/>
      <c r="IKN21" s="19"/>
      <c r="IKO21" s="19"/>
      <c r="IKP21" s="19"/>
      <c r="IKQ21" s="19"/>
      <c r="IKR21" s="19"/>
      <c r="IKS21" s="19"/>
      <c r="IKT21" s="19"/>
      <c r="IKU21" s="19"/>
      <c r="IKV21" s="19"/>
      <c r="IKW21" s="19"/>
      <c r="IKX21" s="19"/>
      <c r="IKY21" s="19"/>
      <c r="IKZ21" s="19"/>
      <c r="ILA21" s="19"/>
      <c r="ILB21" s="19"/>
      <c r="ILC21" s="19"/>
      <c r="ILD21" s="19"/>
      <c r="ILE21" s="19"/>
      <c r="ILF21" s="19"/>
      <c r="ILG21" s="19"/>
      <c r="ILH21" s="19"/>
      <c r="ILI21" s="19"/>
      <c r="ILJ21" s="19"/>
      <c r="ILK21" s="19"/>
      <c r="ILL21" s="19"/>
      <c r="ILM21" s="19"/>
      <c r="ILN21" s="19"/>
      <c r="ILO21" s="19"/>
      <c r="ILP21" s="19"/>
      <c r="ILQ21" s="19"/>
      <c r="ILR21" s="19"/>
      <c r="ILS21" s="19"/>
      <c r="ILT21" s="19"/>
      <c r="ILU21" s="19"/>
      <c r="ILV21" s="19"/>
      <c r="ILW21" s="19"/>
      <c r="ILX21" s="19"/>
      <c r="ILY21" s="19"/>
      <c r="ILZ21" s="19"/>
      <c r="IMA21" s="19"/>
      <c r="IMB21" s="19"/>
      <c r="IMC21" s="19"/>
      <c r="IMD21" s="19"/>
      <c r="IME21" s="19"/>
      <c r="IMF21" s="19"/>
      <c r="IMG21" s="19"/>
      <c r="IMH21" s="19"/>
      <c r="IMI21" s="19"/>
      <c r="IMJ21" s="19"/>
      <c r="IMK21" s="19"/>
      <c r="IML21" s="19"/>
      <c r="IMM21" s="19"/>
      <c r="IMN21" s="19"/>
      <c r="IMO21" s="19"/>
      <c r="IMP21" s="19"/>
      <c r="IMQ21" s="19"/>
      <c r="IMR21" s="19"/>
      <c r="IMS21" s="19"/>
      <c r="IMT21" s="19"/>
      <c r="IMU21" s="19"/>
      <c r="IMV21" s="19"/>
      <c r="IMW21" s="19"/>
      <c r="IMX21" s="19"/>
      <c r="IMY21" s="19"/>
      <c r="IMZ21" s="19"/>
      <c r="INA21" s="19"/>
      <c r="INB21" s="19"/>
      <c r="INC21" s="19"/>
      <c r="IND21" s="19"/>
      <c r="INE21" s="19"/>
      <c r="INF21" s="19"/>
      <c r="ING21" s="19"/>
      <c r="INH21" s="19"/>
      <c r="INI21" s="19"/>
      <c r="INJ21" s="19"/>
      <c r="INK21" s="19"/>
      <c r="INL21" s="19"/>
      <c r="INM21" s="19"/>
      <c r="INN21" s="19"/>
      <c r="INO21" s="19"/>
      <c r="INP21" s="19"/>
      <c r="INQ21" s="19"/>
      <c r="INR21" s="19"/>
      <c r="INS21" s="19"/>
      <c r="INT21" s="19"/>
      <c r="INU21" s="19"/>
      <c r="INV21" s="19"/>
      <c r="INW21" s="19"/>
      <c r="INX21" s="19"/>
      <c r="INY21" s="19"/>
      <c r="INZ21" s="19"/>
      <c r="IOA21" s="19"/>
      <c r="IOB21" s="19"/>
      <c r="IOC21" s="19"/>
      <c r="IOD21" s="19"/>
      <c r="IOE21" s="19"/>
      <c r="IOF21" s="19"/>
      <c r="IOG21" s="19"/>
      <c r="IOH21" s="19"/>
      <c r="IOI21" s="19"/>
      <c r="IOJ21" s="19"/>
      <c r="IOK21" s="19"/>
      <c r="IOL21" s="19"/>
      <c r="IOM21" s="19"/>
      <c r="ION21" s="19"/>
      <c r="IOO21" s="19"/>
      <c r="IOP21" s="19"/>
      <c r="IOQ21" s="19"/>
      <c r="IOR21" s="19"/>
      <c r="IOS21" s="19"/>
      <c r="IOT21" s="19"/>
      <c r="IOU21" s="19"/>
      <c r="IOV21" s="19"/>
      <c r="IOW21" s="19"/>
      <c r="IOX21" s="19"/>
      <c r="IOY21" s="19"/>
      <c r="IOZ21" s="19"/>
      <c r="IPA21" s="19"/>
      <c r="IPB21" s="19"/>
      <c r="IPC21" s="19"/>
      <c r="IPD21" s="19"/>
      <c r="IPE21" s="19"/>
      <c r="IPF21" s="19"/>
      <c r="IPG21" s="19"/>
      <c r="IPH21" s="19"/>
      <c r="IPI21" s="19"/>
      <c r="IPJ21" s="19"/>
      <c r="IPK21" s="19"/>
      <c r="IPL21" s="19"/>
      <c r="IPM21" s="19"/>
      <c r="IPN21" s="19"/>
      <c r="IPO21" s="19"/>
      <c r="IPP21" s="19"/>
      <c r="IPQ21" s="19"/>
      <c r="IPR21" s="19"/>
      <c r="IPS21" s="19"/>
      <c r="IPT21" s="19"/>
      <c r="IPU21" s="19"/>
      <c r="IPV21" s="19"/>
      <c r="IPW21" s="19"/>
      <c r="IPX21" s="19"/>
      <c r="IPY21" s="19"/>
      <c r="IPZ21" s="19"/>
      <c r="IQA21" s="19"/>
      <c r="IQB21" s="19"/>
      <c r="IQC21" s="19"/>
      <c r="IQD21" s="19"/>
      <c r="IQE21" s="19"/>
      <c r="IQF21" s="19"/>
      <c r="IQG21" s="19"/>
      <c r="IQH21" s="19"/>
      <c r="IQI21" s="19"/>
      <c r="IQJ21" s="19"/>
      <c r="IQK21" s="19"/>
      <c r="IQL21" s="19"/>
      <c r="IQM21" s="19"/>
      <c r="IQN21" s="19"/>
      <c r="IQO21" s="19"/>
      <c r="IQP21" s="19"/>
      <c r="IQQ21" s="19"/>
      <c r="IQR21" s="19"/>
      <c r="IQS21" s="19"/>
      <c r="IQT21" s="19"/>
      <c r="IQU21" s="19"/>
      <c r="IQV21" s="19"/>
      <c r="IQW21" s="19"/>
      <c r="IQX21" s="19"/>
      <c r="IQY21" s="19"/>
      <c r="IQZ21" s="19"/>
      <c r="IRA21" s="19"/>
      <c r="IRB21" s="19"/>
      <c r="IRC21" s="19"/>
      <c r="IRD21" s="19"/>
      <c r="IRE21" s="19"/>
      <c r="IRF21" s="19"/>
      <c r="IRG21" s="19"/>
      <c r="IRH21" s="19"/>
      <c r="IRI21" s="19"/>
      <c r="IRJ21" s="19"/>
      <c r="IRK21" s="19"/>
      <c r="IRL21" s="19"/>
      <c r="IRM21" s="19"/>
      <c r="IRN21" s="19"/>
      <c r="IRO21" s="19"/>
      <c r="IRP21" s="19"/>
      <c r="IRQ21" s="19"/>
      <c r="IRR21" s="19"/>
      <c r="IRS21" s="19"/>
      <c r="IRT21" s="19"/>
      <c r="IRU21" s="19"/>
      <c r="IRV21" s="19"/>
      <c r="IRW21" s="19"/>
      <c r="IRX21" s="19"/>
      <c r="IRY21" s="19"/>
      <c r="IRZ21" s="19"/>
      <c r="ISA21" s="19"/>
      <c r="ISB21" s="19"/>
      <c r="ISC21" s="19"/>
      <c r="ISD21" s="19"/>
      <c r="ISE21" s="19"/>
      <c r="ISF21" s="19"/>
      <c r="ISG21" s="19"/>
      <c r="ISH21" s="19"/>
      <c r="ISI21" s="19"/>
      <c r="ISJ21" s="19"/>
      <c r="ISK21" s="19"/>
      <c r="ISL21" s="19"/>
      <c r="ISM21" s="19"/>
      <c r="ISN21" s="19"/>
      <c r="ISO21" s="19"/>
      <c r="ISP21" s="19"/>
      <c r="ISQ21" s="19"/>
      <c r="ISR21" s="19"/>
      <c r="ISS21" s="19"/>
      <c r="IST21" s="19"/>
      <c r="ISU21" s="19"/>
      <c r="ISV21" s="19"/>
      <c r="ISW21" s="19"/>
      <c r="ISX21" s="19"/>
      <c r="ISY21" s="19"/>
      <c r="ISZ21" s="19"/>
      <c r="ITA21" s="19"/>
      <c r="ITB21" s="19"/>
      <c r="ITC21" s="19"/>
      <c r="ITD21" s="19"/>
      <c r="ITE21" s="19"/>
      <c r="ITF21" s="19"/>
      <c r="ITG21" s="19"/>
      <c r="ITH21" s="19"/>
      <c r="ITI21" s="19"/>
      <c r="ITJ21" s="19"/>
      <c r="ITK21" s="19"/>
      <c r="ITL21" s="19"/>
      <c r="ITM21" s="19"/>
      <c r="ITN21" s="19"/>
      <c r="ITO21" s="19"/>
      <c r="ITP21" s="19"/>
      <c r="ITQ21" s="19"/>
      <c r="ITR21" s="19"/>
      <c r="ITS21" s="19"/>
      <c r="ITT21" s="19"/>
      <c r="ITU21" s="19"/>
      <c r="ITV21" s="19"/>
      <c r="ITW21" s="19"/>
      <c r="ITX21" s="19"/>
      <c r="ITY21" s="19"/>
      <c r="ITZ21" s="19"/>
      <c r="IUA21" s="19"/>
      <c r="IUB21" s="19"/>
      <c r="IUC21" s="19"/>
      <c r="IUD21" s="19"/>
      <c r="IUE21" s="19"/>
      <c r="IUF21" s="19"/>
      <c r="IUG21" s="19"/>
      <c r="IUH21" s="19"/>
      <c r="IUI21" s="19"/>
      <c r="IUJ21" s="19"/>
      <c r="IUK21" s="19"/>
      <c r="IUL21" s="19"/>
      <c r="IUM21" s="19"/>
      <c r="IUN21" s="19"/>
      <c r="IUO21" s="19"/>
      <c r="IUP21" s="19"/>
      <c r="IUQ21" s="19"/>
      <c r="IUR21" s="19"/>
      <c r="IUS21" s="19"/>
      <c r="IUT21" s="19"/>
      <c r="IUU21" s="19"/>
      <c r="IUV21" s="19"/>
      <c r="IUW21" s="19"/>
      <c r="IUX21" s="19"/>
      <c r="IUY21" s="19"/>
      <c r="IUZ21" s="19"/>
      <c r="IVA21" s="19"/>
      <c r="IVB21" s="19"/>
      <c r="IVC21" s="19"/>
      <c r="IVD21" s="19"/>
      <c r="IVE21" s="19"/>
      <c r="IVF21" s="19"/>
      <c r="IVG21" s="19"/>
      <c r="IVH21" s="19"/>
      <c r="IVI21" s="19"/>
      <c r="IVJ21" s="19"/>
      <c r="IVK21" s="19"/>
      <c r="IVL21" s="19"/>
      <c r="IVM21" s="19"/>
      <c r="IVN21" s="19"/>
      <c r="IVO21" s="19"/>
      <c r="IVP21" s="19"/>
      <c r="IVQ21" s="19"/>
      <c r="IVR21" s="19"/>
      <c r="IVS21" s="19"/>
      <c r="IVT21" s="19"/>
      <c r="IVU21" s="19"/>
      <c r="IVV21" s="19"/>
      <c r="IVW21" s="19"/>
      <c r="IVX21" s="19"/>
      <c r="IVY21" s="19"/>
      <c r="IVZ21" s="19"/>
      <c r="IWA21" s="19"/>
      <c r="IWB21" s="19"/>
      <c r="IWC21" s="19"/>
      <c r="IWD21" s="19"/>
      <c r="IWE21" s="19"/>
      <c r="IWF21" s="19"/>
      <c r="IWG21" s="19"/>
      <c r="IWH21" s="19"/>
      <c r="IWI21" s="19"/>
      <c r="IWJ21" s="19"/>
      <c r="IWK21" s="19"/>
      <c r="IWL21" s="19"/>
      <c r="IWM21" s="19"/>
      <c r="IWN21" s="19"/>
      <c r="IWO21" s="19"/>
      <c r="IWP21" s="19"/>
      <c r="IWQ21" s="19"/>
      <c r="IWR21" s="19"/>
      <c r="IWS21" s="19"/>
      <c r="IWT21" s="19"/>
      <c r="IWU21" s="19"/>
      <c r="IWV21" s="19"/>
      <c r="IWW21" s="19"/>
      <c r="IWX21" s="19"/>
      <c r="IWY21" s="19"/>
      <c r="IWZ21" s="19"/>
      <c r="IXA21" s="19"/>
      <c r="IXB21" s="19"/>
      <c r="IXC21" s="19"/>
      <c r="IXD21" s="19"/>
      <c r="IXE21" s="19"/>
      <c r="IXF21" s="19"/>
      <c r="IXG21" s="19"/>
      <c r="IXH21" s="19"/>
      <c r="IXI21" s="19"/>
      <c r="IXJ21" s="19"/>
      <c r="IXK21" s="19"/>
      <c r="IXL21" s="19"/>
      <c r="IXM21" s="19"/>
      <c r="IXN21" s="19"/>
      <c r="IXO21" s="19"/>
      <c r="IXP21" s="19"/>
      <c r="IXQ21" s="19"/>
      <c r="IXR21" s="19"/>
      <c r="IXS21" s="19"/>
      <c r="IXT21" s="19"/>
      <c r="IXU21" s="19"/>
      <c r="IXV21" s="19"/>
      <c r="IXW21" s="19"/>
      <c r="IXX21" s="19"/>
      <c r="IXY21" s="19"/>
      <c r="IXZ21" s="19"/>
      <c r="IYA21" s="19"/>
      <c r="IYB21" s="19"/>
      <c r="IYC21" s="19"/>
      <c r="IYD21" s="19"/>
      <c r="IYE21" s="19"/>
      <c r="IYF21" s="19"/>
      <c r="IYG21" s="19"/>
      <c r="IYH21" s="19"/>
      <c r="IYI21" s="19"/>
      <c r="IYJ21" s="19"/>
      <c r="IYK21" s="19"/>
      <c r="IYL21" s="19"/>
      <c r="IYM21" s="19"/>
      <c r="IYN21" s="19"/>
      <c r="IYO21" s="19"/>
      <c r="IYP21" s="19"/>
      <c r="IYQ21" s="19"/>
      <c r="IYR21" s="19"/>
      <c r="IYS21" s="19"/>
      <c r="IYT21" s="19"/>
      <c r="IYU21" s="19"/>
      <c r="IYV21" s="19"/>
      <c r="IYW21" s="19"/>
      <c r="IYX21" s="19"/>
      <c r="IYY21" s="19"/>
      <c r="IYZ21" s="19"/>
      <c r="IZA21" s="19"/>
      <c r="IZB21" s="19"/>
      <c r="IZC21" s="19"/>
      <c r="IZD21" s="19"/>
      <c r="IZE21" s="19"/>
      <c r="IZF21" s="19"/>
      <c r="IZG21" s="19"/>
      <c r="IZH21" s="19"/>
      <c r="IZI21" s="19"/>
      <c r="IZJ21" s="19"/>
      <c r="IZK21" s="19"/>
      <c r="IZL21" s="19"/>
      <c r="IZM21" s="19"/>
      <c r="IZN21" s="19"/>
      <c r="IZO21" s="19"/>
      <c r="IZP21" s="19"/>
      <c r="IZQ21" s="19"/>
      <c r="IZR21" s="19"/>
      <c r="IZS21" s="19"/>
      <c r="IZT21" s="19"/>
      <c r="IZU21" s="19"/>
      <c r="IZV21" s="19"/>
      <c r="IZW21" s="19"/>
      <c r="IZX21" s="19"/>
      <c r="IZY21" s="19"/>
      <c r="IZZ21" s="19"/>
      <c r="JAA21" s="19"/>
      <c r="JAB21" s="19"/>
      <c r="JAC21" s="19"/>
      <c r="JAD21" s="19"/>
      <c r="JAE21" s="19"/>
      <c r="JAF21" s="19"/>
      <c r="JAG21" s="19"/>
      <c r="JAH21" s="19"/>
      <c r="JAI21" s="19"/>
      <c r="JAJ21" s="19"/>
      <c r="JAK21" s="19"/>
      <c r="JAL21" s="19"/>
      <c r="JAM21" s="19"/>
      <c r="JAN21" s="19"/>
      <c r="JAO21" s="19"/>
      <c r="JAP21" s="19"/>
      <c r="JAQ21" s="19"/>
      <c r="JAR21" s="19"/>
      <c r="JAS21" s="19"/>
      <c r="JAT21" s="19"/>
      <c r="JAU21" s="19"/>
      <c r="JAV21" s="19"/>
      <c r="JAW21" s="19"/>
      <c r="JAX21" s="19"/>
      <c r="JAY21" s="19"/>
      <c r="JAZ21" s="19"/>
      <c r="JBA21" s="19"/>
      <c r="JBB21" s="19"/>
      <c r="JBC21" s="19"/>
      <c r="JBD21" s="19"/>
      <c r="JBE21" s="19"/>
      <c r="JBF21" s="19"/>
      <c r="JBG21" s="19"/>
      <c r="JBH21" s="19"/>
      <c r="JBI21" s="19"/>
      <c r="JBJ21" s="19"/>
      <c r="JBK21" s="19"/>
      <c r="JBL21" s="19"/>
      <c r="JBM21" s="19"/>
      <c r="JBN21" s="19"/>
      <c r="JBO21" s="19"/>
      <c r="JBP21" s="19"/>
      <c r="JBQ21" s="19"/>
      <c r="JBR21" s="19"/>
      <c r="JBS21" s="19"/>
      <c r="JBT21" s="19"/>
      <c r="JBU21" s="19"/>
      <c r="JBV21" s="19"/>
      <c r="JBW21" s="19"/>
      <c r="JBX21" s="19"/>
      <c r="JBY21" s="19"/>
      <c r="JBZ21" s="19"/>
      <c r="JCA21" s="19"/>
      <c r="JCB21" s="19"/>
      <c r="JCC21" s="19"/>
      <c r="JCD21" s="19"/>
      <c r="JCE21" s="19"/>
      <c r="JCF21" s="19"/>
      <c r="JCG21" s="19"/>
      <c r="JCH21" s="19"/>
      <c r="JCI21" s="19"/>
      <c r="JCJ21" s="19"/>
      <c r="JCK21" s="19"/>
      <c r="JCL21" s="19"/>
      <c r="JCM21" s="19"/>
      <c r="JCN21" s="19"/>
      <c r="JCO21" s="19"/>
      <c r="JCP21" s="19"/>
      <c r="JCQ21" s="19"/>
      <c r="JCR21" s="19"/>
      <c r="JCS21" s="19"/>
      <c r="JCT21" s="19"/>
      <c r="JCU21" s="19"/>
      <c r="JCV21" s="19"/>
      <c r="JCW21" s="19"/>
      <c r="JCX21" s="19"/>
      <c r="JCY21" s="19"/>
      <c r="JCZ21" s="19"/>
      <c r="JDA21" s="19"/>
      <c r="JDB21" s="19"/>
      <c r="JDC21" s="19"/>
      <c r="JDD21" s="19"/>
      <c r="JDE21" s="19"/>
      <c r="JDF21" s="19"/>
      <c r="JDG21" s="19"/>
      <c r="JDH21" s="19"/>
      <c r="JDI21" s="19"/>
      <c r="JDJ21" s="19"/>
      <c r="JDK21" s="19"/>
      <c r="JDL21" s="19"/>
      <c r="JDM21" s="19"/>
      <c r="JDN21" s="19"/>
      <c r="JDO21" s="19"/>
      <c r="JDP21" s="19"/>
      <c r="JDQ21" s="19"/>
      <c r="JDR21" s="19"/>
      <c r="JDS21" s="19"/>
      <c r="JDT21" s="19"/>
      <c r="JDU21" s="19"/>
      <c r="JDV21" s="19"/>
      <c r="JDW21" s="19"/>
      <c r="JDX21" s="19"/>
      <c r="JDY21" s="19"/>
      <c r="JDZ21" s="19"/>
      <c r="JEA21" s="19"/>
      <c r="JEB21" s="19"/>
      <c r="JEC21" s="19"/>
      <c r="JED21" s="19"/>
      <c r="JEE21" s="19"/>
      <c r="JEF21" s="19"/>
      <c r="JEG21" s="19"/>
      <c r="JEH21" s="19"/>
      <c r="JEI21" s="19"/>
      <c r="JEJ21" s="19"/>
      <c r="JEK21" s="19"/>
      <c r="JEL21" s="19"/>
      <c r="JEM21" s="19"/>
      <c r="JEN21" s="19"/>
      <c r="JEO21" s="19"/>
      <c r="JEP21" s="19"/>
      <c r="JEQ21" s="19"/>
      <c r="JER21" s="19"/>
      <c r="JES21" s="19"/>
      <c r="JET21" s="19"/>
      <c r="JEU21" s="19"/>
      <c r="JEV21" s="19"/>
      <c r="JEW21" s="19"/>
      <c r="JEX21" s="19"/>
      <c r="JEY21" s="19"/>
      <c r="JEZ21" s="19"/>
      <c r="JFA21" s="19"/>
      <c r="JFB21" s="19"/>
      <c r="JFC21" s="19"/>
      <c r="JFD21" s="19"/>
      <c r="JFE21" s="19"/>
      <c r="JFF21" s="19"/>
      <c r="JFG21" s="19"/>
      <c r="JFH21" s="19"/>
      <c r="JFI21" s="19"/>
      <c r="JFJ21" s="19"/>
      <c r="JFK21" s="19"/>
      <c r="JFL21" s="19"/>
      <c r="JFM21" s="19"/>
      <c r="JFN21" s="19"/>
      <c r="JFO21" s="19"/>
      <c r="JFP21" s="19"/>
      <c r="JFQ21" s="19"/>
      <c r="JFR21" s="19"/>
      <c r="JFS21" s="19"/>
      <c r="JFT21" s="19"/>
      <c r="JFU21" s="19"/>
      <c r="JFV21" s="19"/>
      <c r="JFW21" s="19"/>
      <c r="JFX21" s="19"/>
      <c r="JFY21" s="19"/>
      <c r="JFZ21" s="19"/>
      <c r="JGA21" s="19"/>
      <c r="JGB21" s="19"/>
      <c r="JGC21" s="19"/>
      <c r="JGD21" s="19"/>
      <c r="JGE21" s="19"/>
      <c r="JGF21" s="19"/>
      <c r="JGG21" s="19"/>
      <c r="JGH21" s="19"/>
      <c r="JGI21" s="19"/>
      <c r="JGJ21" s="19"/>
      <c r="JGK21" s="19"/>
      <c r="JGL21" s="19"/>
      <c r="JGM21" s="19"/>
      <c r="JGN21" s="19"/>
      <c r="JGO21" s="19"/>
      <c r="JGP21" s="19"/>
      <c r="JGQ21" s="19"/>
      <c r="JGR21" s="19"/>
      <c r="JGS21" s="19"/>
      <c r="JGT21" s="19"/>
      <c r="JGU21" s="19"/>
      <c r="JGV21" s="19"/>
      <c r="JGW21" s="19"/>
      <c r="JGX21" s="19"/>
      <c r="JGY21" s="19"/>
      <c r="JGZ21" s="19"/>
      <c r="JHA21" s="19"/>
      <c r="JHB21" s="19"/>
      <c r="JHC21" s="19"/>
      <c r="JHD21" s="19"/>
      <c r="JHE21" s="19"/>
      <c r="JHF21" s="19"/>
      <c r="JHG21" s="19"/>
      <c r="JHH21" s="19"/>
      <c r="JHI21" s="19"/>
      <c r="JHJ21" s="19"/>
      <c r="JHK21" s="19"/>
      <c r="JHL21" s="19"/>
      <c r="JHM21" s="19"/>
      <c r="JHN21" s="19"/>
      <c r="JHO21" s="19"/>
      <c r="JHP21" s="19"/>
      <c r="JHQ21" s="19"/>
      <c r="JHR21" s="19"/>
      <c r="JHS21" s="19"/>
      <c r="JHT21" s="19"/>
      <c r="JHU21" s="19"/>
      <c r="JHV21" s="19"/>
      <c r="JHW21" s="19"/>
      <c r="JHX21" s="19"/>
      <c r="JHY21" s="19"/>
      <c r="JHZ21" s="19"/>
      <c r="JIA21" s="19"/>
      <c r="JIB21" s="19"/>
      <c r="JIC21" s="19"/>
      <c r="JID21" s="19"/>
      <c r="JIE21" s="19"/>
      <c r="JIF21" s="19"/>
      <c r="JIG21" s="19"/>
      <c r="JIH21" s="19"/>
      <c r="JII21" s="19"/>
      <c r="JIJ21" s="19"/>
      <c r="JIK21" s="19"/>
      <c r="JIL21" s="19"/>
      <c r="JIM21" s="19"/>
      <c r="JIN21" s="19"/>
      <c r="JIO21" s="19"/>
      <c r="JIP21" s="19"/>
      <c r="JIQ21" s="19"/>
      <c r="JIR21" s="19"/>
      <c r="JIS21" s="19"/>
      <c r="JIT21" s="19"/>
      <c r="JIU21" s="19"/>
      <c r="JIV21" s="19"/>
      <c r="JIW21" s="19"/>
      <c r="JIX21" s="19"/>
      <c r="JIY21" s="19"/>
      <c r="JIZ21" s="19"/>
      <c r="JJA21" s="19"/>
      <c r="JJB21" s="19"/>
      <c r="JJC21" s="19"/>
      <c r="JJD21" s="19"/>
      <c r="JJE21" s="19"/>
      <c r="JJF21" s="19"/>
      <c r="JJG21" s="19"/>
      <c r="JJH21" s="19"/>
      <c r="JJI21" s="19"/>
      <c r="JJJ21" s="19"/>
      <c r="JJK21" s="19"/>
      <c r="JJL21" s="19"/>
      <c r="JJM21" s="19"/>
      <c r="JJN21" s="19"/>
      <c r="JJO21" s="19"/>
      <c r="JJP21" s="19"/>
      <c r="JJQ21" s="19"/>
      <c r="JJR21" s="19"/>
      <c r="JJS21" s="19"/>
      <c r="JJT21" s="19"/>
      <c r="JJU21" s="19"/>
      <c r="JJV21" s="19"/>
      <c r="JJW21" s="19"/>
      <c r="JJX21" s="19"/>
      <c r="JJY21" s="19"/>
      <c r="JJZ21" s="19"/>
      <c r="JKA21" s="19"/>
      <c r="JKB21" s="19"/>
      <c r="JKC21" s="19"/>
      <c r="JKD21" s="19"/>
      <c r="JKE21" s="19"/>
      <c r="JKF21" s="19"/>
      <c r="JKG21" s="19"/>
      <c r="JKH21" s="19"/>
      <c r="JKI21" s="19"/>
      <c r="JKJ21" s="19"/>
      <c r="JKK21" s="19"/>
      <c r="JKL21" s="19"/>
      <c r="JKM21" s="19"/>
      <c r="JKN21" s="19"/>
      <c r="JKO21" s="19"/>
      <c r="JKP21" s="19"/>
      <c r="JKQ21" s="19"/>
      <c r="JKR21" s="19"/>
      <c r="JKS21" s="19"/>
      <c r="JKT21" s="19"/>
      <c r="JKU21" s="19"/>
      <c r="JKV21" s="19"/>
      <c r="JKW21" s="19"/>
      <c r="JKX21" s="19"/>
      <c r="JKY21" s="19"/>
      <c r="JKZ21" s="19"/>
      <c r="JLA21" s="19"/>
      <c r="JLB21" s="19"/>
      <c r="JLC21" s="19"/>
      <c r="JLD21" s="19"/>
      <c r="JLE21" s="19"/>
      <c r="JLF21" s="19"/>
      <c r="JLG21" s="19"/>
      <c r="JLH21" s="19"/>
      <c r="JLI21" s="19"/>
      <c r="JLJ21" s="19"/>
      <c r="JLK21" s="19"/>
      <c r="JLL21" s="19"/>
      <c r="JLM21" s="19"/>
      <c r="JLN21" s="19"/>
      <c r="JLO21" s="19"/>
      <c r="JLP21" s="19"/>
      <c r="JLQ21" s="19"/>
      <c r="JLR21" s="19"/>
      <c r="JLS21" s="19"/>
      <c r="JLT21" s="19"/>
      <c r="JLU21" s="19"/>
      <c r="JLV21" s="19"/>
      <c r="JLW21" s="19"/>
      <c r="JLX21" s="19"/>
      <c r="JLY21" s="19"/>
      <c r="JLZ21" s="19"/>
      <c r="JMA21" s="19"/>
      <c r="JMB21" s="19"/>
      <c r="JMC21" s="19"/>
      <c r="JMD21" s="19"/>
      <c r="JME21" s="19"/>
      <c r="JMF21" s="19"/>
      <c r="JMG21" s="19"/>
      <c r="JMH21" s="19"/>
      <c r="JMI21" s="19"/>
      <c r="JMJ21" s="19"/>
      <c r="JMK21" s="19"/>
      <c r="JML21" s="19"/>
      <c r="JMM21" s="19"/>
      <c r="JMN21" s="19"/>
      <c r="JMO21" s="19"/>
      <c r="JMP21" s="19"/>
      <c r="JMQ21" s="19"/>
      <c r="JMR21" s="19"/>
      <c r="JMS21" s="19"/>
      <c r="JMT21" s="19"/>
      <c r="JMU21" s="19"/>
      <c r="JMV21" s="19"/>
      <c r="JMW21" s="19"/>
      <c r="JMX21" s="19"/>
      <c r="JMY21" s="19"/>
      <c r="JMZ21" s="19"/>
      <c r="JNA21" s="19"/>
      <c r="JNB21" s="19"/>
      <c r="JNC21" s="19"/>
      <c r="JND21" s="19"/>
      <c r="JNE21" s="19"/>
      <c r="JNF21" s="19"/>
      <c r="JNG21" s="19"/>
      <c r="JNH21" s="19"/>
      <c r="JNI21" s="19"/>
      <c r="JNJ21" s="19"/>
      <c r="JNK21" s="19"/>
      <c r="JNL21" s="19"/>
      <c r="JNM21" s="19"/>
      <c r="JNN21" s="19"/>
      <c r="JNO21" s="19"/>
      <c r="JNP21" s="19"/>
      <c r="JNQ21" s="19"/>
      <c r="JNR21" s="19"/>
      <c r="JNS21" s="19"/>
      <c r="JNT21" s="19"/>
      <c r="JNU21" s="19"/>
      <c r="JNV21" s="19"/>
      <c r="JNW21" s="19"/>
      <c r="JNX21" s="19"/>
      <c r="JNY21" s="19"/>
      <c r="JNZ21" s="19"/>
      <c r="JOA21" s="19"/>
      <c r="JOB21" s="19"/>
      <c r="JOC21" s="19"/>
      <c r="JOD21" s="19"/>
      <c r="JOE21" s="19"/>
      <c r="JOF21" s="19"/>
      <c r="JOG21" s="19"/>
      <c r="JOH21" s="19"/>
      <c r="JOI21" s="19"/>
      <c r="JOJ21" s="19"/>
      <c r="JOK21" s="19"/>
      <c r="JOL21" s="19"/>
      <c r="JOM21" s="19"/>
      <c r="JON21" s="19"/>
      <c r="JOO21" s="19"/>
      <c r="JOP21" s="19"/>
      <c r="JOQ21" s="19"/>
      <c r="JOR21" s="19"/>
      <c r="JOS21" s="19"/>
      <c r="JOT21" s="19"/>
      <c r="JOU21" s="19"/>
      <c r="JOV21" s="19"/>
      <c r="JOW21" s="19"/>
      <c r="JOX21" s="19"/>
      <c r="JOY21" s="19"/>
      <c r="JOZ21" s="19"/>
      <c r="JPA21" s="19"/>
      <c r="JPB21" s="19"/>
      <c r="JPC21" s="19"/>
      <c r="JPD21" s="19"/>
      <c r="JPE21" s="19"/>
      <c r="JPF21" s="19"/>
      <c r="JPG21" s="19"/>
      <c r="JPH21" s="19"/>
      <c r="JPI21" s="19"/>
      <c r="JPJ21" s="19"/>
      <c r="JPK21" s="19"/>
      <c r="JPL21" s="19"/>
      <c r="JPM21" s="19"/>
      <c r="JPN21" s="19"/>
      <c r="JPO21" s="19"/>
      <c r="JPP21" s="19"/>
      <c r="JPQ21" s="19"/>
      <c r="JPR21" s="19"/>
      <c r="JPS21" s="19"/>
      <c r="JPT21" s="19"/>
      <c r="JPU21" s="19"/>
      <c r="JPV21" s="19"/>
      <c r="JPW21" s="19"/>
      <c r="JPX21" s="19"/>
      <c r="JPY21" s="19"/>
      <c r="JPZ21" s="19"/>
      <c r="JQA21" s="19"/>
      <c r="JQB21" s="19"/>
      <c r="JQC21" s="19"/>
      <c r="JQD21" s="19"/>
      <c r="JQE21" s="19"/>
      <c r="JQF21" s="19"/>
      <c r="JQG21" s="19"/>
      <c r="JQH21" s="19"/>
      <c r="JQI21" s="19"/>
      <c r="JQJ21" s="19"/>
      <c r="JQK21" s="19"/>
      <c r="JQL21" s="19"/>
      <c r="JQM21" s="19"/>
      <c r="JQN21" s="19"/>
      <c r="JQO21" s="19"/>
      <c r="JQP21" s="19"/>
      <c r="JQQ21" s="19"/>
      <c r="JQR21" s="19"/>
      <c r="JQS21" s="19"/>
      <c r="JQT21" s="19"/>
      <c r="JQU21" s="19"/>
      <c r="JQV21" s="19"/>
      <c r="JQW21" s="19"/>
      <c r="JQX21" s="19"/>
      <c r="JQY21" s="19"/>
      <c r="JQZ21" s="19"/>
      <c r="JRA21" s="19"/>
      <c r="JRB21" s="19"/>
      <c r="JRC21" s="19"/>
      <c r="JRD21" s="19"/>
      <c r="JRE21" s="19"/>
      <c r="JRF21" s="19"/>
      <c r="JRG21" s="19"/>
      <c r="JRH21" s="19"/>
      <c r="JRI21" s="19"/>
      <c r="JRJ21" s="19"/>
      <c r="JRK21" s="19"/>
      <c r="JRL21" s="19"/>
      <c r="JRM21" s="19"/>
      <c r="JRN21" s="19"/>
      <c r="JRO21" s="19"/>
      <c r="JRP21" s="19"/>
      <c r="JRQ21" s="19"/>
      <c r="JRR21" s="19"/>
      <c r="JRS21" s="19"/>
      <c r="JRT21" s="19"/>
      <c r="JRU21" s="19"/>
      <c r="JRV21" s="19"/>
      <c r="JRW21" s="19"/>
      <c r="JRX21" s="19"/>
      <c r="JRY21" s="19"/>
      <c r="JRZ21" s="19"/>
      <c r="JSA21" s="19"/>
      <c r="JSB21" s="19"/>
      <c r="JSC21" s="19"/>
      <c r="JSD21" s="19"/>
      <c r="JSE21" s="19"/>
      <c r="JSF21" s="19"/>
      <c r="JSG21" s="19"/>
      <c r="JSH21" s="19"/>
      <c r="JSI21" s="19"/>
      <c r="JSJ21" s="19"/>
      <c r="JSK21" s="19"/>
      <c r="JSL21" s="19"/>
      <c r="JSM21" s="19"/>
      <c r="JSN21" s="19"/>
      <c r="JSO21" s="19"/>
      <c r="JSP21" s="19"/>
      <c r="JSQ21" s="19"/>
      <c r="JSR21" s="19"/>
      <c r="JSS21" s="19"/>
      <c r="JST21" s="19"/>
      <c r="JSU21" s="19"/>
      <c r="JSV21" s="19"/>
      <c r="JSW21" s="19"/>
      <c r="JSX21" s="19"/>
      <c r="JSY21" s="19"/>
      <c r="JSZ21" s="19"/>
      <c r="JTA21" s="19"/>
      <c r="JTB21" s="19"/>
      <c r="JTC21" s="19"/>
      <c r="JTD21" s="19"/>
      <c r="JTE21" s="19"/>
      <c r="JTF21" s="19"/>
      <c r="JTG21" s="19"/>
      <c r="JTH21" s="19"/>
      <c r="JTI21" s="19"/>
      <c r="JTJ21" s="19"/>
      <c r="JTK21" s="19"/>
      <c r="JTL21" s="19"/>
      <c r="JTM21" s="19"/>
      <c r="JTN21" s="19"/>
      <c r="JTO21" s="19"/>
      <c r="JTP21" s="19"/>
      <c r="JTQ21" s="19"/>
      <c r="JTR21" s="19"/>
      <c r="JTS21" s="19"/>
      <c r="JTT21" s="19"/>
      <c r="JTU21" s="19"/>
      <c r="JTV21" s="19"/>
      <c r="JTW21" s="19"/>
      <c r="JTX21" s="19"/>
      <c r="JTY21" s="19"/>
      <c r="JTZ21" s="19"/>
      <c r="JUA21" s="19"/>
      <c r="JUB21" s="19"/>
      <c r="JUC21" s="19"/>
      <c r="JUD21" s="19"/>
      <c r="JUE21" s="19"/>
      <c r="JUF21" s="19"/>
      <c r="JUG21" s="19"/>
      <c r="JUH21" s="19"/>
      <c r="JUI21" s="19"/>
      <c r="JUJ21" s="19"/>
      <c r="JUK21" s="19"/>
      <c r="JUL21" s="19"/>
      <c r="JUM21" s="19"/>
      <c r="JUN21" s="19"/>
      <c r="JUO21" s="19"/>
      <c r="JUP21" s="19"/>
      <c r="JUQ21" s="19"/>
      <c r="JUR21" s="19"/>
      <c r="JUS21" s="19"/>
      <c r="JUT21" s="19"/>
      <c r="JUU21" s="19"/>
      <c r="JUV21" s="19"/>
      <c r="JUW21" s="19"/>
      <c r="JUX21" s="19"/>
      <c r="JUY21" s="19"/>
      <c r="JUZ21" s="19"/>
      <c r="JVA21" s="19"/>
      <c r="JVB21" s="19"/>
      <c r="JVC21" s="19"/>
      <c r="JVD21" s="19"/>
      <c r="JVE21" s="19"/>
      <c r="JVF21" s="19"/>
      <c r="JVG21" s="19"/>
      <c r="JVH21" s="19"/>
      <c r="JVI21" s="19"/>
      <c r="JVJ21" s="19"/>
      <c r="JVK21" s="19"/>
      <c r="JVL21" s="19"/>
      <c r="JVM21" s="19"/>
      <c r="JVN21" s="19"/>
      <c r="JVO21" s="19"/>
      <c r="JVP21" s="19"/>
      <c r="JVQ21" s="19"/>
      <c r="JVR21" s="19"/>
      <c r="JVS21" s="19"/>
      <c r="JVT21" s="19"/>
      <c r="JVU21" s="19"/>
      <c r="JVV21" s="19"/>
      <c r="JVW21" s="19"/>
      <c r="JVX21" s="19"/>
      <c r="JVY21" s="19"/>
      <c r="JVZ21" s="19"/>
      <c r="JWA21" s="19"/>
      <c r="JWB21" s="19"/>
      <c r="JWC21" s="19"/>
      <c r="JWD21" s="19"/>
      <c r="JWE21" s="19"/>
      <c r="JWF21" s="19"/>
      <c r="JWG21" s="19"/>
      <c r="JWH21" s="19"/>
      <c r="JWI21" s="19"/>
      <c r="JWJ21" s="19"/>
      <c r="JWK21" s="19"/>
      <c r="JWL21" s="19"/>
      <c r="JWM21" s="19"/>
      <c r="JWN21" s="19"/>
      <c r="JWO21" s="19"/>
      <c r="JWP21" s="19"/>
      <c r="JWQ21" s="19"/>
      <c r="JWR21" s="19"/>
      <c r="JWS21" s="19"/>
      <c r="JWT21" s="19"/>
      <c r="JWU21" s="19"/>
      <c r="JWV21" s="19"/>
      <c r="JWW21" s="19"/>
      <c r="JWX21" s="19"/>
      <c r="JWY21" s="19"/>
      <c r="JWZ21" s="19"/>
      <c r="JXA21" s="19"/>
      <c r="JXB21" s="19"/>
      <c r="JXC21" s="19"/>
      <c r="JXD21" s="19"/>
      <c r="JXE21" s="19"/>
      <c r="JXF21" s="19"/>
      <c r="JXG21" s="19"/>
      <c r="JXH21" s="19"/>
      <c r="JXI21" s="19"/>
      <c r="JXJ21" s="19"/>
      <c r="JXK21" s="19"/>
      <c r="JXL21" s="19"/>
      <c r="JXM21" s="19"/>
      <c r="JXN21" s="19"/>
      <c r="JXO21" s="19"/>
      <c r="JXP21" s="19"/>
      <c r="JXQ21" s="19"/>
      <c r="JXR21" s="19"/>
      <c r="JXS21" s="19"/>
      <c r="JXT21" s="19"/>
      <c r="JXU21" s="19"/>
      <c r="JXV21" s="19"/>
      <c r="JXW21" s="19"/>
      <c r="JXX21" s="19"/>
      <c r="JXY21" s="19"/>
      <c r="JXZ21" s="19"/>
      <c r="JYA21" s="19"/>
      <c r="JYB21" s="19"/>
      <c r="JYC21" s="19"/>
      <c r="JYD21" s="19"/>
      <c r="JYE21" s="19"/>
      <c r="JYF21" s="19"/>
      <c r="JYG21" s="19"/>
      <c r="JYH21" s="19"/>
      <c r="JYI21" s="19"/>
      <c r="JYJ21" s="19"/>
      <c r="JYK21" s="19"/>
      <c r="JYL21" s="19"/>
      <c r="JYM21" s="19"/>
      <c r="JYN21" s="19"/>
      <c r="JYO21" s="19"/>
      <c r="JYP21" s="19"/>
      <c r="JYQ21" s="19"/>
      <c r="JYR21" s="19"/>
      <c r="JYS21" s="19"/>
      <c r="JYT21" s="19"/>
      <c r="JYU21" s="19"/>
      <c r="JYV21" s="19"/>
      <c r="JYW21" s="19"/>
      <c r="JYX21" s="19"/>
      <c r="JYY21" s="19"/>
      <c r="JYZ21" s="19"/>
      <c r="JZA21" s="19"/>
      <c r="JZB21" s="19"/>
      <c r="JZC21" s="19"/>
      <c r="JZD21" s="19"/>
      <c r="JZE21" s="19"/>
      <c r="JZF21" s="19"/>
      <c r="JZG21" s="19"/>
      <c r="JZH21" s="19"/>
      <c r="JZI21" s="19"/>
      <c r="JZJ21" s="19"/>
      <c r="JZK21" s="19"/>
      <c r="JZL21" s="19"/>
      <c r="JZM21" s="19"/>
      <c r="JZN21" s="19"/>
      <c r="JZO21" s="19"/>
      <c r="JZP21" s="19"/>
      <c r="JZQ21" s="19"/>
      <c r="JZR21" s="19"/>
      <c r="JZS21" s="19"/>
      <c r="JZT21" s="19"/>
      <c r="JZU21" s="19"/>
      <c r="JZV21" s="19"/>
      <c r="JZW21" s="19"/>
      <c r="JZX21" s="19"/>
      <c r="JZY21" s="19"/>
      <c r="JZZ21" s="19"/>
      <c r="KAA21" s="19"/>
      <c r="KAB21" s="19"/>
      <c r="KAC21" s="19"/>
      <c r="KAD21" s="19"/>
      <c r="KAE21" s="19"/>
      <c r="KAF21" s="19"/>
      <c r="KAG21" s="19"/>
      <c r="KAH21" s="19"/>
      <c r="KAI21" s="19"/>
      <c r="KAJ21" s="19"/>
      <c r="KAK21" s="19"/>
      <c r="KAL21" s="19"/>
      <c r="KAM21" s="19"/>
      <c r="KAN21" s="19"/>
      <c r="KAO21" s="19"/>
      <c r="KAP21" s="19"/>
      <c r="KAQ21" s="19"/>
      <c r="KAR21" s="19"/>
      <c r="KAS21" s="19"/>
      <c r="KAT21" s="19"/>
      <c r="KAU21" s="19"/>
      <c r="KAV21" s="19"/>
      <c r="KAW21" s="19"/>
      <c r="KAX21" s="19"/>
      <c r="KAY21" s="19"/>
      <c r="KAZ21" s="19"/>
      <c r="KBA21" s="19"/>
      <c r="KBB21" s="19"/>
      <c r="KBC21" s="19"/>
      <c r="KBD21" s="19"/>
      <c r="KBE21" s="19"/>
      <c r="KBF21" s="19"/>
      <c r="KBG21" s="19"/>
      <c r="KBH21" s="19"/>
      <c r="KBI21" s="19"/>
      <c r="KBJ21" s="19"/>
      <c r="KBK21" s="19"/>
      <c r="KBL21" s="19"/>
      <c r="KBM21" s="19"/>
      <c r="KBN21" s="19"/>
      <c r="KBO21" s="19"/>
      <c r="KBP21" s="19"/>
      <c r="KBQ21" s="19"/>
      <c r="KBR21" s="19"/>
      <c r="KBS21" s="19"/>
      <c r="KBT21" s="19"/>
      <c r="KBU21" s="19"/>
      <c r="KBV21" s="19"/>
      <c r="KBW21" s="19"/>
      <c r="KBX21" s="19"/>
      <c r="KBY21" s="19"/>
      <c r="KBZ21" s="19"/>
      <c r="KCA21" s="19"/>
      <c r="KCB21" s="19"/>
      <c r="KCC21" s="19"/>
      <c r="KCD21" s="19"/>
      <c r="KCE21" s="19"/>
      <c r="KCF21" s="19"/>
      <c r="KCG21" s="19"/>
      <c r="KCH21" s="19"/>
      <c r="KCI21" s="19"/>
      <c r="KCJ21" s="19"/>
      <c r="KCK21" s="19"/>
      <c r="KCL21" s="19"/>
      <c r="KCM21" s="19"/>
      <c r="KCN21" s="19"/>
      <c r="KCO21" s="19"/>
      <c r="KCP21" s="19"/>
      <c r="KCQ21" s="19"/>
      <c r="KCR21" s="19"/>
      <c r="KCS21" s="19"/>
      <c r="KCT21" s="19"/>
      <c r="KCU21" s="19"/>
      <c r="KCV21" s="19"/>
      <c r="KCW21" s="19"/>
      <c r="KCX21" s="19"/>
      <c r="KCY21" s="19"/>
      <c r="KCZ21" s="19"/>
      <c r="KDA21" s="19"/>
      <c r="KDB21" s="19"/>
      <c r="KDC21" s="19"/>
      <c r="KDD21" s="19"/>
      <c r="KDE21" s="19"/>
      <c r="KDF21" s="19"/>
      <c r="KDG21" s="19"/>
      <c r="KDH21" s="19"/>
      <c r="KDI21" s="19"/>
      <c r="KDJ21" s="19"/>
      <c r="KDK21" s="19"/>
      <c r="KDL21" s="19"/>
      <c r="KDM21" s="19"/>
      <c r="KDN21" s="19"/>
      <c r="KDO21" s="19"/>
      <c r="KDP21" s="19"/>
      <c r="KDQ21" s="19"/>
      <c r="KDR21" s="19"/>
      <c r="KDS21" s="19"/>
      <c r="KDT21" s="19"/>
      <c r="KDU21" s="19"/>
      <c r="KDV21" s="19"/>
      <c r="KDW21" s="19"/>
      <c r="KDX21" s="19"/>
      <c r="KDY21" s="19"/>
      <c r="KDZ21" s="19"/>
      <c r="KEA21" s="19"/>
      <c r="KEB21" s="19"/>
      <c r="KEC21" s="19"/>
      <c r="KED21" s="19"/>
      <c r="KEE21" s="19"/>
      <c r="KEF21" s="19"/>
      <c r="KEG21" s="19"/>
      <c r="KEH21" s="19"/>
      <c r="KEI21" s="19"/>
      <c r="KEJ21" s="19"/>
      <c r="KEK21" s="19"/>
      <c r="KEL21" s="19"/>
      <c r="KEM21" s="19"/>
      <c r="KEN21" s="19"/>
      <c r="KEO21" s="19"/>
      <c r="KEP21" s="19"/>
      <c r="KEQ21" s="19"/>
      <c r="KER21" s="19"/>
      <c r="KES21" s="19"/>
      <c r="KET21" s="19"/>
      <c r="KEU21" s="19"/>
      <c r="KEV21" s="19"/>
      <c r="KEW21" s="19"/>
      <c r="KEX21" s="19"/>
      <c r="KEY21" s="19"/>
      <c r="KEZ21" s="19"/>
      <c r="KFA21" s="19"/>
      <c r="KFB21" s="19"/>
      <c r="KFC21" s="19"/>
      <c r="KFD21" s="19"/>
      <c r="KFE21" s="19"/>
      <c r="KFF21" s="19"/>
      <c r="KFG21" s="19"/>
      <c r="KFH21" s="19"/>
      <c r="KFI21" s="19"/>
      <c r="KFJ21" s="19"/>
      <c r="KFK21" s="19"/>
      <c r="KFL21" s="19"/>
      <c r="KFM21" s="19"/>
      <c r="KFN21" s="19"/>
      <c r="KFO21" s="19"/>
      <c r="KFP21" s="19"/>
      <c r="KFQ21" s="19"/>
      <c r="KFR21" s="19"/>
      <c r="KFS21" s="19"/>
      <c r="KFT21" s="19"/>
      <c r="KFU21" s="19"/>
      <c r="KFV21" s="19"/>
      <c r="KFW21" s="19"/>
      <c r="KFX21" s="19"/>
      <c r="KFY21" s="19"/>
      <c r="KFZ21" s="19"/>
      <c r="KGA21" s="19"/>
      <c r="KGB21" s="19"/>
      <c r="KGC21" s="19"/>
      <c r="KGD21" s="19"/>
      <c r="KGE21" s="19"/>
      <c r="KGF21" s="19"/>
      <c r="KGG21" s="19"/>
      <c r="KGH21" s="19"/>
      <c r="KGI21" s="19"/>
      <c r="KGJ21" s="19"/>
      <c r="KGK21" s="19"/>
      <c r="KGL21" s="19"/>
      <c r="KGM21" s="19"/>
      <c r="KGN21" s="19"/>
      <c r="KGO21" s="19"/>
      <c r="KGP21" s="19"/>
      <c r="KGQ21" s="19"/>
      <c r="KGR21" s="19"/>
      <c r="KGS21" s="19"/>
      <c r="KGT21" s="19"/>
      <c r="KGU21" s="19"/>
      <c r="KGV21" s="19"/>
      <c r="KGW21" s="19"/>
      <c r="KGX21" s="19"/>
      <c r="KGY21" s="19"/>
      <c r="KGZ21" s="19"/>
      <c r="KHA21" s="19"/>
      <c r="KHB21" s="19"/>
      <c r="KHC21" s="19"/>
      <c r="KHD21" s="19"/>
      <c r="KHE21" s="19"/>
      <c r="KHF21" s="19"/>
      <c r="KHG21" s="19"/>
      <c r="KHH21" s="19"/>
      <c r="KHI21" s="19"/>
      <c r="KHJ21" s="19"/>
      <c r="KHK21" s="19"/>
      <c r="KHL21" s="19"/>
      <c r="KHM21" s="19"/>
      <c r="KHN21" s="19"/>
      <c r="KHO21" s="19"/>
      <c r="KHP21" s="19"/>
      <c r="KHQ21" s="19"/>
      <c r="KHR21" s="19"/>
      <c r="KHS21" s="19"/>
      <c r="KHT21" s="19"/>
      <c r="KHU21" s="19"/>
      <c r="KHV21" s="19"/>
      <c r="KHW21" s="19"/>
      <c r="KHX21" s="19"/>
      <c r="KHY21" s="19"/>
      <c r="KHZ21" s="19"/>
      <c r="KIA21" s="19"/>
      <c r="KIB21" s="19"/>
      <c r="KIC21" s="19"/>
      <c r="KID21" s="19"/>
      <c r="KIE21" s="19"/>
      <c r="KIF21" s="19"/>
      <c r="KIG21" s="19"/>
      <c r="KIH21" s="19"/>
      <c r="KII21" s="19"/>
      <c r="KIJ21" s="19"/>
      <c r="KIK21" s="19"/>
      <c r="KIL21" s="19"/>
      <c r="KIM21" s="19"/>
      <c r="KIN21" s="19"/>
      <c r="KIO21" s="19"/>
      <c r="KIP21" s="19"/>
      <c r="KIQ21" s="19"/>
      <c r="KIR21" s="19"/>
      <c r="KIS21" s="19"/>
      <c r="KIT21" s="19"/>
      <c r="KIU21" s="19"/>
      <c r="KIV21" s="19"/>
      <c r="KIW21" s="19"/>
      <c r="KIX21" s="19"/>
      <c r="KIY21" s="19"/>
      <c r="KIZ21" s="19"/>
      <c r="KJA21" s="19"/>
      <c r="KJB21" s="19"/>
      <c r="KJC21" s="19"/>
      <c r="KJD21" s="19"/>
      <c r="KJE21" s="19"/>
      <c r="KJF21" s="19"/>
      <c r="KJG21" s="19"/>
      <c r="KJH21" s="19"/>
      <c r="KJI21" s="19"/>
      <c r="KJJ21" s="19"/>
      <c r="KJK21" s="19"/>
      <c r="KJL21" s="19"/>
      <c r="KJM21" s="19"/>
      <c r="KJN21" s="19"/>
      <c r="KJO21" s="19"/>
      <c r="KJP21" s="19"/>
      <c r="KJQ21" s="19"/>
      <c r="KJR21" s="19"/>
      <c r="KJS21" s="19"/>
      <c r="KJT21" s="19"/>
      <c r="KJU21" s="19"/>
      <c r="KJV21" s="19"/>
      <c r="KJW21" s="19"/>
      <c r="KJX21" s="19"/>
      <c r="KJY21" s="19"/>
      <c r="KJZ21" s="19"/>
      <c r="KKA21" s="19"/>
      <c r="KKB21" s="19"/>
      <c r="KKC21" s="19"/>
      <c r="KKD21" s="19"/>
      <c r="KKE21" s="19"/>
      <c r="KKF21" s="19"/>
      <c r="KKG21" s="19"/>
      <c r="KKH21" s="19"/>
      <c r="KKI21" s="19"/>
      <c r="KKJ21" s="19"/>
      <c r="KKK21" s="19"/>
      <c r="KKL21" s="19"/>
      <c r="KKM21" s="19"/>
      <c r="KKN21" s="19"/>
      <c r="KKO21" s="19"/>
      <c r="KKP21" s="19"/>
      <c r="KKQ21" s="19"/>
      <c r="KKR21" s="19"/>
      <c r="KKS21" s="19"/>
      <c r="KKT21" s="19"/>
      <c r="KKU21" s="19"/>
      <c r="KKV21" s="19"/>
      <c r="KKW21" s="19"/>
      <c r="KKX21" s="19"/>
      <c r="KKY21" s="19"/>
      <c r="KKZ21" s="19"/>
      <c r="KLA21" s="19"/>
      <c r="KLB21" s="19"/>
      <c r="KLC21" s="19"/>
      <c r="KLD21" s="19"/>
      <c r="KLE21" s="19"/>
      <c r="KLF21" s="19"/>
      <c r="KLG21" s="19"/>
      <c r="KLH21" s="19"/>
      <c r="KLI21" s="19"/>
      <c r="KLJ21" s="19"/>
      <c r="KLK21" s="19"/>
      <c r="KLL21" s="19"/>
      <c r="KLM21" s="19"/>
      <c r="KLN21" s="19"/>
      <c r="KLO21" s="19"/>
      <c r="KLP21" s="19"/>
      <c r="KLQ21" s="19"/>
      <c r="KLR21" s="19"/>
      <c r="KLS21" s="19"/>
      <c r="KLT21" s="19"/>
      <c r="KLU21" s="19"/>
      <c r="KLV21" s="19"/>
      <c r="KLW21" s="19"/>
      <c r="KLX21" s="19"/>
      <c r="KLY21" s="19"/>
      <c r="KLZ21" s="19"/>
      <c r="KMA21" s="19"/>
      <c r="KMB21" s="19"/>
      <c r="KMC21" s="19"/>
      <c r="KMD21" s="19"/>
      <c r="KME21" s="19"/>
      <c r="KMF21" s="19"/>
      <c r="KMG21" s="19"/>
      <c r="KMH21" s="19"/>
      <c r="KMI21" s="19"/>
      <c r="KMJ21" s="19"/>
      <c r="KMK21" s="19"/>
      <c r="KML21" s="19"/>
      <c r="KMM21" s="19"/>
      <c r="KMN21" s="19"/>
      <c r="KMO21" s="19"/>
      <c r="KMP21" s="19"/>
      <c r="KMQ21" s="19"/>
      <c r="KMR21" s="19"/>
      <c r="KMS21" s="19"/>
      <c r="KMT21" s="19"/>
      <c r="KMU21" s="19"/>
      <c r="KMV21" s="19"/>
      <c r="KMW21" s="19"/>
      <c r="KMX21" s="19"/>
      <c r="KMY21" s="19"/>
      <c r="KMZ21" s="19"/>
      <c r="KNA21" s="19"/>
      <c r="KNB21" s="19"/>
      <c r="KNC21" s="19"/>
      <c r="KND21" s="19"/>
      <c r="KNE21" s="19"/>
      <c r="KNF21" s="19"/>
      <c r="KNG21" s="19"/>
      <c r="KNH21" s="19"/>
      <c r="KNI21" s="19"/>
      <c r="KNJ21" s="19"/>
      <c r="KNK21" s="19"/>
      <c r="KNL21" s="19"/>
      <c r="KNM21" s="19"/>
      <c r="KNN21" s="19"/>
      <c r="KNO21" s="19"/>
      <c r="KNP21" s="19"/>
      <c r="KNQ21" s="19"/>
      <c r="KNR21" s="19"/>
      <c r="KNS21" s="19"/>
      <c r="KNT21" s="19"/>
      <c r="KNU21" s="19"/>
      <c r="KNV21" s="19"/>
      <c r="KNW21" s="19"/>
      <c r="KNX21" s="19"/>
      <c r="KNY21" s="19"/>
      <c r="KNZ21" s="19"/>
      <c r="KOA21" s="19"/>
      <c r="KOB21" s="19"/>
      <c r="KOC21" s="19"/>
      <c r="KOD21" s="19"/>
      <c r="KOE21" s="19"/>
      <c r="KOF21" s="19"/>
      <c r="KOG21" s="19"/>
      <c r="KOH21" s="19"/>
      <c r="KOI21" s="19"/>
      <c r="KOJ21" s="19"/>
      <c r="KOK21" s="19"/>
      <c r="KOL21" s="19"/>
      <c r="KOM21" s="19"/>
      <c r="KON21" s="19"/>
      <c r="KOO21" s="19"/>
      <c r="KOP21" s="19"/>
      <c r="KOQ21" s="19"/>
      <c r="KOR21" s="19"/>
      <c r="KOS21" s="19"/>
      <c r="KOT21" s="19"/>
      <c r="KOU21" s="19"/>
      <c r="KOV21" s="19"/>
      <c r="KOW21" s="19"/>
      <c r="KOX21" s="19"/>
      <c r="KOY21" s="19"/>
      <c r="KOZ21" s="19"/>
      <c r="KPA21" s="19"/>
      <c r="KPB21" s="19"/>
      <c r="KPC21" s="19"/>
      <c r="KPD21" s="19"/>
      <c r="KPE21" s="19"/>
      <c r="KPF21" s="19"/>
      <c r="KPG21" s="19"/>
      <c r="KPH21" s="19"/>
      <c r="KPI21" s="19"/>
      <c r="KPJ21" s="19"/>
      <c r="KPK21" s="19"/>
      <c r="KPL21" s="19"/>
      <c r="KPM21" s="19"/>
      <c r="KPN21" s="19"/>
      <c r="KPO21" s="19"/>
      <c r="KPP21" s="19"/>
      <c r="KPQ21" s="19"/>
      <c r="KPR21" s="19"/>
      <c r="KPS21" s="19"/>
      <c r="KPT21" s="19"/>
      <c r="KPU21" s="19"/>
      <c r="KPV21" s="19"/>
      <c r="KPW21" s="19"/>
      <c r="KPX21" s="19"/>
      <c r="KPY21" s="19"/>
      <c r="KPZ21" s="19"/>
      <c r="KQA21" s="19"/>
      <c r="KQB21" s="19"/>
      <c r="KQC21" s="19"/>
      <c r="KQD21" s="19"/>
      <c r="KQE21" s="19"/>
      <c r="KQF21" s="19"/>
      <c r="KQG21" s="19"/>
      <c r="KQH21" s="19"/>
      <c r="KQI21" s="19"/>
      <c r="KQJ21" s="19"/>
      <c r="KQK21" s="19"/>
      <c r="KQL21" s="19"/>
      <c r="KQM21" s="19"/>
      <c r="KQN21" s="19"/>
      <c r="KQO21" s="19"/>
      <c r="KQP21" s="19"/>
      <c r="KQQ21" s="19"/>
      <c r="KQR21" s="19"/>
      <c r="KQS21" s="19"/>
      <c r="KQT21" s="19"/>
      <c r="KQU21" s="19"/>
      <c r="KQV21" s="19"/>
      <c r="KQW21" s="19"/>
      <c r="KQX21" s="19"/>
      <c r="KQY21" s="19"/>
      <c r="KQZ21" s="19"/>
      <c r="KRA21" s="19"/>
      <c r="KRB21" s="19"/>
      <c r="KRC21" s="19"/>
      <c r="KRD21" s="19"/>
      <c r="KRE21" s="19"/>
      <c r="KRF21" s="19"/>
      <c r="KRG21" s="19"/>
      <c r="KRH21" s="19"/>
      <c r="KRI21" s="19"/>
      <c r="KRJ21" s="19"/>
      <c r="KRK21" s="19"/>
      <c r="KRL21" s="19"/>
      <c r="KRM21" s="19"/>
      <c r="KRN21" s="19"/>
      <c r="KRO21" s="19"/>
      <c r="KRP21" s="19"/>
      <c r="KRQ21" s="19"/>
      <c r="KRR21" s="19"/>
      <c r="KRS21" s="19"/>
      <c r="KRT21" s="19"/>
      <c r="KRU21" s="19"/>
      <c r="KRV21" s="19"/>
      <c r="KRW21" s="19"/>
      <c r="KRX21" s="19"/>
      <c r="KRY21" s="19"/>
      <c r="KRZ21" s="19"/>
      <c r="KSA21" s="19"/>
      <c r="KSB21" s="19"/>
      <c r="KSC21" s="19"/>
      <c r="KSD21" s="19"/>
      <c r="KSE21" s="19"/>
      <c r="KSF21" s="19"/>
      <c r="KSG21" s="19"/>
      <c r="KSH21" s="19"/>
      <c r="KSI21" s="19"/>
      <c r="KSJ21" s="19"/>
      <c r="KSK21" s="19"/>
      <c r="KSL21" s="19"/>
      <c r="KSM21" s="19"/>
      <c r="KSN21" s="19"/>
      <c r="KSO21" s="19"/>
      <c r="KSP21" s="19"/>
      <c r="KSQ21" s="19"/>
      <c r="KSR21" s="19"/>
      <c r="KSS21" s="19"/>
      <c r="KST21" s="19"/>
      <c r="KSU21" s="19"/>
      <c r="KSV21" s="19"/>
      <c r="KSW21" s="19"/>
      <c r="KSX21" s="19"/>
      <c r="KSY21" s="19"/>
      <c r="KSZ21" s="19"/>
      <c r="KTA21" s="19"/>
      <c r="KTB21" s="19"/>
      <c r="KTC21" s="19"/>
      <c r="KTD21" s="19"/>
      <c r="KTE21" s="19"/>
      <c r="KTF21" s="19"/>
      <c r="KTG21" s="19"/>
      <c r="KTH21" s="19"/>
      <c r="KTI21" s="19"/>
      <c r="KTJ21" s="19"/>
      <c r="KTK21" s="19"/>
      <c r="KTL21" s="19"/>
      <c r="KTM21" s="19"/>
      <c r="KTN21" s="19"/>
      <c r="KTO21" s="19"/>
      <c r="KTP21" s="19"/>
      <c r="KTQ21" s="19"/>
      <c r="KTR21" s="19"/>
      <c r="KTS21" s="19"/>
      <c r="KTT21" s="19"/>
      <c r="KTU21" s="19"/>
      <c r="KTV21" s="19"/>
      <c r="KTW21" s="19"/>
      <c r="KTX21" s="19"/>
      <c r="KTY21" s="19"/>
      <c r="KTZ21" s="19"/>
      <c r="KUA21" s="19"/>
      <c r="KUB21" s="19"/>
      <c r="KUC21" s="19"/>
      <c r="KUD21" s="19"/>
      <c r="KUE21" s="19"/>
      <c r="KUF21" s="19"/>
      <c r="KUG21" s="19"/>
      <c r="KUH21" s="19"/>
      <c r="KUI21" s="19"/>
      <c r="KUJ21" s="19"/>
      <c r="KUK21" s="19"/>
      <c r="KUL21" s="19"/>
      <c r="KUM21" s="19"/>
      <c r="KUN21" s="19"/>
      <c r="KUO21" s="19"/>
      <c r="KUP21" s="19"/>
      <c r="KUQ21" s="19"/>
      <c r="KUR21" s="19"/>
      <c r="KUS21" s="19"/>
      <c r="KUT21" s="19"/>
      <c r="KUU21" s="19"/>
      <c r="KUV21" s="19"/>
      <c r="KUW21" s="19"/>
      <c r="KUX21" s="19"/>
      <c r="KUY21" s="19"/>
      <c r="KUZ21" s="19"/>
      <c r="KVA21" s="19"/>
      <c r="KVB21" s="19"/>
      <c r="KVC21" s="19"/>
      <c r="KVD21" s="19"/>
      <c r="KVE21" s="19"/>
      <c r="KVF21" s="19"/>
      <c r="KVG21" s="19"/>
      <c r="KVH21" s="19"/>
      <c r="KVI21" s="19"/>
      <c r="KVJ21" s="19"/>
      <c r="KVK21" s="19"/>
      <c r="KVL21" s="19"/>
      <c r="KVM21" s="19"/>
      <c r="KVN21" s="19"/>
      <c r="KVO21" s="19"/>
      <c r="KVP21" s="19"/>
      <c r="KVQ21" s="19"/>
      <c r="KVR21" s="19"/>
      <c r="KVS21" s="19"/>
      <c r="KVT21" s="19"/>
      <c r="KVU21" s="19"/>
      <c r="KVV21" s="19"/>
      <c r="KVW21" s="19"/>
      <c r="KVX21" s="19"/>
      <c r="KVY21" s="19"/>
      <c r="KVZ21" s="19"/>
      <c r="KWA21" s="19"/>
      <c r="KWB21" s="19"/>
      <c r="KWC21" s="19"/>
      <c r="KWD21" s="19"/>
      <c r="KWE21" s="19"/>
      <c r="KWF21" s="19"/>
      <c r="KWG21" s="19"/>
      <c r="KWH21" s="19"/>
      <c r="KWI21" s="19"/>
      <c r="KWJ21" s="19"/>
      <c r="KWK21" s="19"/>
      <c r="KWL21" s="19"/>
      <c r="KWM21" s="19"/>
      <c r="KWN21" s="19"/>
      <c r="KWO21" s="19"/>
      <c r="KWP21" s="19"/>
      <c r="KWQ21" s="19"/>
      <c r="KWR21" s="19"/>
      <c r="KWS21" s="19"/>
      <c r="KWT21" s="19"/>
      <c r="KWU21" s="19"/>
      <c r="KWV21" s="19"/>
      <c r="KWW21" s="19"/>
      <c r="KWX21" s="19"/>
      <c r="KWY21" s="19"/>
      <c r="KWZ21" s="19"/>
      <c r="KXA21" s="19"/>
      <c r="KXB21" s="19"/>
      <c r="KXC21" s="19"/>
      <c r="KXD21" s="19"/>
      <c r="KXE21" s="19"/>
      <c r="KXF21" s="19"/>
      <c r="KXG21" s="19"/>
      <c r="KXH21" s="19"/>
      <c r="KXI21" s="19"/>
      <c r="KXJ21" s="19"/>
      <c r="KXK21" s="19"/>
      <c r="KXL21" s="19"/>
      <c r="KXM21" s="19"/>
      <c r="KXN21" s="19"/>
      <c r="KXO21" s="19"/>
      <c r="KXP21" s="19"/>
      <c r="KXQ21" s="19"/>
      <c r="KXR21" s="19"/>
      <c r="KXS21" s="19"/>
      <c r="KXT21" s="19"/>
      <c r="KXU21" s="19"/>
      <c r="KXV21" s="19"/>
      <c r="KXW21" s="19"/>
      <c r="KXX21" s="19"/>
      <c r="KXY21" s="19"/>
      <c r="KXZ21" s="19"/>
      <c r="KYA21" s="19"/>
      <c r="KYB21" s="19"/>
      <c r="KYC21" s="19"/>
      <c r="KYD21" s="19"/>
      <c r="KYE21" s="19"/>
      <c r="KYF21" s="19"/>
      <c r="KYG21" s="19"/>
      <c r="KYH21" s="19"/>
      <c r="KYI21" s="19"/>
      <c r="KYJ21" s="19"/>
      <c r="KYK21" s="19"/>
      <c r="KYL21" s="19"/>
      <c r="KYM21" s="19"/>
      <c r="KYN21" s="19"/>
      <c r="KYO21" s="19"/>
      <c r="KYP21" s="19"/>
      <c r="KYQ21" s="19"/>
      <c r="KYR21" s="19"/>
      <c r="KYS21" s="19"/>
      <c r="KYT21" s="19"/>
      <c r="KYU21" s="19"/>
      <c r="KYV21" s="19"/>
      <c r="KYW21" s="19"/>
      <c r="KYX21" s="19"/>
      <c r="KYY21" s="19"/>
      <c r="KYZ21" s="19"/>
      <c r="KZA21" s="19"/>
      <c r="KZB21" s="19"/>
      <c r="KZC21" s="19"/>
      <c r="KZD21" s="19"/>
      <c r="KZE21" s="19"/>
      <c r="KZF21" s="19"/>
      <c r="KZG21" s="19"/>
      <c r="KZH21" s="19"/>
      <c r="KZI21" s="19"/>
      <c r="KZJ21" s="19"/>
      <c r="KZK21" s="19"/>
      <c r="KZL21" s="19"/>
      <c r="KZM21" s="19"/>
      <c r="KZN21" s="19"/>
      <c r="KZO21" s="19"/>
      <c r="KZP21" s="19"/>
      <c r="KZQ21" s="19"/>
      <c r="KZR21" s="19"/>
      <c r="KZS21" s="19"/>
      <c r="KZT21" s="19"/>
      <c r="KZU21" s="19"/>
      <c r="KZV21" s="19"/>
      <c r="KZW21" s="19"/>
      <c r="KZX21" s="19"/>
      <c r="KZY21" s="19"/>
      <c r="KZZ21" s="19"/>
      <c r="LAA21" s="19"/>
      <c r="LAB21" s="19"/>
      <c r="LAC21" s="19"/>
      <c r="LAD21" s="19"/>
      <c r="LAE21" s="19"/>
      <c r="LAF21" s="19"/>
      <c r="LAG21" s="19"/>
      <c r="LAH21" s="19"/>
      <c r="LAI21" s="19"/>
      <c r="LAJ21" s="19"/>
      <c r="LAK21" s="19"/>
      <c r="LAL21" s="19"/>
      <c r="LAM21" s="19"/>
      <c r="LAN21" s="19"/>
      <c r="LAO21" s="19"/>
      <c r="LAP21" s="19"/>
      <c r="LAQ21" s="19"/>
      <c r="LAR21" s="19"/>
      <c r="LAS21" s="19"/>
      <c r="LAT21" s="19"/>
      <c r="LAU21" s="19"/>
      <c r="LAV21" s="19"/>
      <c r="LAW21" s="19"/>
      <c r="LAX21" s="19"/>
      <c r="LAY21" s="19"/>
      <c r="LAZ21" s="19"/>
      <c r="LBA21" s="19"/>
      <c r="LBB21" s="19"/>
      <c r="LBC21" s="19"/>
      <c r="LBD21" s="19"/>
      <c r="LBE21" s="19"/>
      <c r="LBF21" s="19"/>
      <c r="LBG21" s="19"/>
      <c r="LBH21" s="19"/>
      <c r="LBI21" s="19"/>
      <c r="LBJ21" s="19"/>
      <c r="LBK21" s="19"/>
      <c r="LBL21" s="19"/>
      <c r="LBM21" s="19"/>
      <c r="LBN21" s="19"/>
      <c r="LBO21" s="19"/>
      <c r="LBP21" s="19"/>
      <c r="LBQ21" s="19"/>
      <c r="LBR21" s="19"/>
      <c r="LBS21" s="19"/>
      <c r="LBT21" s="19"/>
      <c r="LBU21" s="19"/>
      <c r="LBV21" s="19"/>
      <c r="LBW21" s="19"/>
      <c r="LBX21" s="19"/>
      <c r="LBY21" s="19"/>
      <c r="LBZ21" s="19"/>
      <c r="LCA21" s="19"/>
      <c r="LCB21" s="19"/>
      <c r="LCC21" s="19"/>
      <c r="LCD21" s="19"/>
      <c r="LCE21" s="19"/>
      <c r="LCF21" s="19"/>
      <c r="LCG21" s="19"/>
      <c r="LCH21" s="19"/>
      <c r="LCI21" s="19"/>
      <c r="LCJ21" s="19"/>
      <c r="LCK21" s="19"/>
      <c r="LCL21" s="19"/>
      <c r="LCM21" s="19"/>
      <c r="LCN21" s="19"/>
      <c r="LCO21" s="19"/>
      <c r="LCP21" s="19"/>
      <c r="LCQ21" s="19"/>
      <c r="LCR21" s="19"/>
      <c r="LCS21" s="19"/>
      <c r="LCT21" s="19"/>
      <c r="LCU21" s="19"/>
      <c r="LCV21" s="19"/>
      <c r="LCW21" s="19"/>
      <c r="LCX21" s="19"/>
      <c r="LCY21" s="19"/>
      <c r="LCZ21" s="19"/>
      <c r="LDA21" s="19"/>
      <c r="LDB21" s="19"/>
      <c r="LDC21" s="19"/>
      <c r="LDD21" s="19"/>
      <c r="LDE21" s="19"/>
      <c r="LDF21" s="19"/>
      <c r="LDG21" s="19"/>
      <c r="LDH21" s="19"/>
      <c r="LDI21" s="19"/>
      <c r="LDJ21" s="19"/>
      <c r="LDK21" s="19"/>
      <c r="LDL21" s="19"/>
      <c r="LDM21" s="19"/>
      <c r="LDN21" s="19"/>
      <c r="LDO21" s="19"/>
      <c r="LDP21" s="19"/>
      <c r="LDQ21" s="19"/>
      <c r="LDR21" s="19"/>
      <c r="LDS21" s="19"/>
      <c r="LDT21" s="19"/>
      <c r="LDU21" s="19"/>
      <c r="LDV21" s="19"/>
      <c r="LDW21" s="19"/>
      <c r="LDX21" s="19"/>
      <c r="LDY21" s="19"/>
      <c r="LDZ21" s="19"/>
      <c r="LEA21" s="19"/>
      <c r="LEB21" s="19"/>
      <c r="LEC21" s="19"/>
      <c r="LED21" s="19"/>
      <c r="LEE21" s="19"/>
      <c r="LEF21" s="19"/>
      <c r="LEG21" s="19"/>
      <c r="LEH21" s="19"/>
      <c r="LEI21" s="19"/>
      <c r="LEJ21" s="19"/>
      <c r="LEK21" s="19"/>
      <c r="LEL21" s="19"/>
      <c r="LEM21" s="19"/>
      <c r="LEN21" s="19"/>
      <c r="LEO21" s="19"/>
      <c r="LEP21" s="19"/>
      <c r="LEQ21" s="19"/>
      <c r="LER21" s="19"/>
      <c r="LES21" s="19"/>
      <c r="LET21" s="19"/>
      <c r="LEU21" s="19"/>
      <c r="LEV21" s="19"/>
      <c r="LEW21" s="19"/>
      <c r="LEX21" s="19"/>
      <c r="LEY21" s="19"/>
      <c r="LEZ21" s="19"/>
      <c r="LFA21" s="19"/>
      <c r="LFB21" s="19"/>
      <c r="LFC21" s="19"/>
      <c r="LFD21" s="19"/>
      <c r="LFE21" s="19"/>
      <c r="LFF21" s="19"/>
      <c r="LFG21" s="19"/>
      <c r="LFH21" s="19"/>
      <c r="LFI21" s="19"/>
      <c r="LFJ21" s="19"/>
      <c r="LFK21" s="19"/>
      <c r="LFL21" s="19"/>
      <c r="LFM21" s="19"/>
      <c r="LFN21" s="19"/>
      <c r="LFO21" s="19"/>
      <c r="LFP21" s="19"/>
      <c r="LFQ21" s="19"/>
      <c r="LFR21" s="19"/>
      <c r="LFS21" s="19"/>
      <c r="LFT21" s="19"/>
      <c r="LFU21" s="19"/>
      <c r="LFV21" s="19"/>
      <c r="LFW21" s="19"/>
      <c r="LFX21" s="19"/>
      <c r="LFY21" s="19"/>
      <c r="LFZ21" s="19"/>
      <c r="LGA21" s="19"/>
      <c r="LGB21" s="19"/>
      <c r="LGC21" s="19"/>
      <c r="LGD21" s="19"/>
      <c r="LGE21" s="19"/>
      <c r="LGF21" s="19"/>
      <c r="LGG21" s="19"/>
      <c r="LGH21" s="19"/>
      <c r="LGI21" s="19"/>
      <c r="LGJ21" s="19"/>
      <c r="LGK21" s="19"/>
      <c r="LGL21" s="19"/>
      <c r="LGM21" s="19"/>
      <c r="LGN21" s="19"/>
      <c r="LGO21" s="19"/>
      <c r="LGP21" s="19"/>
      <c r="LGQ21" s="19"/>
      <c r="LGR21" s="19"/>
      <c r="LGS21" s="19"/>
      <c r="LGT21" s="19"/>
      <c r="LGU21" s="19"/>
      <c r="LGV21" s="19"/>
      <c r="LGW21" s="19"/>
      <c r="LGX21" s="19"/>
      <c r="LGY21" s="19"/>
      <c r="LGZ21" s="19"/>
      <c r="LHA21" s="19"/>
      <c r="LHB21" s="19"/>
      <c r="LHC21" s="19"/>
      <c r="LHD21" s="19"/>
      <c r="LHE21" s="19"/>
      <c r="LHF21" s="19"/>
      <c r="LHG21" s="19"/>
      <c r="LHH21" s="19"/>
      <c r="LHI21" s="19"/>
      <c r="LHJ21" s="19"/>
      <c r="LHK21" s="19"/>
      <c r="LHL21" s="19"/>
      <c r="LHM21" s="19"/>
      <c r="LHN21" s="19"/>
      <c r="LHO21" s="19"/>
      <c r="LHP21" s="19"/>
      <c r="LHQ21" s="19"/>
      <c r="LHR21" s="19"/>
      <c r="LHS21" s="19"/>
      <c r="LHT21" s="19"/>
      <c r="LHU21" s="19"/>
      <c r="LHV21" s="19"/>
      <c r="LHW21" s="19"/>
      <c r="LHX21" s="19"/>
      <c r="LHY21" s="19"/>
      <c r="LHZ21" s="19"/>
      <c r="LIA21" s="19"/>
      <c r="LIB21" s="19"/>
      <c r="LIC21" s="19"/>
      <c r="LID21" s="19"/>
      <c r="LIE21" s="19"/>
      <c r="LIF21" s="19"/>
      <c r="LIG21" s="19"/>
      <c r="LIH21" s="19"/>
      <c r="LII21" s="19"/>
      <c r="LIJ21" s="19"/>
      <c r="LIK21" s="19"/>
      <c r="LIL21" s="19"/>
      <c r="LIM21" s="19"/>
      <c r="LIN21" s="19"/>
      <c r="LIO21" s="19"/>
      <c r="LIP21" s="19"/>
      <c r="LIQ21" s="19"/>
      <c r="LIR21" s="19"/>
      <c r="LIS21" s="19"/>
      <c r="LIT21" s="19"/>
      <c r="LIU21" s="19"/>
      <c r="LIV21" s="19"/>
      <c r="LIW21" s="19"/>
      <c r="LIX21" s="19"/>
      <c r="LIY21" s="19"/>
      <c r="LIZ21" s="19"/>
      <c r="LJA21" s="19"/>
      <c r="LJB21" s="19"/>
      <c r="LJC21" s="19"/>
      <c r="LJD21" s="19"/>
      <c r="LJE21" s="19"/>
      <c r="LJF21" s="19"/>
      <c r="LJG21" s="19"/>
      <c r="LJH21" s="19"/>
      <c r="LJI21" s="19"/>
      <c r="LJJ21" s="19"/>
      <c r="LJK21" s="19"/>
      <c r="LJL21" s="19"/>
      <c r="LJM21" s="19"/>
      <c r="LJN21" s="19"/>
      <c r="LJO21" s="19"/>
      <c r="LJP21" s="19"/>
      <c r="LJQ21" s="19"/>
      <c r="LJR21" s="19"/>
      <c r="LJS21" s="19"/>
      <c r="LJT21" s="19"/>
      <c r="LJU21" s="19"/>
      <c r="LJV21" s="19"/>
      <c r="LJW21" s="19"/>
      <c r="LJX21" s="19"/>
      <c r="LJY21" s="19"/>
      <c r="LJZ21" s="19"/>
      <c r="LKA21" s="19"/>
      <c r="LKB21" s="19"/>
      <c r="LKC21" s="19"/>
      <c r="LKD21" s="19"/>
      <c r="LKE21" s="19"/>
      <c r="LKF21" s="19"/>
      <c r="LKG21" s="19"/>
      <c r="LKH21" s="19"/>
      <c r="LKI21" s="19"/>
      <c r="LKJ21" s="19"/>
      <c r="LKK21" s="19"/>
      <c r="LKL21" s="19"/>
      <c r="LKM21" s="19"/>
      <c r="LKN21" s="19"/>
      <c r="LKO21" s="19"/>
      <c r="LKP21" s="19"/>
      <c r="LKQ21" s="19"/>
      <c r="LKR21" s="19"/>
      <c r="LKS21" s="19"/>
      <c r="LKT21" s="19"/>
      <c r="LKU21" s="19"/>
      <c r="LKV21" s="19"/>
      <c r="LKW21" s="19"/>
      <c r="LKX21" s="19"/>
      <c r="LKY21" s="19"/>
      <c r="LKZ21" s="19"/>
      <c r="LLA21" s="19"/>
      <c r="LLB21" s="19"/>
      <c r="LLC21" s="19"/>
      <c r="LLD21" s="19"/>
      <c r="LLE21" s="19"/>
      <c r="LLF21" s="19"/>
      <c r="LLG21" s="19"/>
      <c r="LLH21" s="19"/>
      <c r="LLI21" s="19"/>
      <c r="LLJ21" s="19"/>
      <c r="LLK21" s="19"/>
      <c r="LLL21" s="19"/>
      <c r="LLM21" s="19"/>
      <c r="LLN21" s="19"/>
      <c r="LLO21" s="19"/>
      <c r="LLP21" s="19"/>
      <c r="LLQ21" s="19"/>
      <c r="LLR21" s="19"/>
      <c r="LLS21" s="19"/>
      <c r="LLT21" s="19"/>
      <c r="LLU21" s="19"/>
      <c r="LLV21" s="19"/>
      <c r="LLW21" s="19"/>
      <c r="LLX21" s="19"/>
      <c r="LLY21" s="19"/>
      <c r="LLZ21" s="19"/>
      <c r="LMA21" s="19"/>
      <c r="LMB21" s="19"/>
      <c r="LMC21" s="19"/>
      <c r="LMD21" s="19"/>
      <c r="LME21" s="19"/>
      <c r="LMF21" s="19"/>
      <c r="LMG21" s="19"/>
      <c r="LMH21" s="19"/>
      <c r="LMI21" s="19"/>
      <c r="LMJ21" s="19"/>
      <c r="LMK21" s="19"/>
      <c r="LML21" s="19"/>
      <c r="LMM21" s="19"/>
      <c r="LMN21" s="19"/>
      <c r="LMO21" s="19"/>
      <c r="LMP21" s="19"/>
      <c r="LMQ21" s="19"/>
      <c r="LMR21" s="19"/>
      <c r="LMS21" s="19"/>
      <c r="LMT21" s="19"/>
      <c r="LMU21" s="19"/>
      <c r="LMV21" s="19"/>
      <c r="LMW21" s="19"/>
      <c r="LMX21" s="19"/>
      <c r="LMY21" s="19"/>
      <c r="LMZ21" s="19"/>
      <c r="LNA21" s="19"/>
      <c r="LNB21" s="19"/>
      <c r="LNC21" s="19"/>
      <c r="LND21" s="19"/>
      <c r="LNE21" s="19"/>
      <c r="LNF21" s="19"/>
      <c r="LNG21" s="19"/>
      <c r="LNH21" s="19"/>
      <c r="LNI21" s="19"/>
      <c r="LNJ21" s="19"/>
      <c r="LNK21" s="19"/>
      <c r="LNL21" s="19"/>
      <c r="LNM21" s="19"/>
      <c r="LNN21" s="19"/>
      <c r="LNO21" s="19"/>
      <c r="LNP21" s="19"/>
      <c r="LNQ21" s="19"/>
      <c r="LNR21" s="19"/>
      <c r="LNS21" s="19"/>
      <c r="LNT21" s="19"/>
      <c r="LNU21" s="19"/>
      <c r="LNV21" s="19"/>
      <c r="LNW21" s="19"/>
      <c r="LNX21" s="19"/>
      <c r="LNY21" s="19"/>
      <c r="LNZ21" s="19"/>
      <c r="LOA21" s="19"/>
      <c r="LOB21" s="19"/>
      <c r="LOC21" s="19"/>
      <c r="LOD21" s="19"/>
      <c r="LOE21" s="19"/>
      <c r="LOF21" s="19"/>
      <c r="LOG21" s="19"/>
      <c r="LOH21" s="19"/>
      <c r="LOI21" s="19"/>
      <c r="LOJ21" s="19"/>
      <c r="LOK21" s="19"/>
      <c r="LOL21" s="19"/>
      <c r="LOM21" s="19"/>
      <c r="LON21" s="19"/>
      <c r="LOO21" s="19"/>
      <c r="LOP21" s="19"/>
      <c r="LOQ21" s="19"/>
      <c r="LOR21" s="19"/>
      <c r="LOS21" s="19"/>
      <c r="LOT21" s="19"/>
      <c r="LOU21" s="19"/>
      <c r="LOV21" s="19"/>
      <c r="LOW21" s="19"/>
      <c r="LOX21" s="19"/>
      <c r="LOY21" s="19"/>
      <c r="LOZ21" s="19"/>
      <c r="LPA21" s="19"/>
      <c r="LPB21" s="19"/>
      <c r="LPC21" s="19"/>
      <c r="LPD21" s="19"/>
      <c r="LPE21" s="19"/>
      <c r="LPF21" s="19"/>
      <c r="LPG21" s="19"/>
      <c r="LPH21" s="19"/>
      <c r="LPI21" s="19"/>
      <c r="LPJ21" s="19"/>
      <c r="LPK21" s="19"/>
      <c r="LPL21" s="19"/>
      <c r="LPM21" s="19"/>
      <c r="LPN21" s="19"/>
      <c r="LPO21" s="19"/>
      <c r="LPP21" s="19"/>
      <c r="LPQ21" s="19"/>
      <c r="LPR21" s="19"/>
      <c r="LPS21" s="19"/>
      <c r="LPT21" s="19"/>
      <c r="LPU21" s="19"/>
      <c r="LPV21" s="19"/>
      <c r="LPW21" s="19"/>
      <c r="LPX21" s="19"/>
      <c r="LPY21" s="19"/>
      <c r="LPZ21" s="19"/>
      <c r="LQA21" s="19"/>
      <c r="LQB21" s="19"/>
      <c r="LQC21" s="19"/>
      <c r="LQD21" s="19"/>
      <c r="LQE21" s="19"/>
      <c r="LQF21" s="19"/>
      <c r="LQG21" s="19"/>
      <c r="LQH21" s="19"/>
      <c r="LQI21" s="19"/>
      <c r="LQJ21" s="19"/>
      <c r="LQK21" s="19"/>
      <c r="LQL21" s="19"/>
      <c r="LQM21" s="19"/>
      <c r="LQN21" s="19"/>
      <c r="LQO21" s="19"/>
      <c r="LQP21" s="19"/>
      <c r="LQQ21" s="19"/>
      <c r="LQR21" s="19"/>
      <c r="LQS21" s="19"/>
      <c r="LQT21" s="19"/>
      <c r="LQU21" s="19"/>
      <c r="LQV21" s="19"/>
      <c r="LQW21" s="19"/>
      <c r="LQX21" s="19"/>
      <c r="LQY21" s="19"/>
      <c r="LQZ21" s="19"/>
      <c r="LRA21" s="19"/>
      <c r="LRB21" s="19"/>
      <c r="LRC21" s="19"/>
      <c r="LRD21" s="19"/>
      <c r="LRE21" s="19"/>
      <c r="LRF21" s="19"/>
      <c r="LRG21" s="19"/>
      <c r="LRH21" s="19"/>
      <c r="LRI21" s="19"/>
      <c r="LRJ21" s="19"/>
      <c r="LRK21" s="19"/>
      <c r="LRL21" s="19"/>
      <c r="LRM21" s="19"/>
      <c r="LRN21" s="19"/>
      <c r="LRO21" s="19"/>
      <c r="LRP21" s="19"/>
      <c r="LRQ21" s="19"/>
      <c r="LRR21" s="19"/>
      <c r="LRS21" s="19"/>
      <c r="LRT21" s="19"/>
      <c r="LRU21" s="19"/>
      <c r="LRV21" s="19"/>
      <c r="LRW21" s="19"/>
      <c r="LRX21" s="19"/>
      <c r="LRY21" s="19"/>
      <c r="LRZ21" s="19"/>
      <c r="LSA21" s="19"/>
      <c r="LSB21" s="19"/>
      <c r="LSC21" s="19"/>
      <c r="LSD21" s="19"/>
      <c r="LSE21" s="19"/>
      <c r="LSF21" s="19"/>
      <c r="LSG21" s="19"/>
      <c r="LSH21" s="19"/>
      <c r="LSI21" s="19"/>
      <c r="LSJ21" s="19"/>
      <c r="LSK21" s="19"/>
      <c r="LSL21" s="19"/>
      <c r="LSM21" s="19"/>
      <c r="LSN21" s="19"/>
      <c r="LSO21" s="19"/>
      <c r="LSP21" s="19"/>
      <c r="LSQ21" s="19"/>
      <c r="LSR21" s="19"/>
      <c r="LSS21" s="19"/>
      <c r="LST21" s="19"/>
      <c r="LSU21" s="19"/>
      <c r="LSV21" s="19"/>
      <c r="LSW21" s="19"/>
      <c r="LSX21" s="19"/>
      <c r="LSY21" s="19"/>
      <c r="LSZ21" s="19"/>
      <c r="LTA21" s="19"/>
      <c r="LTB21" s="19"/>
      <c r="LTC21" s="19"/>
      <c r="LTD21" s="19"/>
      <c r="LTE21" s="19"/>
      <c r="LTF21" s="19"/>
      <c r="LTG21" s="19"/>
      <c r="LTH21" s="19"/>
      <c r="LTI21" s="19"/>
      <c r="LTJ21" s="19"/>
      <c r="LTK21" s="19"/>
      <c r="LTL21" s="19"/>
      <c r="LTM21" s="19"/>
      <c r="LTN21" s="19"/>
      <c r="LTO21" s="19"/>
      <c r="LTP21" s="19"/>
      <c r="LTQ21" s="19"/>
      <c r="LTR21" s="19"/>
      <c r="LTS21" s="19"/>
      <c r="LTT21" s="19"/>
      <c r="LTU21" s="19"/>
      <c r="LTV21" s="19"/>
      <c r="LTW21" s="19"/>
      <c r="LTX21" s="19"/>
      <c r="LTY21" s="19"/>
      <c r="LTZ21" s="19"/>
      <c r="LUA21" s="19"/>
      <c r="LUB21" s="19"/>
      <c r="LUC21" s="19"/>
      <c r="LUD21" s="19"/>
      <c r="LUE21" s="19"/>
      <c r="LUF21" s="19"/>
      <c r="LUG21" s="19"/>
      <c r="LUH21" s="19"/>
      <c r="LUI21" s="19"/>
      <c r="LUJ21" s="19"/>
      <c r="LUK21" s="19"/>
      <c r="LUL21" s="19"/>
      <c r="LUM21" s="19"/>
      <c r="LUN21" s="19"/>
      <c r="LUO21" s="19"/>
      <c r="LUP21" s="19"/>
      <c r="LUQ21" s="19"/>
      <c r="LUR21" s="19"/>
      <c r="LUS21" s="19"/>
      <c r="LUT21" s="19"/>
      <c r="LUU21" s="19"/>
      <c r="LUV21" s="19"/>
      <c r="LUW21" s="19"/>
      <c r="LUX21" s="19"/>
      <c r="LUY21" s="19"/>
      <c r="LUZ21" s="19"/>
      <c r="LVA21" s="19"/>
      <c r="LVB21" s="19"/>
      <c r="LVC21" s="19"/>
      <c r="LVD21" s="19"/>
      <c r="LVE21" s="19"/>
      <c r="LVF21" s="19"/>
      <c r="LVG21" s="19"/>
      <c r="LVH21" s="19"/>
      <c r="LVI21" s="19"/>
      <c r="LVJ21" s="19"/>
      <c r="LVK21" s="19"/>
      <c r="LVL21" s="19"/>
      <c r="LVM21" s="19"/>
      <c r="LVN21" s="19"/>
      <c r="LVO21" s="19"/>
      <c r="LVP21" s="19"/>
      <c r="LVQ21" s="19"/>
      <c r="LVR21" s="19"/>
      <c r="LVS21" s="19"/>
      <c r="LVT21" s="19"/>
      <c r="LVU21" s="19"/>
      <c r="LVV21" s="19"/>
      <c r="LVW21" s="19"/>
      <c r="LVX21" s="19"/>
      <c r="LVY21" s="19"/>
      <c r="LVZ21" s="19"/>
      <c r="LWA21" s="19"/>
      <c r="LWB21" s="19"/>
      <c r="LWC21" s="19"/>
      <c r="LWD21" s="19"/>
      <c r="LWE21" s="19"/>
      <c r="LWF21" s="19"/>
      <c r="LWG21" s="19"/>
      <c r="LWH21" s="19"/>
      <c r="LWI21" s="19"/>
      <c r="LWJ21" s="19"/>
      <c r="LWK21" s="19"/>
      <c r="LWL21" s="19"/>
      <c r="LWM21" s="19"/>
      <c r="LWN21" s="19"/>
      <c r="LWO21" s="19"/>
      <c r="LWP21" s="19"/>
      <c r="LWQ21" s="19"/>
      <c r="LWR21" s="19"/>
      <c r="LWS21" s="19"/>
      <c r="LWT21" s="19"/>
      <c r="LWU21" s="19"/>
      <c r="LWV21" s="19"/>
      <c r="LWW21" s="19"/>
      <c r="LWX21" s="19"/>
      <c r="LWY21" s="19"/>
      <c r="LWZ21" s="19"/>
      <c r="LXA21" s="19"/>
      <c r="LXB21" s="19"/>
      <c r="LXC21" s="19"/>
      <c r="LXD21" s="19"/>
      <c r="LXE21" s="19"/>
      <c r="LXF21" s="19"/>
      <c r="LXG21" s="19"/>
      <c r="LXH21" s="19"/>
      <c r="LXI21" s="19"/>
      <c r="LXJ21" s="19"/>
      <c r="LXK21" s="19"/>
      <c r="LXL21" s="19"/>
      <c r="LXM21" s="19"/>
      <c r="LXN21" s="19"/>
      <c r="LXO21" s="19"/>
      <c r="LXP21" s="19"/>
      <c r="LXQ21" s="19"/>
      <c r="LXR21" s="19"/>
      <c r="LXS21" s="19"/>
      <c r="LXT21" s="19"/>
      <c r="LXU21" s="19"/>
      <c r="LXV21" s="19"/>
      <c r="LXW21" s="19"/>
      <c r="LXX21" s="19"/>
      <c r="LXY21" s="19"/>
      <c r="LXZ21" s="19"/>
      <c r="LYA21" s="19"/>
      <c r="LYB21" s="19"/>
      <c r="LYC21" s="19"/>
      <c r="LYD21" s="19"/>
      <c r="LYE21" s="19"/>
      <c r="LYF21" s="19"/>
      <c r="LYG21" s="19"/>
      <c r="LYH21" s="19"/>
      <c r="LYI21" s="19"/>
      <c r="LYJ21" s="19"/>
      <c r="LYK21" s="19"/>
      <c r="LYL21" s="19"/>
      <c r="LYM21" s="19"/>
      <c r="LYN21" s="19"/>
      <c r="LYO21" s="19"/>
      <c r="LYP21" s="19"/>
      <c r="LYQ21" s="19"/>
      <c r="LYR21" s="19"/>
      <c r="LYS21" s="19"/>
      <c r="LYT21" s="19"/>
      <c r="LYU21" s="19"/>
      <c r="LYV21" s="19"/>
      <c r="LYW21" s="19"/>
      <c r="LYX21" s="19"/>
      <c r="LYY21" s="19"/>
      <c r="LYZ21" s="19"/>
      <c r="LZA21" s="19"/>
      <c r="LZB21" s="19"/>
      <c r="LZC21" s="19"/>
      <c r="LZD21" s="19"/>
      <c r="LZE21" s="19"/>
      <c r="LZF21" s="19"/>
      <c r="LZG21" s="19"/>
      <c r="LZH21" s="19"/>
      <c r="LZI21" s="19"/>
      <c r="LZJ21" s="19"/>
      <c r="LZK21" s="19"/>
      <c r="LZL21" s="19"/>
      <c r="LZM21" s="19"/>
      <c r="LZN21" s="19"/>
      <c r="LZO21" s="19"/>
      <c r="LZP21" s="19"/>
      <c r="LZQ21" s="19"/>
      <c r="LZR21" s="19"/>
      <c r="LZS21" s="19"/>
      <c r="LZT21" s="19"/>
      <c r="LZU21" s="19"/>
      <c r="LZV21" s="19"/>
      <c r="LZW21" s="19"/>
      <c r="LZX21" s="19"/>
      <c r="LZY21" s="19"/>
      <c r="LZZ21" s="19"/>
      <c r="MAA21" s="19"/>
      <c r="MAB21" s="19"/>
      <c r="MAC21" s="19"/>
      <c r="MAD21" s="19"/>
      <c r="MAE21" s="19"/>
      <c r="MAF21" s="19"/>
      <c r="MAG21" s="19"/>
      <c r="MAH21" s="19"/>
      <c r="MAI21" s="19"/>
      <c r="MAJ21" s="19"/>
      <c r="MAK21" s="19"/>
      <c r="MAL21" s="19"/>
      <c r="MAM21" s="19"/>
      <c r="MAN21" s="19"/>
      <c r="MAO21" s="19"/>
      <c r="MAP21" s="19"/>
      <c r="MAQ21" s="19"/>
      <c r="MAR21" s="19"/>
      <c r="MAS21" s="19"/>
      <c r="MAT21" s="19"/>
      <c r="MAU21" s="19"/>
      <c r="MAV21" s="19"/>
      <c r="MAW21" s="19"/>
      <c r="MAX21" s="19"/>
      <c r="MAY21" s="19"/>
      <c r="MAZ21" s="19"/>
      <c r="MBA21" s="19"/>
      <c r="MBB21" s="19"/>
      <c r="MBC21" s="19"/>
      <c r="MBD21" s="19"/>
      <c r="MBE21" s="19"/>
      <c r="MBF21" s="19"/>
      <c r="MBG21" s="19"/>
      <c r="MBH21" s="19"/>
      <c r="MBI21" s="19"/>
      <c r="MBJ21" s="19"/>
      <c r="MBK21" s="19"/>
      <c r="MBL21" s="19"/>
      <c r="MBM21" s="19"/>
      <c r="MBN21" s="19"/>
      <c r="MBO21" s="19"/>
      <c r="MBP21" s="19"/>
      <c r="MBQ21" s="19"/>
      <c r="MBR21" s="19"/>
      <c r="MBS21" s="19"/>
      <c r="MBT21" s="19"/>
      <c r="MBU21" s="19"/>
      <c r="MBV21" s="19"/>
      <c r="MBW21" s="19"/>
      <c r="MBX21" s="19"/>
      <c r="MBY21" s="19"/>
      <c r="MBZ21" s="19"/>
      <c r="MCA21" s="19"/>
      <c r="MCB21" s="19"/>
      <c r="MCC21" s="19"/>
      <c r="MCD21" s="19"/>
      <c r="MCE21" s="19"/>
      <c r="MCF21" s="19"/>
      <c r="MCG21" s="19"/>
      <c r="MCH21" s="19"/>
      <c r="MCI21" s="19"/>
      <c r="MCJ21" s="19"/>
      <c r="MCK21" s="19"/>
      <c r="MCL21" s="19"/>
      <c r="MCM21" s="19"/>
      <c r="MCN21" s="19"/>
      <c r="MCO21" s="19"/>
      <c r="MCP21" s="19"/>
      <c r="MCQ21" s="19"/>
      <c r="MCR21" s="19"/>
      <c r="MCS21" s="19"/>
      <c r="MCT21" s="19"/>
      <c r="MCU21" s="19"/>
      <c r="MCV21" s="19"/>
      <c r="MCW21" s="19"/>
      <c r="MCX21" s="19"/>
      <c r="MCY21" s="19"/>
      <c r="MCZ21" s="19"/>
      <c r="MDA21" s="19"/>
      <c r="MDB21" s="19"/>
      <c r="MDC21" s="19"/>
      <c r="MDD21" s="19"/>
      <c r="MDE21" s="19"/>
      <c r="MDF21" s="19"/>
      <c r="MDG21" s="19"/>
      <c r="MDH21" s="19"/>
      <c r="MDI21" s="19"/>
      <c r="MDJ21" s="19"/>
      <c r="MDK21" s="19"/>
      <c r="MDL21" s="19"/>
      <c r="MDM21" s="19"/>
      <c r="MDN21" s="19"/>
      <c r="MDO21" s="19"/>
      <c r="MDP21" s="19"/>
      <c r="MDQ21" s="19"/>
      <c r="MDR21" s="19"/>
      <c r="MDS21" s="19"/>
      <c r="MDT21" s="19"/>
      <c r="MDU21" s="19"/>
      <c r="MDV21" s="19"/>
      <c r="MDW21" s="19"/>
      <c r="MDX21" s="19"/>
      <c r="MDY21" s="19"/>
      <c r="MDZ21" s="19"/>
      <c r="MEA21" s="19"/>
      <c r="MEB21" s="19"/>
      <c r="MEC21" s="19"/>
      <c r="MED21" s="19"/>
      <c r="MEE21" s="19"/>
      <c r="MEF21" s="19"/>
      <c r="MEG21" s="19"/>
      <c r="MEH21" s="19"/>
      <c r="MEI21" s="19"/>
      <c r="MEJ21" s="19"/>
      <c r="MEK21" s="19"/>
      <c r="MEL21" s="19"/>
      <c r="MEM21" s="19"/>
      <c r="MEN21" s="19"/>
      <c r="MEO21" s="19"/>
      <c r="MEP21" s="19"/>
      <c r="MEQ21" s="19"/>
      <c r="MER21" s="19"/>
      <c r="MES21" s="19"/>
      <c r="MET21" s="19"/>
      <c r="MEU21" s="19"/>
      <c r="MEV21" s="19"/>
      <c r="MEW21" s="19"/>
      <c r="MEX21" s="19"/>
      <c r="MEY21" s="19"/>
      <c r="MEZ21" s="19"/>
      <c r="MFA21" s="19"/>
      <c r="MFB21" s="19"/>
      <c r="MFC21" s="19"/>
      <c r="MFD21" s="19"/>
      <c r="MFE21" s="19"/>
      <c r="MFF21" s="19"/>
      <c r="MFG21" s="19"/>
      <c r="MFH21" s="19"/>
      <c r="MFI21" s="19"/>
      <c r="MFJ21" s="19"/>
      <c r="MFK21" s="19"/>
      <c r="MFL21" s="19"/>
      <c r="MFM21" s="19"/>
      <c r="MFN21" s="19"/>
      <c r="MFO21" s="19"/>
      <c r="MFP21" s="19"/>
      <c r="MFQ21" s="19"/>
      <c r="MFR21" s="19"/>
      <c r="MFS21" s="19"/>
      <c r="MFT21" s="19"/>
      <c r="MFU21" s="19"/>
      <c r="MFV21" s="19"/>
      <c r="MFW21" s="19"/>
      <c r="MFX21" s="19"/>
      <c r="MFY21" s="19"/>
      <c r="MFZ21" s="19"/>
      <c r="MGA21" s="19"/>
      <c r="MGB21" s="19"/>
      <c r="MGC21" s="19"/>
      <c r="MGD21" s="19"/>
      <c r="MGE21" s="19"/>
      <c r="MGF21" s="19"/>
      <c r="MGG21" s="19"/>
      <c r="MGH21" s="19"/>
      <c r="MGI21" s="19"/>
      <c r="MGJ21" s="19"/>
      <c r="MGK21" s="19"/>
      <c r="MGL21" s="19"/>
      <c r="MGM21" s="19"/>
      <c r="MGN21" s="19"/>
      <c r="MGO21" s="19"/>
      <c r="MGP21" s="19"/>
      <c r="MGQ21" s="19"/>
      <c r="MGR21" s="19"/>
      <c r="MGS21" s="19"/>
      <c r="MGT21" s="19"/>
      <c r="MGU21" s="19"/>
      <c r="MGV21" s="19"/>
      <c r="MGW21" s="19"/>
      <c r="MGX21" s="19"/>
      <c r="MGY21" s="19"/>
      <c r="MGZ21" s="19"/>
      <c r="MHA21" s="19"/>
      <c r="MHB21" s="19"/>
      <c r="MHC21" s="19"/>
      <c r="MHD21" s="19"/>
      <c r="MHE21" s="19"/>
      <c r="MHF21" s="19"/>
      <c r="MHG21" s="19"/>
      <c r="MHH21" s="19"/>
      <c r="MHI21" s="19"/>
      <c r="MHJ21" s="19"/>
      <c r="MHK21" s="19"/>
      <c r="MHL21" s="19"/>
      <c r="MHM21" s="19"/>
      <c r="MHN21" s="19"/>
      <c r="MHO21" s="19"/>
      <c r="MHP21" s="19"/>
      <c r="MHQ21" s="19"/>
      <c r="MHR21" s="19"/>
      <c r="MHS21" s="19"/>
      <c r="MHT21" s="19"/>
      <c r="MHU21" s="19"/>
      <c r="MHV21" s="19"/>
      <c r="MHW21" s="19"/>
      <c r="MHX21" s="19"/>
      <c r="MHY21" s="19"/>
      <c r="MHZ21" s="19"/>
      <c r="MIA21" s="19"/>
      <c r="MIB21" s="19"/>
      <c r="MIC21" s="19"/>
      <c r="MID21" s="19"/>
      <c r="MIE21" s="19"/>
      <c r="MIF21" s="19"/>
      <c r="MIG21" s="19"/>
      <c r="MIH21" s="19"/>
      <c r="MII21" s="19"/>
      <c r="MIJ21" s="19"/>
      <c r="MIK21" s="19"/>
      <c r="MIL21" s="19"/>
      <c r="MIM21" s="19"/>
      <c r="MIN21" s="19"/>
      <c r="MIO21" s="19"/>
      <c r="MIP21" s="19"/>
      <c r="MIQ21" s="19"/>
      <c r="MIR21" s="19"/>
      <c r="MIS21" s="19"/>
      <c r="MIT21" s="19"/>
      <c r="MIU21" s="19"/>
      <c r="MIV21" s="19"/>
      <c r="MIW21" s="19"/>
      <c r="MIX21" s="19"/>
      <c r="MIY21" s="19"/>
      <c r="MIZ21" s="19"/>
      <c r="MJA21" s="19"/>
      <c r="MJB21" s="19"/>
      <c r="MJC21" s="19"/>
      <c r="MJD21" s="19"/>
      <c r="MJE21" s="19"/>
      <c r="MJF21" s="19"/>
      <c r="MJG21" s="19"/>
      <c r="MJH21" s="19"/>
      <c r="MJI21" s="19"/>
      <c r="MJJ21" s="19"/>
      <c r="MJK21" s="19"/>
      <c r="MJL21" s="19"/>
      <c r="MJM21" s="19"/>
      <c r="MJN21" s="19"/>
      <c r="MJO21" s="19"/>
      <c r="MJP21" s="19"/>
      <c r="MJQ21" s="19"/>
      <c r="MJR21" s="19"/>
      <c r="MJS21" s="19"/>
      <c r="MJT21" s="19"/>
      <c r="MJU21" s="19"/>
      <c r="MJV21" s="19"/>
      <c r="MJW21" s="19"/>
      <c r="MJX21" s="19"/>
      <c r="MJY21" s="19"/>
      <c r="MJZ21" s="19"/>
      <c r="MKA21" s="19"/>
      <c r="MKB21" s="19"/>
      <c r="MKC21" s="19"/>
      <c r="MKD21" s="19"/>
      <c r="MKE21" s="19"/>
      <c r="MKF21" s="19"/>
      <c r="MKG21" s="19"/>
      <c r="MKH21" s="19"/>
      <c r="MKI21" s="19"/>
      <c r="MKJ21" s="19"/>
      <c r="MKK21" s="19"/>
      <c r="MKL21" s="19"/>
      <c r="MKM21" s="19"/>
      <c r="MKN21" s="19"/>
      <c r="MKO21" s="19"/>
      <c r="MKP21" s="19"/>
      <c r="MKQ21" s="19"/>
      <c r="MKR21" s="19"/>
      <c r="MKS21" s="19"/>
      <c r="MKT21" s="19"/>
      <c r="MKU21" s="19"/>
      <c r="MKV21" s="19"/>
      <c r="MKW21" s="19"/>
      <c r="MKX21" s="19"/>
      <c r="MKY21" s="19"/>
      <c r="MKZ21" s="19"/>
      <c r="MLA21" s="19"/>
      <c r="MLB21" s="19"/>
      <c r="MLC21" s="19"/>
      <c r="MLD21" s="19"/>
      <c r="MLE21" s="19"/>
      <c r="MLF21" s="19"/>
      <c r="MLG21" s="19"/>
      <c r="MLH21" s="19"/>
      <c r="MLI21" s="19"/>
      <c r="MLJ21" s="19"/>
      <c r="MLK21" s="19"/>
      <c r="MLL21" s="19"/>
      <c r="MLM21" s="19"/>
      <c r="MLN21" s="19"/>
      <c r="MLO21" s="19"/>
      <c r="MLP21" s="19"/>
      <c r="MLQ21" s="19"/>
      <c r="MLR21" s="19"/>
      <c r="MLS21" s="19"/>
      <c r="MLT21" s="19"/>
      <c r="MLU21" s="19"/>
      <c r="MLV21" s="19"/>
      <c r="MLW21" s="19"/>
      <c r="MLX21" s="19"/>
      <c r="MLY21" s="19"/>
      <c r="MLZ21" s="19"/>
      <c r="MMA21" s="19"/>
      <c r="MMB21" s="19"/>
      <c r="MMC21" s="19"/>
      <c r="MMD21" s="19"/>
      <c r="MME21" s="19"/>
      <c r="MMF21" s="19"/>
      <c r="MMG21" s="19"/>
      <c r="MMH21" s="19"/>
      <c r="MMI21" s="19"/>
      <c r="MMJ21" s="19"/>
      <c r="MMK21" s="19"/>
      <c r="MML21" s="19"/>
      <c r="MMM21" s="19"/>
      <c r="MMN21" s="19"/>
      <c r="MMO21" s="19"/>
      <c r="MMP21" s="19"/>
      <c r="MMQ21" s="19"/>
      <c r="MMR21" s="19"/>
      <c r="MMS21" s="19"/>
      <c r="MMT21" s="19"/>
      <c r="MMU21" s="19"/>
      <c r="MMV21" s="19"/>
      <c r="MMW21" s="19"/>
      <c r="MMX21" s="19"/>
      <c r="MMY21" s="19"/>
      <c r="MMZ21" s="19"/>
      <c r="MNA21" s="19"/>
      <c r="MNB21" s="19"/>
      <c r="MNC21" s="19"/>
      <c r="MND21" s="19"/>
      <c r="MNE21" s="19"/>
      <c r="MNF21" s="19"/>
      <c r="MNG21" s="19"/>
      <c r="MNH21" s="19"/>
      <c r="MNI21" s="19"/>
      <c r="MNJ21" s="19"/>
      <c r="MNK21" s="19"/>
      <c r="MNL21" s="19"/>
      <c r="MNM21" s="19"/>
      <c r="MNN21" s="19"/>
      <c r="MNO21" s="19"/>
      <c r="MNP21" s="19"/>
      <c r="MNQ21" s="19"/>
      <c r="MNR21" s="19"/>
      <c r="MNS21" s="19"/>
      <c r="MNT21" s="19"/>
      <c r="MNU21" s="19"/>
      <c r="MNV21" s="19"/>
      <c r="MNW21" s="19"/>
      <c r="MNX21" s="19"/>
      <c r="MNY21" s="19"/>
      <c r="MNZ21" s="19"/>
      <c r="MOA21" s="19"/>
      <c r="MOB21" s="19"/>
      <c r="MOC21" s="19"/>
      <c r="MOD21" s="19"/>
      <c r="MOE21" s="19"/>
      <c r="MOF21" s="19"/>
      <c r="MOG21" s="19"/>
      <c r="MOH21" s="19"/>
      <c r="MOI21" s="19"/>
      <c r="MOJ21" s="19"/>
      <c r="MOK21" s="19"/>
      <c r="MOL21" s="19"/>
      <c r="MOM21" s="19"/>
      <c r="MON21" s="19"/>
      <c r="MOO21" s="19"/>
      <c r="MOP21" s="19"/>
      <c r="MOQ21" s="19"/>
      <c r="MOR21" s="19"/>
      <c r="MOS21" s="19"/>
      <c r="MOT21" s="19"/>
      <c r="MOU21" s="19"/>
      <c r="MOV21" s="19"/>
      <c r="MOW21" s="19"/>
      <c r="MOX21" s="19"/>
      <c r="MOY21" s="19"/>
      <c r="MOZ21" s="19"/>
      <c r="MPA21" s="19"/>
      <c r="MPB21" s="19"/>
      <c r="MPC21" s="19"/>
      <c r="MPD21" s="19"/>
      <c r="MPE21" s="19"/>
      <c r="MPF21" s="19"/>
      <c r="MPG21" s="19"/>
      <c r="MPH21" s="19"/>
      <c r="MPI21" s="19"/>
      <c r="MPJ21" s="19"/>
      <c r="MPK21" s="19"/>
      <c r="MPL21" s="19"/>
      <c r="MPM21" s="19"/>
      <c r="MPN21" s="19"/>
      <c r="MPO21" s="19"/>
      <c r="MPP21" s="19"/>
      <c r="MPQ21" s="19"/>
      <c r="MPR21" s="19"/>
      <c r="MPS21" s="19"/>
      <c r="MPT21" s="19"/>
      <c r="MPU21" s="19"/>
      <c r="MPV21" s="19"/>
      <c r="MPW21" s="19"/>
      <c r="MPX21" s="19"/>
      <c r="MPY21" s="19"/>
      <c r="MPZ21" s="19"/>
      <c r="MQA21" s="19"/>
      <c r="MQB21" s="19"/>
      <c r="MQC21" s="19"/>
      <c r="MQD21" s="19"/>
      <c r="MQE21" s="19"/>
      <c r="MQF21" s="19"/>
      <c r="MQG21" s="19"/>
      <c r="MQH21" s="19"/>
      <c r="MQI21" s="19"/>
      <c r="MQJ21" s="19"/>
      <c r="MQK21" s="19"/>
      <c r="MQL21" s="19"/>
      <c r="MQM21" s="19"/>
      <c r="MQN21" s="19"/>
      <c r="MQO21" s="19"/>
      <c r="MQP21" s="19"/>
      <c r="MQQ21" s="19"/>
      <c r="MQR21" s="19"/>
      <c r="MQS21" s="19"/>
      <c r="MQT21" s="19"/>
      <c r="MQU21" s="19"/>
      <c r="MQV21" s="19"/>
      <c r="MQW21" s="19"/>
      <c r="MQX21" s="19"/>
      <c r="MQY21" s="19"/>
      <c r="MQZ21" s="19"/>
      <c r="MRA21" s="19"/>
      <c r="MRB21" s="19"/>
      <c r="MRC21" s="19"/>
      <c r="MRD21" s="19"/>
      <c r="MRE21" s="19"/>
      <c r="MRF21" s="19"/>
      <c r="MRG21" s="19"/>
      <c r="MRH21" s="19"/>
      <c r="MRI21" s="19"/>
      <c r="MRJ21" s="19"/>
      <c r="MRK21" s="19"/>
      <c r="MRL21" s="19"/>
      <c r="MRM21" s="19"/>
      <c r="MRN21" s="19"/>
      <c r="MRO21" s="19"/>
      <c r="MRP21" s="19"/>
      <c r="MRQ21" s="19"/>
      <c r="MRR21" s="19"/>
      <c r="MRS21" s="19"/>
      <c r="MRT21" s="19"/>
      <c r="MRU21" s="19"/>
      <c r="MRV21" s="19"/>
      <c r="MRW21" s="19"/>
      <c r="MRX21" s="19"/>
      <c r="MRY21" s="19"/>
      <c r="MRZ21" s="19"/>
      <c r="MSA21" s="19"/>
      <c r="MSB21" s="19"/>
      <c r="MSC21" s="19"/>
      <c r="MSD21" s="19"/>
      <c r="MSE21" s="19"/>
      <c r="MSF21" s="19"/>
      <c r="MSG21" s="19"/>
      <c r="MSH21" s="19"/>
      <c r="MSI21" s="19"/>
      <c r="MSJ21" s="19"/>
      <c r="MSK21" s="19"/>
      <c r="MSL21" s="19"/>
      <c r="MSM21" s="19"/>
      <c r="MSN21" s="19"/>
      <c r="MSO21" s="19"/>
      <c r="MSP21" s="19"/>
      <c r="MSQ21" s="19"/>
      <c r="MSR21" s="19"/>
      <c r="MSS21" s="19"/>
      <c r="MST21" s="19"/>
      <c r="MSU21" s="19"/>
      <c r="MSV21" s="19"/>
      <c r="MSW21" s="19"/>
      <c r="MSX21" s="19"/>
      <c r="MSY21" s="19"/>
      <c r="MSZ21" s="19"/>
      <c r="MTA21" s="19"/>
      <c r="MTB21" s="19"/>
      <c r="MTC21" s="19"/>
      <c r="MTD21" s="19"/>
      <c r="MTE21" s="19"/>
      <c r="MTF21" s="19"/>
      <c r="MTG21" s="19"/>
      <c r="MTH21" s="19"/>
      <c r="MTI21" s="19"/>
      <c r="MTJ21" s="19"/>
      <c r="MTK21" s="19"/>
      <c r="MTL21" s="19"/>
      <c r="MTM21" s="19"/>
      <c r="MTN21" s="19"/>
      <c r="MTO21" s="19"/>
      <c r="MTP21" s="19"/>
      <c r="MTQ21" s="19"/>
      <c r="MTR21" s="19"/>
      <c r="MTS21" s="19"/>
      <c r="MTT21" s="19"/>
      <c r="MTU21" s="19"/>
      <c r="MTV21" s="19"/>
      <c r="MTW21" s="19"/>
      <c r="MTX21" s="19"/>
      <c r="MTY21" s="19"/>
      <c r="MTZ21" s="19"/>
      <c r="MUA21" s="19"/>
      <c r="MUB21" s="19"/>
      <c r="MUC21" s="19"/>
      <c r="MUD21" s="19"/>
      <c r="MUE21" s="19"/>
      <c r="MUF21" s="19"/>
      <c r="MUG21" s="19"/>
      <c r="MUH21" s="19"/>
      <c r="MUI21" s="19"/>
      <c r="MUJ21" s="19"/>
      <c r="MUK21" s="19"/>
      <c r="MUL21" s="19"/>
      <c r="MUM21" s="19"/>
      <c r="MUN21" s="19"/>
      <c r="MUO21" s="19"/>
      <c r="MUP21" s="19"/>
      <c r="MUQ21" s="19"/>
      <c r="MUR21" s="19"/>
      <c r="MUS21" s="19"/>
      <c r="MUT21" s="19"/>
      <c r="MUU21" s="19"/>
      <c r="MUV21" s="19"/>
      <c r="MUW21" s="19"/>
      <c r="MUX21" s="19"/>
      <c r="MUY21" s="19"/>
      <c r="MUZ21" s="19"/>
      <c r="MVA21" s="19"/>
      <c r="MVB21" s="19"/>
      <c r="MVC21" s="19"/>
      <c r="MVD21" s="19"/>
      <c r="MVE21" s="19"/>
      <c r="MVF21" s="19"/>
      <c r="MVG21" s="19"/>
      <c r="MVH21" s="19"/>
      <c r="MVI21" s="19"/>
      <c r="MVJ21" s="19"/>
      <c r="MVK21" s="19"/>
      <c r="MVL21" s="19"/>
      <c r="MVM21" s="19"/>
      <c r="MVN21" s="19"/>
      <c r="MVO21" s="19"/>
      <c r="MVP21" s="19"/>
      <c r="MVQ21" s="19"/>
      <c r="MVR21" s="19"/>
      <c r="MVS21" s="19"/>
      <c r="MVT21" s="19"/>
      <c r="MVU21" s="19"/>
      <c r="MVV21" s="19"/>
      <c r="MVW21" s="19"/>
      <c r="MVX21" s="19"/>
      <c r="MVY21" s="19"/>
      <c r="MVZ21" s="19"/>
      <c r="MWA21" s="19"/>
      <c r="MWB21" s="19"/>
      <c r="MWC21" s="19"/>
      <c r="MWD21" s="19"/>
      <c r="MWE21" s="19"/>
      <c r="MWF21" s="19"/>
      <c r="MWG21" s="19"/>
      <c r="MWH21" s="19"/>
      <c r="MWI21" s="19"/>
      <c r="MWJ21" s="19"/>
      <c r="MWK21" s="19"/>
      <c r="MWL21" s="19"/>
      <c r="MWM21" s="19"/>
      <c r="MWN21" s="19"/>
      <c r="MWO21" s="19"/>
      <c r="MWP21" s="19"/>
      <c r="MWQ21" s="19"/>
      <c r="MWR21" s="19"/>
      <c r="MWS21" s="19"/>
      <c r="MWT21" s="19"/>
      <c r="MWU21" s="19"/>
      <c r="MWV21" s="19"/>
      <c r="MWW21" s="19"/>
      <c r="MWX21" s="19"/>
      <c r="MWY21" s="19"/>
      <c r="MWZ21" s="19"/>
      <c r="MXA21" s="19"/>
      <c r="MXB21" s="19"/>
      <c r="MXC21" s="19"/>
      <c r="MXD21" s="19"/>
      <c r="MXE21" s="19"/>
      <c r="MXF21" s="19"/>
      <c r="MXG21" s="19"/>
      <c r="MXH21" s="19"/>
      <c r="MXI21" s="19"/>
      <c r="MXJ21" s="19"/>
      <c r="MXK21" s="19"/>
      <c r="MXL21" s="19"/>
      <c r="MXM21" s="19"/>
      <c r="MXN21" s="19"/>
      <c r="MXO21" s="19"/>
      <c r="MXP21" s="19"/>
      <c r="MXQ21" s="19"/>
      <c r="MXR21" s="19"/>
      <c r="MXS21" s="19"/>
      <c r="MXT21" s="19"/>
      <c r="MXU21" s="19"/>
      <c r="MXV21" s="19"/>
      <c r="MXW21" s="19"/>
      <c r="MXX21" s="19"/>
      <c r="MXY21" s="19"/>
      <c r="MXZ21" s="19"/>
      <c r="MYA21" s="19"/>
      <c r="MYB21" s="19"/>
      <c r="MYC21" s="19"/>
      <c r="MYD21" s="19"/>
      <c r="MYE21" s="19"/>
      <c r="MYF21" s="19"/>
      <c r="MYG21" s="19"/>
      <c r="MYH21" s="19"/>
      <c r="MYI21" s="19"/>
      <c r="MYJ21" s="19"/>
      <c r="MYK21" s="19"/>
      <c r="MYL21" s="19"/>
      <c r="MYM21" s="19"/>
      <c r="MYN21" s="19"/>
      <c r="MYO21" s="19"/>
      <c r="MYP21" s="19"/>
      <c r="MYQ21" s="19"/>
      <c r="MYR21" s="19"/>
      <c r="MYS21" s="19"/>
      <c r="MYT21" s="19"/>
      <c r="MYU21" s="19"/>
      <c r="MYV21" s="19"/>
      <c r="MYW21" s="19"/>
      <c r="MYX21" s="19"/>
      <c r="MYY21" s="19"/>
      <c r="MYZ21" s="19"/>
      <c r="MZA21" s="19"/>
      <c r="MZB21" s="19"/>
      <c r="MZC21" s="19"/>
      <c r="MZD21" s="19"/>
      <c r="MZE21" s="19"/>
      <c r="MZF21" s="19"/>
      <c r="MZG21" s="19"/>
      <c r="MZH21" s="19"/>
      <c r="MZI21" s="19"/>
      <c r="MZJ21" s="19"/>
      <c r="MZK21" s="19"/>
      <c r="MZL21" s="19"/>
      <c r="MZM21" s="19"/>
      <c r="MZN21" s="19"/>
      <c r="MZO21" s="19"/>
      <c r="MZP21" s="19"/>
      <c r="MZQ21" s="19"/>
      <c r="MZR21" s="19"/>
      <c r="MZS21" s="19"/>
      <c r="MZT21" s="19"/>
      <c r="MZU21" s="19"/>
      <c r="MZV21" s="19"/>
      <c r="MZW21" s="19"/>
      <c r="MZX21" s="19"/>
      <c r="MZY21" s="19"/>
      <c r="MZZ21" s="19"/>
      <c r="NAA21" s="19"/>
      <c r="NAB21" s="19"/>
      <c r="NAC21" s="19"/>
      <c r="NAD21" s="19"/>
      <c r="NAE21" s="19"/>
      <c r="NAF21" s="19"/>
      <c r="NAG21" s="19"/>
      <c r="NAH21" s="19"/>
      <c r="NAI21" s="19"/>
      <c r="NAJ21" s="19"/>
      <c r="NAK21" s="19"/>
      <c r="NAL21" s="19"/>
      <c r="NAM21" s="19"/>
      <c r="NAN21" s="19"/>
      <c r="NAO21" s="19"/>
      <c r="NAP21" s="19"/>
      <c r="NAQ21" s="19"/>
      <c r="NAR21" s="19"/>
      <c r="NAS21" s="19"/>
      <c r="NAT21" s="19"/>
      <c r="NAU21" s="19"/>
      <c r="NAV21" s="19"/>
      <c r="NAW21" s="19"/>
      <c r="NAX21" s="19"/>
      <c r="NAY21" s="19"/>
      <c r="NAZ21" s="19"/>
      <c r="NBA21" s="19"/>
      <c r="NBB21" s="19"/>
      <c r="NBC21" s="19"/>
      <c r="NBD21" s="19"/>
      <c r="NBE21" s="19"/>
      <c r="NBF21" s="19"/>
      <c r="NBG21" s="19"/>
      <c r="NBH21" s="19"/>
      <c r="NBI21" s="19"/>
      <c r="NBJ21" s="19"/>
      <c r="NBK21" s="19"/>
      <c r="NBL21" s="19"/>
      <c r="NBM21" s="19"/>
      <c r="NBN21" s="19"/>
      <c r="NBO21" s="19"/>
      <c r="NBP21" s="19"/>
      <c r="NBQ21" s="19"/>
      <c r="NBR21" s="19"/>
      <c r="NBS21" s="19"/>
      <c r="NBT21" s="19"/>
      <c r="NBU21" s="19"/>
      <c r="NBV21" s="19"/>
      <c r="NBW21" s="19"/>
      <c r="NBX21" s="19"/>
      <c r="NBY21" s="19"/>
      <c r="NBZ21" s="19"/>
      <c r="NCA21" s="19"/>
      <c r="NCB21" s="19"/>
      <c r="NCC21" s="19"/>
      <c r="NCD21" s="19"/>
      <c r="NCE21" s="19"/>
      <c r="NCF21" s="19"/>
      <c r="NCG21" s="19"/>
      <c r="NCH21" s="19"/>
      <c r="NCI21" s="19"/>
      <c r="NCJ21" s="19"/>
      <c r="NCK21" s="19"/>
      <c r="NCL21" s="19"/>
      <c r="NCM21" s="19"/>
      <c r="NCN21" s="19"/>
      <c r="NCO21" s="19"/>
      <c r="NCP21" s="19"/>
      <c r="NCQ21" s="19"/>
      <c r="NCR21" s="19"/>
      <c r="NCS21" s="19"/>
      <c r="NCT21" s="19"/>
      <c r="NCU21" s="19"/>
      <c r="NCV21" s="19"/>
      <c r="NCW21" s="19"/>
      <c r="NCX21" s="19"/>
      <c r="NCY21" s="19"/>
      <c r="NCZ21" s="19"/>
      <c r="NDA21" s="19"/>
      <c r="NDB21" s="19"/>
      <c r="NDC21" s="19"/>
      <c r="NDD21" s="19"/>
      <c r="NDE21" s="19"/>
      <c r="NDF21" s="19"/>
      <c r="NDG21" s="19"/>
      <c r="NDH21" s="19"/>
      <c r="NDI21" s="19"/>
      <c r="NDJ21" s="19"/>
      <c r="NDK21" s="19"/>
      <c r="NDL21" s="19"/>
      <c r="NDM21" s="19"/>
      <c r="NDN21" s="19"/>
      <c r="NDO21" s="19"/>
      <c r="NDP21" s="19"/>
      <c r="NDQ21" s="19"/>
      <c r="NDR21" s="19"/>
      <c r="NDS21" s="19"/>
      <c r="NDT21" s="19"/>
      <c r="NDU21" s="19"/>
      <c r="NDV21" s="19"/>
      <c r="NDW21" s="19"/>
      <c r="NDX21" s="19"/>
      <c r="NDY21" s="19"/>
      <c r="NDZ21" s="19"/>
      <c r="NEA21" s="19"/>
      <c r="NEB21" s="19"/>
      <c r="NEC21" s="19"/>
      <c r="NED21" s="19"/>
      <c r="NEE21" s="19"/>
      <c r="NEF21" s="19"/>
      <c r="NEG21" s="19"/>
      <c r="NEH21" s="19"/>
      <c r="NEI21" s="19"/>
      <c r="NEJ21" s="19"/>
      <c r="NEK21" s="19"/>
      <c r="NEL21" s="19"/>
      <c r="NEM21" s="19"/>
      <c r="NEN21" s="19"/>
      <c r="NEO21" s="19"/>
      <c r="NEP21" s="19"/>
      <c r="NEQ21" s="19"/>
      <c r="NER21" s="19"/>
      <c r="NES21" s="19"/>
      <c r="NET21" s="19"/>
      <c r="NEU21" s="19"/>
      <c r="NEV21" s="19"/>
      <c r="NEW21" s="19"/>
      <c r="NEX21" s="19"/>
      <c r="NEY21" s="19"/>
      <c r="NEZ21" s="19"/>
      <c r="NFA21" s="19"/>
      <c r="NFB21" s="19"/>
      <c r="NFC21" s="19"/>
      <c r="NFD21" s="19"/>
      <c r="NFE21" s="19"/>
      <c r="NFF21" s="19"/>
      <c r="NFG21" s="19"/>
      <c r="NFH21" s="19"/>
      <c r="NFI21" s="19"/>
      <c r="NFJ21" s="19"/>
      <c r="NFK21" s="19"/>
      <c r="NFL21" s="19"/>
      <c r="NFM21" s="19"/>
      <c r="NFN21" s="19"/>
      <c r="NFO21" s="19"/>
      <c r="NFP21" s="19"/>
      <c r="NFQ21" s="19"/>
      <c r="NFR21" s="19"/>
      <c r="NFS21" s="19"/>
      <c r="NFT21" s="19"/>
      <c r="NFU21" s="19"/>
      <c r="NFV21" s="19"/>
      <c r="NFW21" s="19"/>
      <c r="NFX21" s="19"/>
      <c r="NFY21" s="19"/>
      <c r="NFZ21" s="19"/>
      <c r="NGA21" s="19"/>
      <c r="NGB21" s="19"/>
      <c r="NGC21" s="19"/>
      <c r="NGD21" s="19"/>
      <c r="NGE21" s="19"/>
      <c r="NGF21" s="19"/>
      <c r="NGG21" s="19"/>
      <c r="NGH21" s="19"/>
      <c r="NGI21" s="19"/>
      <c r="NGJ21" s="19"/>
      <c r="NGK21" s="19"/>
      <c r="NGL21" s="19"/>
      <c r="NGM21" s="19"/>
      <c r="NGN21" s="19"/>
      <c r="NGO21" s="19"/>
      <c r="NGP21" s="19"/>
      <c r="NGQ21" s="19"/>
      <c r="NGR21" s="19"/>
      <c r="NGS21" s="19"/>
      <c r="NGT21" s="19"/>
      <c r="NGU21" s="19"/>
      <c r="NGV21" s="19"/>
      <c r="NGW21" s="19"/>
      <c r="NGX21" s="19"/>
      <c r="NGY21" s="19"/>
      <c r="NGZ21" s="19"/>
      <c r="NHA21" s="19"/>
      <c r="NHB21" s="19"/>
      <c r="NHC21" s="19"/>
      <c r="NHD21" s="19"/>
      <c r="NHE21" s="19"/>
      <c r="NHF21" s="19"/>
      <c r="NHG21" s="19"/>
      <c r="NHH21" s="19"/>
      <c r="NHI21" s="19"/>
      <c r="NHJ21" s="19"/>
      <c r="NHK21" s="19"/>
      <c r="NHL21" s="19"/>
      <c r="NHM21" s="19"/>
      <c r="NHN21" s="19"/>
      <c r="NHO21" s="19"/>
      <c r="NHP21" s="19"/>
      <c r="NHQ21" s="19"/>
      <c r="NHR21" s="19"/>
      <c r="NHS21" s="19"/>
      <c r="NHT21" s="19"/>
      <c r="NHU21" s="19"/>
      <c r="NHV21" s="19"/>
      <c r="NHW21" s="19"/>
      <c r="NHX21" s="19"/>
      <c r="NHY21" s="19"/>
      <c r="NHZ21" s="19"/>
      <c r="NIA21" s="19"/>
      <c r="NIB21" s="19"/>
      <c r="NIC21" s="19"/>
      <c r="NID21" s="19"/>
      <c r="NIE21" s="19"/>
      <c r="NIF21" s="19"/>
      <c r="NIG21" s="19"/>
      <c r="NIH21" s="19"/>
      <c r="NII21" s="19"/>
      <c r="NIJ21" s="19"/>
      <c r="NIK21" s="19"/>
      <c r="NIL21" s="19"/>
      <c r="NIM21" s="19"/>
      <c r="NIN21" s="19"/>
      <c r="NIO21" s="19"/>
      <c r="NIP21" s="19"/>
      <c r="NIQ21" s="19"/>
      <c r="NIR21" s="19"/>
      <c r="NIS21" s="19"/>
      <c r="NIT21" s="19"/>
      <c r="NIU21" s="19"/>
      <c r="NIV21" s="19"/>
      <c r="NIW21" s="19"/>
      <c r="NIX21" s="19"/>
      <c r="NIY21" s="19"/>
      <c r="NIZ21" s="19"/>
      <c r="NJA21" s="19"/>
      <c r="NJB21" s="19"/>
      <c r="NJC21" s="19"/>
      <c r="NJD21" s="19"/>
      <c r="NJE21" s="19"/>
      <c r="NJF21" s="19"/>
      <c r="NJG21" s="19"/>
      <c r="NJH21" s="19"/>
      <c r="NJI21" s="19"/>
      <c r="NJJ21" s="19"/>
      <c r="NJK21" s="19"/>
      <c r="NJL21" s="19"/>
      <c r="NJM21" s="19"/>
      <c r="NJN21" s="19"/>
      <c r="NJO21" s="19"/>
      <c r="NJP21" s="19"/>
      <c r="NJQ21" s="19"/>
      <c r="NJR21" s="19"/>
      <c r="NJS21" s="19"/>
      <c r="NJT21" s="19"/>
      <c r="NJU21" s="19"/>
      <c r="NJV21" s="19"/>
      <c r="NJW21" s="19"/>
      <c r="NJX21" s="19"/>
      <c r="NJY21" s="19"/>
      <c r="NJZ21" s="19"/>
      <c r="NKA21" s="19"/>
      <c r="NKB21" s="19"/>
      <c r="NKC21" s="19"/>
      <c r="NKD21" s="19"/>
      <c r="NKE21" s="19"/>
      <c r="NKF21" s="19"/>
      <c r="NKG21" s="19"/>
      <c r="NKH21" s="19"/>
      <c r="NKI21" s="19"/>
      <c r="NKJ21" s="19"/>
      <c r="NKK21" s="19"/>
      <c r="NKL21" s="19"/>
      <c r="NKM21" s="19"/>
      <c r="NKN21" s="19"/>
      <c r="NKO21" s="19"/>
      <c r="NKP21" s="19"/>
      <c r="NKQ21" s="19"/>
      <c r="NKR21" s="19"/>
      <c r="NKS21" s="19"/>
      <c r="NKT21" s="19"/>
      <c r="NKU21" s="19"/>
      <c r="NKV21" s="19"/>
      <c r="NKW21" s="19"/>
      <c r="NKX21" s="19"/>
      <c r="NKY21" s="19"/>
      <c r="NKZ21" s="19"/>
      <c r="NLA21" s="19"/>
      <c r="NLB21" s="19"/>
      <c r="NLC21" s="19"/>
      <c r="NLD21" s="19"/>
      <c r="NLE21" s="19"/>
      <c r="NLF21" s="19"/>
      <c r="NLG21" s="19"/>
      <c r="NLH21" s="19"/>
      <c r="NLI21" s="19"/>
      <c r="NLJ21" s="19"/>
      <c r="NLK21" s="19"/>
      <c r="NLL21" s="19"/>
      <c r="NLM21" s="19"/>
      <c r="NLN21" s="19"/>
      <c r="NLO21" s="19"/>
      <c r="NLP21" s="19"/>
      <c r="NLQ21" s="19"/>
      <c r="NLR21" s="19"/>
      <c r="NLS21" s="19"/>
      <c r="NLT21" s="19"/>
      <c r="NLU21" s="19"/>
      <c r="NLV21" s="19"/>
      <c r="NLW21" s="19"/>
      <c r="NLX21" s="19"/>
      <c r="NLY21" s="19"/>
      <c r="NLZ21" s="19"/>
      <c r="NMA21" s="19"/>
      <c r="NMB21" s="19"/>
      <c r="NMC21" s="19"/>
      <c r="NMD21" s="19"/>
      <c r="NME21" s="19"/>
      <c r="NMF21" s="19"/>
      <c r="NMG21" s="19"/>
      <c r="NMH21" s="19"/>
      <c r="NMI21" s="19"/>
      <c r="NMJ21" s="19"/>
      <c r="NMK21" s="19"/>
      <c r="NML21" s="19"/>
      <c r="NMM21" s="19"/>
      <c r="NMN21" s="19"/>
      <c r="NMO21" s="19"/>
      <c r="NMP21" s="19"/>
      <c r="NMQ21" s="19"/>
      <c r="NMR21" s="19"/>
      <c r="NMS21" s="19"/>
      <c r="NMT21" s="19"/>
      <c r="NMU21" s="19"/>
      <c r="NMV21" s="19"/>
      <c r="NMW21" s="19"/>
      <c r="NMX21" s="19"/>
      <c r="NMY21" s="19"/>
      <c r="NMZ21" s="19"/>
      <c r="NNA21" s="19"/>
      <c r="NNB21" s="19"/>
      <c r="NNC21" s="19"/>
      <c r="NND21" s="19"/>
      <c r="NNE21" s="19"/>
      <c r="NNF21" s="19"/>
      <c r="NNG21" s="19"/>
      <c r="NNH21" s="19"/>
      <c r="NNI21" s="19"/>
      <c r="NNJ21" s="19"/>
      <c r="NNK21" s="19"/>
      <c r="NNL21" s="19"/>
      <c r="NNM21" s="19"/>
      <c r="NNN21" s="19"/>
      <c r="NNO21" s="19"/>
      <c r="NNP21" s="19"/>
      <c r="NNQ21" s="19"/>
      <c r="NNR21" s="19"/>
      <c r="NNS21" s="19"/>
      <c r="NNT21" s="19"/>
      <c r="NNU21" s="19"/>
      <c r="NNV21" s="19"/>
      <c r="NNW21" s="19"/>
      <c r="NNX21" s="19"/>
      <c r="NNY21" s="19"/>
      <c r="NNZ21" s="19"/>
      <c r="NOA21" s="19"/>
      <c r="NOB21" s="19"/>
      <c r="NOC21" s="19"/>
      <c r="NOD21" s="19"/>
      <c r="NOE21" s="19"/>
      <c r="NOF21" s="19"/>
      <c r="NOG21" s="19"/>
      <c r="NOH21" s="19"/>
      <c r="NOI21" s="19"/>
      <c r="NOJ21" s="19"/>
      <c r="NOK21" s="19"/>
      <c r="NOL21" s="19"/>
      <c r="NOM21" s="19"/>
      <c r="NON21" s="19"/>
      <c r="NOO21" s="19"/>
      <c r="NOP21" s="19"/>
      <c r="NOQ21" s="19"/>
      <c r="NOR21" s="19"/>
      <c r="NOS21" s="19"/>
      <c r="NOT21" s="19"/>
      <c r="NOU21" s="19"/>
      <c r="NOV21" s="19"/>
      <c r="NOW21" s="19"/>
      <c r="NOX21" s="19"/>
      <c r="NOY21" s="19"/>
      <c r="NOZ21" s="19"/>
      <c r="NPA21" s="19"/>
      <c r="NPB21" s="19"/>
      <c r="NPC21" s="19"/>
      <c r="NPD21" s="19"/>
      <c r="NPE21" s="19"/>
      <c r="NPF21" s="19"/>
      <c r="NPG21" s="19"/>
      <c r="NPH21" s="19"/>
      <c r="NPI21" s="19"/>
      <c r="NPJ21" s="19"/>
      <c r="NPK21" s="19"/>
      <c r="NPL21" s="19"/>
      <c r="NPM21" s="19"/>
      <c r="NPN21" s="19"/>
      <c r="NPO21" s="19"/>
      <c r="NPP21" s="19"/>
      <c r="NPQ21" s="19"/>
      <c r="NPR21" s="19"/>
      <c r="NPS21" s="19"/>
      <c r="NPT21" s="19"/>
      <c r="NPU21" s="19"/>
      <c r="NPV21" s="19"/>
      <c r="NPW21" s="19"/>
      <c r="NPX21" s="19"/>
      <c r="NPY21" s="19"/>
      <c r="NPZ21" s="19"/>
      <c r="NQA21" s="19"/>
      <c r="NQB21" s="19"/>
      <c r="NQC21" s="19"/>
      <c r="NQD21" s="19"/>
      <c r="NQE21" s="19"/>
      <c r="NQF21" s="19"/>
      <c r="NQG21" s="19"/>
      <c r="NQH21" s="19"/>
      <c r="NQI21" s="19"/>
      <c r="NQJ21" s="19"/>
      <c r="NQK21" s="19"/>
      <c r="NQL21" s="19"/>
      <c r="NQM21" s="19"/>
      <c r="NQN21" s="19"/>
      <c r="NQO21" s="19"/>
      <c r="NQP21" s="19"/>
      <c r="NQQ21" s="19"/>
      <c r="NQR21" s="19"/>
      <c r="NQS21" s="19"/>
      <c r="NQT21" s="19"/>
      <c r="NQU21" s="19"/>
      <c r="NQV21" s="19"/>
      <c r="NQW21" s="19"/>
      <c r="NQX21" s="19"/>
      <c r="NQY21" s="19"/>
      <c r="NQZ21" s="19"/>
      <c r="NRA21" s="19"/>
      <c r="NRB21" s="19"/>
      <c r="NRC21" s="19"/>
      <c r="NRD21" s="19"/>
      <c r="NRE21" s="19"/>
      <c r="NRF21" s="19"/>
      <c r="NRG21" s="19"/>
      <c r="NRH21" s="19"/>
      <c r="NRI21" s="19"/>
      <c r="NRJ21" s="19"/>
      <c r="NRK21" s="19"/>
      <c r="NRL21" s="19"/>
      <c r="NRM21" s="19"/>
      <c r="NRN21" s="19"/>
      <c r="NRO21" s="19"/>
      <c r="NRP21" s="19"/>
      <c r="NRQ21" s="19"/>
      <c r="NRR21" s="19"/>
      <c r="NRS21" s="19"/>
      <c r="NRT21" s="19"/>
      <c r="NRU21" s="19"/>
      <c r="NRV21" s="19"/>
      <c r="NRW21" s="19"/>
      <c r="NRX21" s="19"/>
      <c r="NRY21" s="19"/>
      <c r="NRZ21" s="19"/>
      <c r="NSA21" s="19"/>
      <c r="NSB21" s="19"/>
      <c r="NSC21" s="19"/>
      <c r="NSD21" s="19"/>
      <c r="NSE21" s="19"/>
      <c r="NSF21" s="19"/>
      <c r="NSG21" s="19"/>
      <c r="NSH21" s="19"/>
      <c r="NSI21" s="19"/>
      <c r="NSJ21" s="19"/>
      <c r="NSK21" s="19"/>
      <c r="NSL21" s="19"/>
      <c r="NSM21" s="19"/>
      <c r="NSN21" s="19"/>
      <c r="NSO21" s="19"/>
      <c r="NSP21" s="19"/>
      <c r="NSQ21" s="19"/>
      <c r="NSR21" s="19"/>
      <c r="NSS21" s="19"/>
      <c r="NST21" s="19"/>
      <c r="NSU21" s="19"/>
      <c r="NSV21" s="19"/>
      <c r="NSW21" s="19"/>
      <c r="NSX21" s="19"/>
      <c r="NSY21" s="19"/>
      <c r="NSZ21" s="19"/>
      <c r="NTA21" s="19"/>
      <c r="NTB21" s="19"/>
      <c r="NTC21" s="19"/>
      <c r="NTD21" s="19"/>
      <c r="NTE21" s="19"/>
      <c r="NTF21" s="19"/>
      <c r="NTG21" s="19"/>
      <c r="NTH21" s="19"/>
      <c r="NTI21" s="19"/>
      <c r="NTJ21" s="19"/>
      <c r="NTK21" s="19"/>
      <c r="NTL21" s="19"/>
      <c r="NTM21" s="19"/>
      <c r="NTN21" s="19"/>
      <c r="NTO21" s="19"/>
      <c r="NTP21" s="19"/>
      <c r="NTQ21" s="19"/>
      <c r="NTR21" s="19"/>
      <c r="NTS21" s="19"/>
      <c r="NTT21" s="19"/>
      <c r="NTU21" s="19"/>
      <c r="NTV21" s="19"/>
      <c r="NTW21" s="19"/>
      <c r="NTX21" s="19"/>
      <c r="NTY21" s="19"/>
      <c r="NTZ21" s="19"/>
      <c r="NUA21" s="19"/>
      <c r="NUB21" s="19"/>
      <c r="NUC21" s="19"/>
      <c r="NUD21" s="19"/>
      <c r="NUE21" s="19"/>
      <c r="NUF21" s="19"/>
      <c r="NUG21" s="19"/>
      <c r="NUH21" s="19"/>
      <c r="NUI21" s="19"/>
      <c r="NUJ21" s="19"/>
      <c r="NUK21" s="19"/>
      <c r="NUL21" s="19"/>
      <c r="NUM21" s="19"/>
      <c r="NUN21" s="19"/>
      <c r="NUO21" s="19"/>
      <c r="NUP21" s="19"/>
      <c r="NUQ21" s="19"/>
      <c r="NUR21" s="19"/>
      <c r="NUS21" s="19"/>
      <c r="NUT21" s="19"/>
      <c r="NUU21" s="19"/>
      <c r="NUV21" s="19"/>
      <c r="NUW21" s="19"/>
      <c r="NUX21" s="19"/>
      <c r="NUY21" s="19"/>
      <c r="NUZ21" s="19"/>
      <c r="NVA21" s="19"/>
      <c r="NVB21" s="19"/>
      <c r="NVC21" s="19"/>
      <c r="NVD21" s="19"/>
      <c r="NVE21" s="19"/>
      <c r="NVF21" s="19"/>
      <c r="NVG21" s="19"/>
      <c r="NVH21" s="19"/>
      <c r="NVI21" s="19"/>
      <c r="NVJ21" s="19"/>
      <c r="NVK21" s="19"/>
      <c r="NVL21" s="19"/>
      <c r="NVM21" s="19"/>
      <c r="NVN21" s="19"/>
      <c r="NVO21" s="19"/>
      <c r="NVP21" s="19"/>
      <c r="NVQ21" s="19"/>
      <c r="NVR21" s="19"/>
      <c r="NVS21" s="19"/>
      <c r="NVT21" s="19"/>
      <c r="NVU21" s="19"/>
      <c r="NVV21" s="19"/>
      <c r="NVW21" s="19"/>
      <c r="NVX21" s="19"/>
      <c r="NVY21" s="19"/>
      <c r="NVZ21" s="19"/>
      <c r="NWA21" s="19"/>
      <c r="NWB21" s="19"/>
      <c r="NWC21" s="19"/>
      <c r="NWD21" s="19"/>
      <c r="NWE21" s="19"/>
      <c r="NWF21" s="19"/>
      <c r="NWG21" s="19"/>
      <c r="NWH21" s="19"/>
      <c r="NWI21" s="19"/>
      <c r="NWJ21" s="19"/>
      <c r="NWK21" s="19"/>
      <c r="NWL21" s="19"/>
      <c r="NWM21" s="19"/>
      <c r="NWN21" s="19"/>
      <c r="NWO21" s="19"/>
      <c r="NWP21" s="19"/>
      <c r="NWQ21" s="19"/>
      <c r="NWR21" s="19"/>
      <c r="NWS21" s="19"/>
      <c r="NWT21" s="19"/>
      <c r="NWU21" s="19"/>
      <c r="NWV21" s="19"/>
      <c r="NWW21" s="19"/>
      <c r="NWX21" s="19"/>
      <c r="NWY21" s="19"/>
      <c r="NWZ21" s="19"/>
      <c r="NXA21" s="19"/>
      <c r="NXB21" s="19"/>
      <c r="NXC21" s="19"/>
      <c r="NXD21" s="19"/>
      <c r="NXE21" s="19"/>
      <c r="NXF21" s="19"/>
      <c r="NXG21" s="19"/>
      <c r="NXH21" s="19"/>
      <c r="NXI21" s="19"/>
      <c r="NXJ21" s="19"/>
      <c r="NXK21" s="19"/>
      <c r="NXL21" s="19"/>
      <c r="NXM21" s="19"/>
      <c r="NXN21" s="19"/>
      <c r="NXO21" s="19"/>
      <c r="NXP21" s="19"/>
      <c r="NXQ21" s="19"/>
      <c r="NXR21" s="19"/>
      <c r="NXS21" s="19"/>
      <c r="NXT21" s="19"/>
      <c r="NXU21" s="19"/>
      <c r="NXV21" s="19"/>
      <c r="NXW21" s="19"/>
      <c r="NXX21" s="19"/>
      <c r="NXY21" s="19"/>
      <c r="NXZ21" s="19"/>
      <c r="NYA21" s="19"/>
      <c r="NYB21" s="19"/>
      <c r="NYC21" s="19"/>
      <c r="NYD21" s="19"/>
      <c r="NYE21" s="19"/>
      <c r="NYF21" s="19"/>
      <c r="NYG21" s="19"/>
      <c r="NYH21" s="19"/>
      <c r="NYI21" s="19"/>
      <c r="NYJ21" s="19"/>
      <c r="NYK21" s="19"/>
      <c r="NYL21" s="19"/>
      <c r="NYM21" s="19"/>
      <c r="NYN21" s="19"/>
      <c r="NYO21" s="19"/>
      <c r="NYP21" s="19"/>
      <c r="NYQ21" s="19"/>
      <c r="NYR21" s="19"/>
      <c r="NYS21" s="19"/>
      <c r="NYT21" s="19"/>
      <c r="NYU21" s="19"/>
      <c r="NYV21" s="19"/>
      <c r="NYW21" s="19"/>
      <c r="NYX21" s="19"/>
      <c r="NYY21" s="19"/>
      <c r="NYZ21" s="19"/>
      <c r="NZA21" s="19"/>
      <c r="NZB21" s="19"/>
      <c r="NZC21" s="19"/>
      <c r="NZD21" s="19"/>
      <c r="NZE21" s="19"/>
      <c r="NZF21" s="19"/>
      <c r="NZG21" s="19"/>
      <c r="NZH21" s="19"/>
      <c r="NZI21" s="19"/>
      <c r="NZJ21" s="19"/>
      <c r="NZK21" s="19"/>
      <c r="NZL21" s="19"/>
      <c r="NZM21" s="19"/>
      <c r="NZN21" s="19"/>
      <c r="NZO21" s="19"/>
      <c r="NZP21" s="19"/>
      <c r="NZQ21" s="19"/>
      <c r="NZR21" s="19"/>
      <c r="NZS21" s="19"/>
      <c r="NZT21" s="19"/>
      <c r="NZU21" s="19"/>
      <c r="NZV21" s="19"/>
      <c r="NZW21" s="19"/>
      <c r="NZX21" s="19"/>
      <c r="NZY21" s="19"/>
      <c r="NZZ21" s="19"/>
      <c r="OAA21" s="19"/>
      <c r="OAB21" s="19"/>
      <c r="OAC21" s="19"/>
      <c r="OAD21" s="19"/>
      <c r="OAE21" s="19"/>
      <c r="OAF21" s="19"/>
      <c r="OAG21" s="19"/>
      <c r="OAH21" s="19"/>
      <c r="OAI21" s="19"/>
      <c r="OAJ21" s="19"/>
      <c r="OAK21" s="19"/>
      <c r="OAL21" s="19"/>
      <c r="OAM21" s="19"/>
      <c r="OAN21" s="19"/>
      <c r="OAO21" s="19"/>
      <c r="OAP21" s="19"/>
      <c r="OAQ21" s="19"/>
      <c r="OAR21" s="19"/>
      <c r="OAS21" s="19"/>
      <c r="OAT21" s="19"/>
      <c r="OAU21" s="19"/>
      <c r="OAV21" s="19"/>
      <c r="OAW21" s="19"/>
      <c r="OAX21" s="19"/>
      <c r="OAY21" s="19"/>
      <c r="OAZ21" s="19"/>
      <c r="OBA21" s="19"/>
      <c r="OBB21" s="19"/>
      <c r="OBC21" s="19"/>
      <c r="OBD21" s="19"/>
      <c r="OBE21" s="19"/>
      <c r="OBF21" s="19"/>
      <c r="OBG21" s="19"/>
      <c r="OBH21" s="19"/>
      <c r="OBI21" s="19"/>
      <c r="OBJ21" s="19"/>
      <c r="OBK21" s="19"/>
      <c r="OBL21" s="19"/>
      <c r="OBM21" s="19"/>
      <c r="OBN21" s="19"/>
      <c r="OBO21" s="19"/>
      <c r="OBP21" s="19"/>
      <c r="OBQ21" s="19"/>
      <c r="OBR21" s="19"/>
      <c r="OBS21" s="19"/>
      <c r="OBT21" s="19"/>
      <c r="OBU21" s="19"/>
      <c r="OBV21" s="19"/>
      <c r="OBW21" s="19"/>
      <c r="OBX21" s="19"/>
      <c r="OBY21" s="19"/>
      <c r="OBZ21" s="19"/>
      <c r="OCA21" s="19"/>
      <c r="OCB21" s="19"/>
      <c r="OCC21" s="19"/>
      <c r="OCD21" s="19"/>
      <c r="OCE21" s="19"/>
      <c r="OCF21" s="19"/>
      <c r="OCG21" s="19"/>
      <c r="OCH21" s="19"/>
      <c r="OCI21" s="19"/>
      <c r="OCJ21" s="19"/>
      <c r="OCK21" s="19"/>
      <c r="OCL21" s="19"/>
      <c r="OCM21" s="19"/>
      <c r="OCN21" s="19"/>
      <c r="OCO21" s="19"/>
      <c r="OCP21" s="19"/>
      <c r="OCQ21" s="19"/>
      <c r="OCR21" s="19"/>
      <c r="OCS21" s="19"/>
      <c r="OCT21" s="19"/>
      <c r="OCU21" s="19"/>
      <c r="OCV21" s="19"/>
      <c r="OCW21" s="19"/>
      <c r="OCX21" s="19"/>
      <c r="OCY21" s="19"/>
      <c r="OCZ21" s="19"/>
      <c r="ODA21" s="19"/>
      <c r="ODB21" s="19"/>
      <c r="ODC21" s="19"/>
      <c r="ODD21" s="19"/>
      <c r="ODE21" s="19"/>
      <c r="ODF21" s="19"/>
      <c r="ODG21" s="19"/>
      <c r="ODH21" s="19"/>
      <c r="ODI21" s="19"/>
      <c r="ODJ21" s="19"/>
      <c r="ODK21" s="19"/>
      <c r="ODL21" s="19"/>
      <c r="ODM21" s="19"/>
      <c r="ODN21" s="19"/>
      <c r="ODO21" s="19"/>
      <c r="ODP21" s="19"/>
      <c r="ODQ21" s="19"/>
      <c r="ODR21" s="19"/>
      <c r="ODS21" s="19"/>
      <c r="ODT21" s="19"/>
      <c r="ODU21" s="19"/>
      <c r="ODV21" s="19"/>
      <c r="ODW21" s="19"/>
      <c r="ODX21" s="19"/>
      <c r="ODY21" s="19"/>
      <c r="ODZ21" s="19"/>
      <c r="OEA21" s="19"/>
      <c r="OEB21" s="19"/>
      <c r="OEC21" s="19"/>
      <c r="OED21" s="19"/>
      <c r="OEE21" s="19"/>
      <c r="OEF21" s="19"/>
      <c r="OEG21" s="19"/>
      <c r="OEH21" s="19"/>
      <c r="OEI21" s="19"/>
      <c r="OEJ21" s="19"/>
      <c r="OEK21" s="19"/>
      <c r="OEL21" s="19"/>
      <c r="OEM21" s="19"/>
      <c r="OEN21" s="19"/>
      <c r="OEO21" s="19"/>
      <c r="OEP21" s="19"/>
      <c r="OEQ21" s="19"/>
      <c r="OER21" s="19"/>
      <c r="OES21" s="19"/>
      <c r="OET21" s="19"/>
      <c r="OEU21" s="19"/>
      <c r="OEV21" s="19"/>
      <c r="OEW21" s="19"/>
      <c r="OEX21" s="19"/>
      <c r="OEY21" s="19"/>
      <c r="OEZ21" s="19"/>
      <c r="OFA21" s="19"/>
      <c r="OFB21" s="19"/>
      <c r="OFC21" s="19"/>
      <c r="OFD21" s="19"/>
      <c r="OFE21" s="19"/>
      <c r="OFF21" s="19"/>
      <c r="OFG21" s="19"/>
      <c r="OFH21" s="19"/>
      <c r="OFI21" s="19"/>
      <c r="OFJ21" s="19"/>
      <c r="OFK21" s="19"/>
      <c r="OFL21" s="19"/>
      <c r="OFM21" s="19"/>
      <c r="OFN21" s="19"/>
      <c r="OFO21" s="19"/>
      <c r="OFP21" s="19"/>
      <c r="OFQ21" s="19"/>
      <c r="OFR21" s="19"/>
      <c r="OFS21" s="19"/>
      <c r="OFT21" s="19"/>
      <c r="OFU21" s="19"/>
      <c r="OFV21" s="19"/>
      <c r="OFW21" s="19"/>
      <c r="OFX21" s="19"/>
      <c r="OFY21" s="19"/>
      <c r="OFZ21" s="19"/>
      <c r="OGA21" s="19"/>
      <c r="OGB21" s="19"/>
      <c r="OGC21" s="19"/>
      <c r="OGD21" s="19"/>
      <c r="OGE21" s="19"/>
      <c r="OGF21" s="19"/>
      <c r="OGG21" s="19"/>
      <c r="OGH21" s="19"/>
      <c r="OGI21" s="19"/>
      <c r="OGJ21" s="19"/>
      <c r="OGK21" s="19"/>
      <c r="OGL21" s="19"/>
      <c r="OGM21" s="19"/>
      <c r="OGN21" s="19"/>
      <c r="OGO21" s="19"/>
      <c r="OGP21" s="19"/>
      <c r="OGQ21" s="19"/>
      <c r="OGR21" s="19"/>
      <c r="OGS21" s="19"/>
      <c r="OGT21" s="19"/>
      <c r="OGU21" s="19"/>
      <c r="OGV21" s="19"/>
      <c r="OGW21" s="19"/>
      <c r="OGX21" s="19"/>
      <c r="OGY21" s="19"/>
      <c r="OGZ21" s="19"/>
      <c r="OHA21" s="19"/>
      <c r="OHB21" s="19"/>
      <c r="OHC21" s="19"/>
      <c r="OHD21" s="19"/>
      <c r="OHE21" s="19"/>
      <c r="OHF21" s="19"/>
      <c r="OHG21" s="19"/>
      <c r="OHH21" s="19"/>
      <c r="OHI21" s="19"/>
      <c r="OHJ21" s="19"/>
      <c r="OHK21" s="19"/>
      <c r="OHL21" s="19"/>
      <c r="OHM21" s="19"/>
      <c r="OHN21" s="19"/>
      <c r="OHO21" s="19"/>
      <c r="OHP21" s="19"/>
      <c r="OHQ21" s="19"/>
      <c r="OHR21" s="19"/>
      <c r="OHS21" s="19"/>
      <c r="OHT21" s="19"/>
      <c r="OHU21" s="19"/>
      <c r="OHV21" s="19"/>
      <c r="OHW21" s="19"/>
      <c r="OHX21" s="19"/>
      <c r="OHY21" s="19"/>
      <c r="OHZ21" s="19"/>
      <c r="OIA21" s="19"/>
      <c r="OIB21" s="19"/>
      <c r="OIC21" s="19"/>
      <c r="OID21" s="19"/>
      <c r="OIE21" s="19"/>
      <c r="OIF21" s="19"/>
      <c r="OIG21" s="19"/>
      <c r="OIH21" s="19"/>
      <c r="OII21" s="19"/>
      <c r="OIJ21" s="19"/>
      <c r="OIK21" s="19"/>
      <c r="OIL21" s="19"/>
      <c r="OIM21" s="19"/>
      <c r="OIN21" s="19"/>
      <c r="OIO21" s="19"/>
      <c r="OIP21" s="19"/>
      <c r="OIQ21" s="19"/>
      <c r="OIR21" s="19"/>
      <c r="OIS21" s="19"/>
      <c r="OIT21" s="19"/>
      <c r="OIU21" s="19"/>
      <c r="OIV21" s="19"/>
      <c r="OIW21" s="19"/>
      <c r="OIX21" s="19"/>
      <c r="OIY21" s="19"/>
      <c r="OIZ21" s="19"/>
      <c r="OJA21" s="19"/>
      <c r="OJB21" s="19"/>
      <c r="OJC21" s="19"/>
      <c r="OJD21" s="19"/>
      <c r="OJE21" s="19"/>
      <c r="OJF21" s="19"/>
      <c r="OJG21" s="19"/>
      <c r="OJH21" s="19"/>
      <c r="OJI21" s="19"/>
      <c r="OJJ21" s="19"/>
      <c r="OJK21" s="19"/>
      <c r="OJL21" s="19"/>
      <c r="OJM21" s="19"/>
      <c r="OJN21" s="19"/>
      <c r="OJO21" s="19"/>
      <c r="OJP21" s="19"/>
      <c r="OJQ21" s="19"/>
      <c r="OJR21" s="19"/>
      <c r="OJS21" s="19"/>
      <c r="OJT21" s="19"/>
      <c r="OJU21" s="19"/>
      <c r="OJV21" s="19"/>
      <c r="OJW21" s="19"/>
      <c r="OJX21" s="19"/>
      <c r="OJY21" s="19"/>
      <c r="OJZ21" s="19"/>
      <c r="OKA21" s="19"/>
      <c r="OKB21" s="19"/>
      <c r="OKC21" s="19"/>
      <c r="OKD21" s="19"/>
      <c r="OKE21" s="19"/>
      <c r="OKF21" s="19"/>
      <c r="OKG21" s="19"/>
      <c r="OKH21" s="19"/>
      <c r="OKI21" s="19"/>
      <c r="OKJ21" s="19"/>
      <c r="OKK21" s="19"/>
      <c r="OKL21" s="19"/>
      <c r="OKM21" s="19"/>
      <c r="OKN21" s="19"/>
      <c r="OKO21" s="19"/>
      <c r="OKP21" s="19"/>
      <c r="OKQ21" s="19"/>
      <c r="OKR21" s="19"/>
      <c r="OKS21" s="19"/>
      <c r="OKT21" s="19"/>
      <c r="OKU21" s="19"/>
      <c r="OKV21" s="19"/>
      <c r="OKW21" s="19"/>
      <c r="OKX21" s="19"/>
      <c r="OKY21" s="19"/>
      <c r="OKZ21" s="19"/>
      <c r="OLA21" s="19"/>
      <c r="OLB21" s="19"/>
      <c r="OLC21" s="19"/>
      <c r="OLD21" s="19"/>
      <c r="OLE21" s="19"/>
      <c r="OLF21" s="19"/>
      <c r="OLG21" s="19"/>
      <c r="OLH21" s="19"/>
      <c r="OLI21" s="19"/>
      <c r="OLJ21" s="19"/>
      <c r="OLK21" s="19"/>
      <c r="OLL21" s="19"/>
      <c r="OLM21" s="19"/>
      <c r="OLN21" s="19"/>
      <c r="OLO21" s="19"/>
      <c r="OLP21" s="19"/>
      <c r="OLQ21" s="19"/>
      <c r="OLR21" s="19"/>
      <c r="OLS21" s="19"/>
      <c r="OLT21" s="19"/>
      <c r="OLU21" s="19"/>
      <c r="OLV21" s="19"/>
      <c r="OLW21" s="19"/>
      <c r="OLX21" s="19"/>
      <c r="OLY21" s="19"/>
      <c r="OLZ21" s="19"/>
      <c r="OMA21" s="19"/>
      <c r="OMB21" s="19"/>
      <c r="OMC21" s="19"/>
      <c r="OMD21" s="19"/>
      <c r="OME21" s="19"/>
      <c r="OMF21" s="19"/>
      <c r="OMG21" s="19"/>
      <c r="OMH21" s="19"/>
      <c r="OMI21" s="19"/>
      <c r="OMJ21" s="19"/>
      <c r="OMK21" s="19"/>
      <c r="OML21" s="19"/>
      <c r="OMM21" s="19"/>
      <c r="OMN21" s="19"/>
      <c r="OMO21" s="19"/>
      <c r="OMP21" s="19"/>
      <c r="OMQ21" s="19"/>
      <c r="OMR21" s="19"/>
      <c r="OMS21" s="19"/>
      <c r="OMT21" s="19"/>
      <c r="OMU21" s="19"/>
      <c r="OMV21" s="19"/>
      <c r="OMW21" s="19"/>
      <c r="OMX21" s="19"/>
      <c r="OMY21" s="19"/>
      <c r="OMZ21" s="19"/>
      <c r="ONA21" s="19"/>
      <c r="ONB21" s="19"/>
      <c r="ONC21" s="19"/>
      <c r="OND21" s="19"/>
      <c r="ONE21" s="19"/>
      <c r="ONF21" s="19"/>
      <c r="ONG21" s="19"/>
      <c r="ONH21" s="19"/>
      <c r="ONI21" s="19"/>
      <c r="ONJ21" s="19"/>
      <c r="ONK21" s="19"/>
      <c r="ONL21" s="19"/>
      <c r="ONM21" s="19"/>
      <c r="ONN21" s="19"/>
      <c r="ONO21" s="19"/>
      <c r="ONP21" s="19"/>
      <c r="ONQ21" s="19"/>
      <c r="ONR21" s="19"/>
      <c r="ONS21" s="19"/>
      <c r="ONT21" s="19"/>
      <c r="ONU21" s="19"/>
      <c r="ONV21" s="19"/>
      <c r="ONW21" s="19"/>
      <c r="ONX21" s="19"/>
      <c r="ONY21" s="19"/>
      <c r="ONZ21" s="19"/>
      <c r="OOA21" s="19"/>
      <c r="OOB21" s="19"/>
      <c r="OOC21" s="19"/>
      <c r="OOD21" s="19"/>
      <c r="OOE21" s="19"/>
      <c r="OOF21" s="19"/>
      <c r="OOG21" s="19"/>
      <c r="OOH21" s="19"/>
      <c r="OOI21" s="19"/>
      <c r="OOJ21" s="19"/>
      <c r="OOK21" s="19"/>
      <c r="OOL21" s="19"/>
      <c r="OOM21" s="19"/>
      <c r="OON21" s="19"/>
      <c r="OOO21" s="19"/>
      <c r="OOP21" s="19"/>
      <c r="OOQ21" s="19"/>
      <c r="OOR21" s="19"/>
      <c r="OOS21" s="19"/>
      <c r="OOT21" s="19"/>
      <c r="OOU21" s="19"/>
      <c r="OOV21" s="19"/>
      <c r="OOW21" s="19"/>
      <c r="OOX21" s="19"/>
      <c r="OOY21" s="19"/>
      <c r="OOZ21" s="19"/>
      <c r="OPA21" s="19"/>
      <c r="OPB21" s="19"/>
      <c r="OPC21" s="19"/>
      <c r="OPD21" s="19"/>
      <c r="OPE21" s="19"/>
      <c r="OPF21" s="19"/>
      <c r="OPG21" s="19"/>
      <c r="OPH21" s="19"/>
      <c r="OPI21" s="19"/>
      <c r="OPJ21" s="19"/>
      <c r="OPK21" s="19"/>
      <c r="OPL21" s="19"/>
      <c r="OPM21" s="19"/>
      <c r="OPN21" s="19"/>
      <c r="OPO21" s="19"/>
      <c r="OPP21" s="19"/>
      <c r="OPQ21" s="19"/>
      <c r="OPR21" s="19"/>
      <c r="OPS21" s="19"/>
      <c r="OPT21" s="19"/>
      <c r="OPU21" s="19"/>
      <c r="OPV21" s="19"/>
      <c r="OPW21" s="19"/>
      <c r="OPX21" s="19"/>
      <c r="OPY21" s="19"/>
      <c r="OPZ21" s="19"/>
      <c r="OQA21" s="19"/>
      <c r="OQB21" s="19"/>
      <c r="OQC21" s="19"/>
      <c r="OQD21" s="19"/>
      <c r="OQE21" s="19"/>
      <c r="OQF21" s="19"/>
      <c r="OQG21" s="19"/>
      <c r="OQH21" s="19"/>
      <c r="OQI21" s="19"/>
      <c r="OQJ21" s="19"/>
      <c r="OQK21" s="19"/>
      <c r="OQL21" s="19"/>
      <c r="OQM21" s="19"/>
      <c r="OQN21" s="19"/>
      <c r="OQO21" s="19"/>
      <c r="OQP21" s="19"/>
      <c r="OQQ21" s="19"/>
      <c r="OQR21" s="19"/>
      <c r="OQS21" s="19"/>
      <c r="OQT21" s="19"/>
      <c r="OQU21" s="19"/>
      <c r="OQV21" s="19"/>
      <c r="OQW21" s="19"/>
      <c r="OQX21" s="19"/>
      <c r="OQY21" s="19"/>
      <c r="OQZ21" s="19"/>
      <c r="ORA21" s="19"/>
      <c r="ORB21" s="19"/>
      <c r="ORC21" s="19"/>
      <c r="ORD21" s="19"/>
      <c r="ORE21" s="19"/>
      <c r="ORF21" s="19"/>
      <c r="ORG21" s="19"/>
      <c r="ORH21" s="19"/>
      <c r="ORI21" s="19"/>
      <c r="ORJ21" s="19"/>
      <c r="ORK21" s="19"/>
      <c r="ORL21" s="19"/>
      <c r="ORM21" s="19"/>
      <c r="ORN21" s="19"/>
      <c r="ORO21" s="19"/>
      <c r="ORP21" s="19"/>
      <c r="ORQ21" s="19"/>
      <c r="ORR21" s="19"/>
      <c r="ORS21" s="19"/>
      <c r="ORT21" s="19"/>
      <c r="ORU21" s="19"/>
      <c r="ORV21" s="19"/>
      <c r="ORW21" s="19"/>
      <c r="ORX21" s="19"/>
      <c r="ORY21" s="19"/>
      <c r="ORZ21" s="19"/>
      <c r="OSA21" s="19"/>
      <c r="OSB21" s="19"/>
      <c r="OSC21" s="19"/>
      <c r="OSD21" s="19"/>
      <c r="OSE21" s="19"/>
      <c r="OSF21" s="19"/>
      <c r="OSG21" s="19"/>
      <c r="OSH21" s="19"/>
      <c r="OSI21" s="19"/>
      <c r="OSJ21" s="19"/>
      <c r="OSK21" s="19"/>
      <c r="OSL21" s="19"/>
      <c r="OSM21" s="19"/>
      <c r="OSN21" s="19"/>
      <c r="OSO21" s="19"/>
      <c r="OSP21" s="19"/>
      <c r="OSQ21" s="19"/>
      <c r="OSR21" s="19"/>
      <c r="OSS21" s="19"/>
      <c r="OST21" s="19"/>
      <c r="OSU21" s="19"/>
      <c r="OSV21" s="19"/>
      <c r="OSW21" s="19"/>
      <c r="OSX21" s="19"/>
      <c r="OSY21" s="19"/>
      <c r="OSZ21" s="19"/>
      <c r="OTA21" s="19"/>
      <c r="OTB21" s="19"/>
      <c r="OTC21" s="19"/>
      <c r="OTD21" s="19"/>
      <c r="OTE21" s="19"/>
      <c r="OTF21" s="19"/>
      <c r="OTG21" s="19"/>
      <c r="OTH21" s="19"/>
      <c r="OTI21" s="19"/>
      <c r="OTJ21" s="19"/>
      <c r="OTK21" s="19"/>
      <c r="OTL21" s="19"/>
      <c r="OTM21" s="19"/>
      <c r="OTN21" s="19"/>
      <c r="OTO21" s="19"/>
      <c r="OTP21" s="19"/>
      <c r="OTQ21" s="19"/>
      <c r="OTR21" s="19"/>
      <c r="OTS21" s="19"/>
      <c r="OTT21" s="19"/>
      <c r="OTU21" s="19"/>
      <c r="OTV21" s="19"/>
      <c r="OTW21" s="19"/>
      <c r="OTX21" s="19"/>
      <c r="OTY21" s="19"/>
      <c r="OTZ21" s="19"/>
      <c r="OUA21" s="19"/>
      <c r="OUB21" s="19"/>
      <c r="OUC21" s="19"/>
      <c r="OUD21" s="19"/>
      <c r="OUE21" s="19"/>
      <c r="OUF21" s="19"/>
      <c r="OUG21" s="19"/>
      <c r="OUH21" s="19"/>
      <c r="OUI21" s="19"/>
      <c r="OUJ21" s="19"/>
      <c r="OUK21" s="19"/>
      <c r="OUL21" s="19"/>
      <c r="OUM21" s="19"/>
      <c r="OUN21" s="19"/>
      <c r="OUO21" s="19"/>
      <c r="OUP21" s="19"/>
      <c r="OUQ21" s="19"/>
      <c r="OUR21" s="19"/>
      <c r="OUS21" s="19"/>
      <c r="OUT21" s="19"/>
      <c r="OUU21" s="19"/>
      <c r="OUV21" s="19"/>
      <c r="OUW21" s="19"/>
      <c r="OUX21" s="19"/>
      <c r="OUY21" s="19"/>
      <c r="OUZ21" s="19"/>
      <c r="OVA21" s="19"/>
      <c r="OVB21" s="19"/>
      <c r="OVC21" s="19"/>
      <c r="OVD21" s="19"/>
      <c r="OVE21" s="19"/>
      <c r="OVF21" s="19"/>
      <c r="OVG21" s="19"/>
      <c r="OVH21" s="19"/>
      <c r="OVI21" s="19"/>
      <c r="OVJ21" s="19"/>
      <c r="OVK21" s="19"/>
      <c r="OVL21" s="19"/>
      <c r="OVM21" s="19"/>
      <c r="OVN21" s="19"/>
      <c r="OVO21" s="19"/>
      <c r="OVP21" s="19"/>
      <c r="OVQ21" s="19"/>
      <c r="OVR21" s="19"/>
      <c r="OVS21" s="19"/>
      <c r="OVT21" s="19"/>
      <c r="OVU21" s="19"/>
      <c r="OVV21" s="19"/>
      <c r="OVW21" s="19"/>
      <c r="OVX21" s="19"/>
      <c r="OVY21" s="19"/>
      <c r="OVZ21" s="19"/>
      <c r="OWA21" s="19"/>
      <c r="OWB21" s="19"/>
      <c r="OWC21" s="19"/>
      <c r="OWD21" s="19"/>
      <c r="OWE21" s="19"/>
      <c r="OWF21" s="19"/>
      <c r="OWG21" s="19"/>
      <c r="OWH21" s="19"/>
      <c r="OWI21" s="19"/>
      <c r="OWJ21" s="19"/>
      <c r="OWK21" s="19"/>
      <c r="OWL21" s="19"/>
      <c r="OWM21" s="19"/>
      <c r="OWN21" s="19"/>
      <c r="OWO21" s="19"/>
      <c r="OWP21" s="19"/>
      <c r="OWQ21" s="19"/>
      <c r="OWR21" s="19"/>
      <c r="OWS21" s="19"/>
      <c r="OWT21" s="19"/>
      <c r="OWU21" s="19"/>
      <c r="OWV21" s="19"/>
      <c r="OWW21" s="19"/>
      <c r="OWX21" s="19"/>
      <c r="OWY21" s="19"/>
      <c r="OWZ21" s="19"/>
      <c r="OXA21" s="19"/>
      <c r="OXB21" s="19"/>
      <c r="OXC21" s="19"/>
      <c r="OXD21" s="19"/>
      <c r="OXE21" s="19"/>
      <c r="OXF21" s="19"/>
      <c r="OXG21" s="19"/>
      <c r="OXH21" s="19"/>
      <c r="OXI21" s="19"/>
      <c r="OXJ21" s="19"/>
      <c r="OXK21" s="19"/>
      <c r="OXL21" s="19"/>
      <c r="OXM21" s="19"/>
      <c r="OXN21" s="19"/>
      <c r="OXO21" s="19"/>
      <c r="OXP21" s="19"/>
      <c r="OXQ21" s="19"/>
      <c r="OXR21" s="19"/>
      <c r="OXS21" s="19"/>
      <c r="OXT21" s="19"/>
      <c r="OXU21" s="19"/>
      <c r="OXV21" s="19"/>
      <c r="OXW21" s="19"/>
      <c r="OXX21" s="19"/>
      <c r="OXY21" s="19"/>
      <c r="OXZ21" s="19"/>
      <c r="OYA21" s="19"/>
      <c r="OYB21" s="19"/>
      <c r="OYC21" s="19"/>
      <c r="OYD21" s="19"/>
      <c r="OYE21" s="19"/>
      <c r="OYF21" s="19"/>
      <c r="OYG21" s="19"/>
      <c r="OYH21" s="19"/>
      <c r="OYI21" s="19"/>
      <c r="OYJ21" s="19"/>
      <c r="OYK21" s="19"/>
      <c r="OYL21" s="19"/>
      <c r="OYM21" s="19"/>
      <c r="OYN21" s="19"/>
      <c r="OYO21" s="19"/>
      <c r="OYP21" s="19"/>
      <c r="OYQ21" s="19"/>
      <c r="OYR21" s="19"/>
      <c r="OYS21" s="19"/>
      <c r="OYT21" s="19"/>
      <c r="OYU21" s="19"/>
      <c r="OYV21" s="19"/>
      <c r="OYW21" s="19"/>
      <c r="OYX21" s="19"/>
      <c r="OYY21" s="19"/>
      <c r="OYZ21" s="19"/>
      <c r="OZA21" s="19"/>
      <c r="OZB21" s="19"/>
      <c r="OZC21" s="19"/>
      <c r="OZD21" s="19"/>
      <c r="OZE21" s="19"/>
      <c r="OZF21" s="19"/>
      <c r="OZG21" s="19"/>
      <c r="OZH21" s="19"/>
      <c r="OZI21" s="19"/>
      <c r="OZJ21" s="19"/>
      <c r="OZK21" s="19"/>
      <c r="OZL21" s="19"/>
      <c r="OZM21" s="19"/>
      <c r="OZN21" s="19"/>
      <c r="OZO21" s="19"/>
      <c r="OZP21" s="19"/>
      <c r="OZQ21" s="19"/>
      <c r="OZR21" s="19"/>
      <c r="OZS21" s="19"/>
      <c r="OZT21" s="19"/>
      <c r="OZU21" s="19"/>
      <c r="OZV21" s="19"/>
      <c r="OZW21" s="19"/>
      <c r="OZX21" s="19"/>
      <c r="OZY21" s="19"/>
      <c r="OZZ21" s="19"/>
      <c r="PAA21" s="19"/>
      <c r="PAB21" s="19"/>
      <c r="PAC21" s="19"/>
      <c r="PAD21" s="19"/>
      <c r="PAE21" s="19"/>
      <c r="PAF21" s="19"/>
      <c r="PAG21" s="19"/>
      <c r="PAH21" s="19"/>
      <c r="PAI21" s="19"/>
      <c r="PAJ21" s="19"/>
      <c r="PAK21" s="19"/>
      <c r="PAL21" s="19"/>
      <c r="PAM21" s="19"/>
      <c r="PAN21" s="19"/>
      <c r="PAO21" s="19"/>
      <c r="PAP21" s="19"/>
      <c r="PAQ21" s="19"/>
      <c r="PAR21" s="19"/>
      <c r="PAS21" s="19"/>
      <c r="PAT21" s="19"/>
      <c r="PAU21" s="19"/>
      <c r="PAV21" s="19"/>
      <c r="PAW21" s="19"/>
      <c r="PAX21" s="19"/>
      <c r="PAY21" s="19"/>
      <c r="PAZ21" s="19"/>
      <c r="PBA21" s="19"/>
      <c r="PBB21" s="19"/>
      <c r="PBC21" s="19"/>
      <c r="PBD21" s="19"/>
      <c r="PBE21" s="19"/>
      <c r="PBF21" s="19"/>
      <c r="PBG21" s="19"/>
      <c r="PBH21" s="19"/>
      <c r="PBI21" s="19"/>
      <c r="PBJ21" s="19"/>
      <c r="PBK21" s="19"/>
      <c r="PBL21" s="19"/>
      <c r="PBM21" s="19"/>
      <c r="PBN21" s="19"/>
      <c r="PBO21" s="19"/>
      <c r="PBP21" s="19"/>
      <c r="PBQ21" s="19"/>
      <c r="PBR21" s="19"/>
      <c r="PBS21" s="19"/>
      <c r="PBT21" s="19"/>
      <c r="PBU21" s="19"/>
      <c r="PBV21" s="19"/>
      <c r="PBW21" s="19"/>
      <c r="PBX21" s="19"/>
      <c r="PBY21" s="19"/>
      <c r="PBZ21" s="19"/>
      <c r="PCA21" s="19"/>
      <c r="PCB21" s="19"/>
      <c r="PCC21" s="19"/>
      <c r="PCD21" s="19"/>
      <c r="PCE21" s="19"/>
      <c r="PCF21" s="19"/>
      <c r="PCG21" s="19"/>
      <c r="PCH21" s="19"/>
      <c r="PCI21" s="19"/>
      <c r="PCJ21" s="19"/>
      <c r="PCK21" s="19"/>
      <c r="PCL21" s="19"/>
      <c r="PCM21" s="19"/>
      <c r="PCN21" s="19"/>
      <c r="PCO21" s="19"/>
      <c r="PCP21" s="19"/>
      <c r="PCQ21" s="19"/>
      <c r="PCR21" s="19"/>
      <c r="PCS21" s="19"/>
      <c r="PCT21" s="19"/>
      <c r="PCU21" s="19"/>
      <c r="PCV21" s="19"/>
      <c r="PCW21" s="19"/>
      <c r="PCX21" s="19"/>
      <c r="PCY21" s="19"/>
      <c r="PCZ21" s="19"/>
      <c r="PDA21" s="19"/>
      <c r="PDB21" s="19"/>
      <c r="PDC21" s="19"/>
      <c r="PDD21" s="19"/>
      <c r="PDE21" s="19"/>
      <c r="PDF21" s="19"/>
      <c r="PDG21" s="19"/>
      <c r="PDH21" s="19"/>
      <c r="PDI21" s="19"/>
      <c r="PDJ21" s="19"/>
      <c r="PDK21" s="19"/>
      <c r="PDL21" s="19"/>
      <c r="PDM21" s="19"/>
      <c r="PDN21" s="19"/>
      <c r="PDO21" s="19"/>
      <c r="PDP21" s="19"/>
      <c r="PDQ21" s="19"/>
      <c r="PDR21" s="19"/>
      <c r="PDS21" s="19"/>
      <c r="PDT21" s="19"/>
      <c r="PDU21" s="19"/>
      <c r="PDV21" s="19"/>
      <c r="PDW21" s="19"/>
      <c r="PDX21" s="19"/>
      <c r="PDY21" s="19"/>
      <c r="PDZ21" s="19"/>
      <c r="PEA21" s="19"/>
      <c r="PEB21" s="19"/>
      <c r="PEC21" s="19"/>
      <c r="PED21" s="19"/>
      <c r="PEE21" s="19"/>
      <c r="PEF21" s="19"/>
      <c r="PEG21" s="19"/>
      <c r="PEH21" s="19"/>
      <c r="PEI21" s="19"/>
      <c r="PEJ21" s="19"/>
      <c r="PEK21" s="19"/>
      <c r="PEL21" s="19"/>
      <c r="PEM21" s="19"/>
      <c r="PEN21" s="19"/>
      <c r="PEO21" s="19"/>
      <c r="PEP21" s="19"/>
      <c r="PEQ21" s="19"/>
      <c r="PER21" s="19"/>
      <c r="PES21" s="19"/>
      <c r="PET21" s="19"/>
      <c r="PEU21" s="19"/>
      <c r="PEV21" s="19"/>
      <c r="PEW21" s="19"/>
      <c r="PEX21" s="19"/>
      <c r="PEY21" s="19"/>
      <c r="PEZ21" s="19"/>
      <c r="PFA21" s="19"/>
      <c r="PFB21" s="19"/>
      <c r="PFC21" s="19"/>
      <c r="PFD21" s="19"/>
      <c r="PFE21" s="19"/>
      <c r="PFF21" s="19"/>
      <c r="PFG21" s="19"/>
      <c r="PFH21" s="19"/>
      <c r="PFI21" s="19"/>
      <c r="PFJ21" s="19"/>
      <c r="PFK21" s="19"/>
      <c r="PFL21" s="19"/>
      <c r="PFM21" s="19"/>
      <c r="PFN21" s="19"/>
      <c r="PFO21" s="19"/>
      <c r="PFP21" s="19"/>
      <c r="PFQ21" s="19"/>
      <c r="PFR21" s="19"/>
      <c r="PFS21" s="19"/>
      <c r="PFT21" s="19"/>
      <c r="PFU21" s="19"/>
      <c r="PFV21" s="19"/>
      <c r="PFW21" s="19"/>
      <c r="PFX21" s="19"/>
      <c r="PFY21" s="19"/>
      <c r="PFZ21" s="19"/>
      <c r="PGA21" s="19"/>
      <c r="PGB21" s="19"/>
      <c r="PGC21" s="19"/>
      <c r="PGD21" s="19"/>
      <c r="PGE21" s="19"/>
      <c r="PGF21" s="19"/>
      <c r="PGG21" s="19"/>
      <c r="PGH21" s="19"/>
      <c r="PGI21" s="19"/>
      <c r="PGJ21" s="19"/>
      <c r="PGK21" s="19"/>
      <c r="PGL21" s="19"/>
      <c r="PGM21" s="19"/>
      <c r="PGN21" s="19"/>
      <c r="PGO21" s="19"/>
      <c r="PGP21" s="19"/>
      <c r="PGQ21" s="19"/>
      <c r="PGR21" s="19"/>
      <c r="PGS21" s="19"/>
      <c r="PGT21" s="19"/>
      <c r="PGU21" s="19"/>
      <c r="PGV21" s="19"/>
      <c r="PGW21" s="19"/>
      <c r="PGX21" s="19"/>
      <c r="PGY21" s="19"/>
      <c r="PGZ21" s="19"/>
      <c r="PHA21" s="19"/>
      <c r="PHB21" s="19"/>
      <c r="PHC21" s="19"/>
      <c r="PHD21" s="19"/>
      <c r="PHE21" s="19"/>
      <c r="PHF21" s="19"/>
      <c r="PHG21" s="19"/>
      <c r="PHH21" s="19"/>
      <c r="PHI21" s="19"/>
      <c r="PHJ21" s="19"/>
      <c r="PHK21" s="19"/>
      <c r="PHL21" s="19"/>
      <c r="PHM21" s="19"/>
      <c r="PHN21" s="19"/>
      <c r="PHO21" s="19"/>
      <c r="PHP21" s="19"/>
      <c r="PHQ21" s="19"/>
      <c r="PHR21" s="19"/>
      <c r="PHS21" s="19"/>
      <c r="PHT21" s="19"/>
      <c r="PHU21" s="19"/>
      <c r="PHV21" s="19"/>
      <c r="PHW21" s="19"/>
      <c r="PHX21" s="19"/>
      <c r="PHY21" s="19"/>
      <c r="PHZ21" s="19"/>
      <c r="PIA21" s="19"/>
      <c r="PIB21" s="19"/>
      <c r="PIC21" s="19"/>
      <c r="PID21" s="19"/>
      <c r="PIE21" s="19"/>
      <c r="PIF21" s="19"/>
      <c r="PIG21" s="19"/>
      <c r="PIH21" s="19"/>
      <c r="PII21" s="19"/>
      <c r="PIJ21" s="19"/>
      <c r="PIK21" s="19"/>
      <c r="PIL21" s="19"/>
      <c r="PIM21" s="19"/>
      <c r="PIN21" s="19"/>
      <c r="PIO21" s="19"/>
      <c r="PIP21" s="19"/>
      <c r="PIQ21" s="19"/>
      <c r="PIR21" s="19"/>
      <c r="PIS21" s="19"/>
      <c r="PIT21" s="19"/>
      <c r="PIU21" s="19"/>
      <c r="PIV21" s="19"/>
      <c r="PIW21" s="19"/>
      <c r="PIX21" s="19"/>
      <c r="PIY21" s="19"/>
      <c r="PIZ21" s="19"/>
      <c r="PJA21" s="19"/>
      <c r="PJB21" s="19"/>
      <c r="PJC21" s="19"/>
      <c r="PJD21" s="19"/>
      <c r="PJE21" s="19"/>
      <c r="PJF21" s="19"/>
      <c r="PJG21" s="19"/>
      <c r="PJH21" s="19"/>
      <c r="PJI21" s="19"/>
      <c r="PJJ21" s="19"/>
      <c r="PJK21" s="19"/>
      <c r="PJL21" s="19"/>
      <c r="PJM21" s="19"/>
      <c r="PJN21" s="19"/>
      <c r="PJO21" s="19"/>
      <c r="PJP21" s="19"/>
      <c r="PJQ21" s="19"/>
      <c r="PJR21" s="19"/>
      <c r="PJS21" s="19"/>
      <c r="PJT21" s="19"/>
      <c r="PJU21" s="19"/>
      <c r="PJV21" s="19"/>
      <c r="PJW21" s="19"/>
      <c r="PJX21" s="19"/>
      <c r="PJY21" s="19"/>
      <c r="PJZ21" s="19"/>
      <c r="PKA21" s="19"/>
      <c r="PKB21" s="19"/>
      <c r="PKC21" s="19"/>
      <c r="PKD21" s="19"/>
      <c r="PKE21" s="19"/>
      <c r="PKF21" s="19"/>
      <c r="PKG21" s="19"/>
      <c r="PKH21" s="19"/>
      <c r="PKI21" s="19"/>
      <c r="PKJ21" s="19"/>
      <c r="PKK21" s="19"/>
      <c r="PKL21" s="19"/>
      <c r="PKM21" s="19"/>
      <c r="PKN21" s="19"/>
      <c r="PKO21" s="19"/>
      <c r="PKP21" s="19"/>
      <c r="PKQ21" s="19"/>
      <c r="PKR21" s="19"/>
      <c r="PKS21" s="19"/>
      <c r="PKT21" s="19"/>
      <c r="PKU21" s="19"/>
      <c r="PKV21" s="19"/>
      <c r="PKW21" s="19"/>
      <c r="PKX21" s="19"/>
      <c r="PKY21" s="19"/>
      <c r="PKZ21" s="19"/>
      <c r="PLA21" s="19"/>
      <c r="PLB21" s="19"/>
      <c r="PLC21" s="19"/>
      <c r="PLD21" s="19"/>
      <c r="PLE21" s="19"/>
      <c r="PLF21" s="19"/>
      <c r="PLG21" s="19"/>
      <c r="PLH21" s="19"/>
      <c r="PLI21" s="19"/>
      <c r="PLJ21" s="19"/>
      <c r="PLK21" s="19"/>
      <c r="PLL21" s="19"/>
      <c r="PLM21" s="19"/>
      <c r="PLN21" s="19"/>
      <c r="PLO21" s="19"/>
      <c r="PLP21" s="19"/>
      <c r="PLQ21" s="19"/>
      <c r="PLR21" s="19"/>
      <c r="PLS21" s="19"/>
      <c r="PLT21" s="19"/>
      <c r="PLU21" s="19"/>
      <c r="PLV21" s="19"/>
      <c r="PLW21" s="19"/>
      <c r="PLX21" s="19"/>
      <c r="PLY21" s="19"/>
      <c r="PLZ21" s="19"/>
      <c r="PMA21" s="19"/>
      <c r="PMB21" s="19"/>
      <c r="PMC21" s="19"/>
      <c r="PMD21" s="19"/>
      <c r="PME21" s="19"/>
      <c r="PMF21" s="19"/>
      <c r="PMG21" s="19"/>
      <c r="PMH21" s="19"/>
      <c r="PMI21" s="19"/>
      <c r="PMJ21" s="19"/>
      <c r="PMK21" s="19"/>
      <c r="PML21" s="19"/>
      <c r="PMM21" s="19"/>
      <c r="PMN21" s="19"/>
      <c r="PMO21" s="19"/>
      <c r="PMP21" s="19"/>
      <c r="PMQ21" s="19"/>
      <c r="PMR21" s="19"/>
      <c r="PMS21" s="19"/>
      <c r="PMT21" s="19"/>
      <c r="PMU21" s="19"/>
      <c r="PMV21" s="19"/>
      <c r="PMW21" s="19"/>
      <c r="PMX21" s="19"/>
      <c r="PMY21" s="19"/>
      <c r="PMZ21" s="19"/>
      <c r="PNA21" s="19"/>
      <c r="PNB21" s="19"/>
      <c r="PNC21" s="19"/>
      <c r="PND21" s="19"/>
      <c r="PNE21" s="19"/>
      <c r="PNF21" s="19"/>
      <c r="PNG21" s="19"/>
      <c r="PNH21" s="19"/>
      <c r="PNI21" s="19"/>
      <c r="PNJ21" s="19"/>
      <c r="PNK21" s="19"/>
      <c r="PNL21" s="19"/>
      <c r="PNM21" s="19"/>
      <c r="PNN21" s="19"/>
      <c r="PNO21" s="19"/>
      <c r="PNP21" s="19"/>
      <c r="PNQ21" s="19"/>
      <c r="PNR21" s="19"/>
      <c r="PNS21" s="19"/>
      <c r="PNT21" s="19"/>
      <c r="PNU21" s="19"/>
      <c r="PNV21" s="19"/>
      <c r="PNW21" s="19"/>
      <c r="PNX21" s="19"/>
      <c r="PNY21" s="19"/>
      <c r="PNZ21" s="19"/>
      <c r="POA21" s="19"/>
      <c r="POB21" s="19"/>
      <c r="POC21" s="19"/>
      <c r="POD21" s="19"/>
      <c r="POE21" s="19"/>
      <c r="POF21" s="19"/>
      <c r="POG21" s="19"/>
      <c r="POH21" s="19"/>
      <c r="POI21" s="19"/>
      <c r="POJ21" s="19"/>
      <c r="POK21" s="19"/>
      <c r="POL21" s="19"/>
      <c r="POM21" s="19"/>
      <c r="PON21" s="19"/>
      <c r="POO21" s="19"/>
      <c r="POP21" s="19"/>
      <c r="POQ21" s="19"/>
      <c r="POR21" s="19"/>
      <c r="POS21" s="19"/>
      <c r="POT21" s="19"/>
      <c r="POU21" s="19"/>
      <c r="POV21" s="19"/>
      <c r="POW21" s="19"/>
      <c r="POX21" s="19"/>
      <c r="POY21" s="19"/>
      <c r="POZ21" s="19"/>
      <c r="PPA21" s="19"/>
      <c r="PPB21" s="19"/>
      <c r="PPC21" s="19"/>
      <c r="PPD21" s="19"/>
      <c r="PPE21" s="19"/>
      <c r="PPF21" s="19"/>
      <c r="PPG21" s="19"/>
      <c r="PPH21" s="19"/>
      <c r="PPI21" s="19"/>
      <c r="PPJ21" s="19"/>
      <c r="PPK21" s="19"/>
      <c r="PPL21" s="19"/>
      <c r="PPM21" s="19"/>
      <c r="PPN21" s="19"/>
      <c r="PPO21" s="19"/>
      <c r="PPP21" s="19"/>
      <c r="PPQ21" s="19"/>
      <c r="PPR21" s="19"/>
      <c r="PPS21" s="19"/>
      <c r="PPT21" s="19"/>
      <c r="PPU21" s="19"/>
      <c r="PPV21" s="19"/>
      <c r="PPW21" s="19"/>
      <c r="PPX21" s="19"/>
      <c r="PPY21" s="19"/>
      <c r="PPZ21" s="19"/>
      <c r="PQA21" s="19"/>
      <c r="PQB21" s="19"/>
      <c r="PQC21" s="19"/>
      <c r="PQD21" s="19"/>
      <c r="PQE21" s="19"/>
      <c r="PQF21" s="19"/>
      <c r="PQG21" s="19"/>
      <c r="PQH21" s="19"/>
      <c r="PQI21" s="19"/>
      <c r="PQJ21" s="19"/>
      <c r="PQK21" s="19"/>
      <c r="PQL21" s="19"/>
      <c r="PQM21" s="19"/>
      <c r="PQN21" s="19"/>
      <c r="PQO21" s="19"/>
      <c r="PQP21" s="19"/>
      <c r="PQQ21" s="19"/>
      <c r="PQR21" s="19"/>
      <c r="PQS21" s="19"/>
      <c r="PQT21" s="19"/>
      <c r="PQU21" s="19"/>
      <c r="PQV21" s="19"/>
      <c r="PQW21" s="19"/>
      <c r="PQX21" s="19"/>
      <c r="PQY21" s="19"/>
      <c r="PQZ21" s="19"/>
      <c r="PRA21" s="19"/>
      <c r="PRB21" s="19"/>
      <c r="PRC21" s="19"/>
      <c r="PRD21" s="19"/>
      <c r="PRE21" s="19"/>
      <c r="PRF21" s="19"/>
      <c r="PRG21" s="19"/>
      <c r="PRH21" s="19"/>
      <c r="PRI21" s="19"/>
      <c r="PRJ21" s="19"/>
      <c r="PRK21" s="19"/>
      <c r="PRL21" s="19"/>
      <c r="PRM21" s="19"/>
      <c r="PRN21" s="19"/>
      <c r="PRO21" s="19"/>
      <c r="PRP21" s="19"/>
      <c r="PRQ21" s="19"/>
      <c r="PRR21" s="19"/>
      <c r="PRS21" s="19"/>
      <c r="PRT21" s="19"/>
      <c r="PRU21" s="19"/>
      <c r="PRV21" s="19"/>
      <c r="PRW21" s="19"/>
      <c r="PRX21" s="19"/>
      <c r="PRY21" s="19"/>
      <c r="PRZ21" s="19"/>
      <c r="PSA21" s="19"/>
      <c r="PSB21" s="19"/>
      <c r="PSC21" s="19"/>
      <c r="PSD21" s="19"/>
      <c r="PSE21" s="19"/>
      <c r="PSF21" s="19"/>
      <c r="PSG21" s="19"/>
      <c r="PSH21" s="19"/>
      <c r="PSI21" s="19"/>
      <c r="PSJ21" s="19"/>
      <c r="PSK21" s="19"/>
      <c r="PSL21" s="19"/>
      <c r="PSM21" s="19"/>
      <c r="PSN21" s="19"/>
      <c r="PSO21" s="19"/>
      <c r="PSP21" s="19"/>
      <c r="PSQ21" s="19"/>
      <c r="PSR21" s="19"/>
      <c r="PSS21" s="19"/>
      <c r="PST21" s="19"/>
      <c r="PSU21" s="19"/>
      <c r="PSV21" s="19"/>
      <c r="PSW21" s="19"/>
      <c r="PSX21" s="19"/>
      <c r="PSY21" s="19"/>
      <c r="PSZ21" s="19"/>
      <c r="PTA21" s="19"/>
      <c r="PTB21" s="19"/>
      <c r="PTC21" s="19"/>
      <c r="PTD21" s="19"/>
      <c r="PTE21" s="19"/>
      <c r="PTF21" s="19"/>
      <c r="PTG21" s="19"/>
      <c r="PTH21" s="19"/>
      <c r="PTI21" s="19"/>
      <c r="PTJ21" s="19"/>
      <c r="PTK21" s="19"/>
      <c r="PTL21" s="19"/>
      <c r="PTM21" s="19"/>
      <c r="PTN21" s="19"/>
      <c r="PTO21" s="19"/>
      <c r="PTP21" s="19"/>
      <c r="PTQ21" s="19"/>
      <c r="PTR21" s="19"/>
      <c r="PTS21" s="19"/>
      <c r="PTT21" s="19"/>
      <c r="PTU21" s="19"/>
      <c r="PTV21" s="19"/>
      <c r="PTW21" s="19"/>
      <c r="PTX21" s="19"/>
      <c r="PTY21" s="19"/>
      <c r="PTZ21" s="19"/>
      <c r="PUA21" s="19"/>
      <c r="PUB21" s="19"/>
      <c r="PUC21" s="19"/>
      <c r="PUD21" s="19"/>
      <c r="PUE21" s="19"/>
      <c r="PUF21" s="19"/>
      <c r="PUG21" s="19"/>
      <c r="PUH21" s="19"/>
      <c r="PUI21" s="19"/>
      <c r="PUJ21" s="19"/>
      <c r="PUK21" s="19"/>
      <c r="PUL21" s="19"/>
      <c r="PUM21" s="19"/>
      <c r="PUN21" s="19"/>
      <c r="PUO21" s="19"/>
      <c r="PUP21" s="19"/>
      <c r="PUQ21" s="19"/>
      <c r="PUR21" s="19"/>
      <c r="PUS21" s="19"/>
      <c r="PUT21" s="19"/>
      <c r="PUU21" s="19"/>
      <c r="PUV21" s="19"/>
      <c r="PUW21" s="19"/>
      <c r="PUX21" s="19"/>
      <c r="PUY21" s="19"/>
      <c r="PUZ21" s="19"/>
      <c r="PVA21" s="19"/>
      <c r="PVB21" s="19"/>
      <c r="PVC21" s="19"/>
      <c r="PVD21" s="19"/>
      <c r="PVE21" s="19"/>
      <c r="PVF21" s="19"/>
      <c r="PVG21" s="19"/>
      <c r="PVH21" s="19"/>
      <c r="PVI21" s="19"/>
      <c r="PVJ21" s="19"/>
      <c r="PVK21" s="19"/>
      <c r="PVL21" s="19"/>
      <c r="PVM21" s="19"/>
      <c r="PVN21" s="19"/>
      <c r="PVO21" s="19"/>
      <c r="PVP21" s="19"/>
      <c r="PVQ21" s="19"/>
      <c r="PVR21" s="19"/>
      <c r="PVS21" s="19"/>
      <c r="PVT21" s="19"/>
      <c r="PVU21" s="19"/>
      <c r="PVV21" s="19"/>
      <c r="PVW21" s="19"/>
      <c r="PVX21" s="19"/>
      <c r="PVY21" s="19"/>
      <c r="PVZ21" s="19"/>
      <c r="PWA21" s="19"/>
      <c r="PWB21" s="19"/>
      <c r="PWC21" s="19"/>
      <c r="PWD21" s="19"/>
      <c r="PWE21" s="19"/>
      <c r="PWF21" s="19"/>
      <c r="PWG21" s="19"/>
      <c r="PWH21" s="19"/>
      <c r="PWI21" s="19"/>
      <c r="PWJ21" s="19"/>
      <c r="PWK21" s="19"/>
      <c r="PWL21" s="19"/>
      <c r="PWM21" s="19"/>
      <c r="PWN21" s="19"/>
      <c r="PWO21" s="19"/>
      <c r="PWP21" s="19"/>
      <c r="PWQ21" s="19"/>
      <c r="PWR21" s="19"/>
      <c r="PWS21" s="19"/>
      <c r="PWT21" s="19"/>
      <c r="PWU21" s="19"/>
      <c r="PWV21" s="19"/>
      <c r="PWW21" s="19"/>
      <c r="PWX21" s="19"/>
      <c r="PWY21" s="19"/>
      <c r="PWZ21" s="19"/>
      <c r="PXA21" s="19"/>
      <c r="PXB21" s="19"/>
      <c r="PXC21" s="19"/>
      <c r="PXD21" s="19"/>
      <c r="PXE21" s="19"/>
      <c r="PXF21" s="19"/>
      <c r="PXG21" s="19"/>
      <c r="PXH21" s="19"/>
      <c r="PXI21" s="19"/>
      <c r="PXJ21" s="19"/>
      <c r="PXK21" s="19"/>
      <c r="PXL21" s="19"/>
      <c r="PXM21" s="19"/>
      <c r="PXN21" s="19"/>
      <c r="PXO21" s="19"/>
      <c r="PXP21" s="19"/>
      <c r="PXQ21" s="19"/>
      <c r="PXR21" s="19"/>
      <c r="PXS21" s="19"/>
      <c r="PXT21" s="19"/>
      <c r="PXU21" s="19"/>
      <c r="PXV21" s="19"/>
      <c r="PXW21" s="19"/>
      <c r="PXX21" s="19"/>
      <c r="PXY21" s="19"/>
      <c r="PXZ21" s="19"/>
      <c r="PYA21" s="19"/>
      <c r="PYB21" s="19"/>
      <c r="PYC21" s="19"/>
      <c r="PYD21" s="19"/>
      <c r="PYE21" s="19"/>
      <c r="PYF21" s="19"/>
      <c r="PYG21" s="19"/>
      <c r="PYH21" s="19"/>
      <c r="PYI21" s="19"/>
      <c r="PYJ21" s="19"/>
      <c r="PYK21" s="19"/>
      <c r="PYL21" s="19"/>
      <c r="PYM21" s="19"/>
      <c r="PYN21" s="19"/>
      <c r="PYO21" s="19"/>
      <c r="PYP21" s="19"/>
      <c r="PYQ21" s="19"/>
      <c r="PYR21" s="19"/>
      <c r="PYS21" s="19"/>
      <c r="PYT21" s="19"/>
      <c r="PYU21" s="19"/>
      <c r="PYV21" s="19"/>
      <c r="PYW21" s="19"/>
      <c r="PYX21" s="19"/>
      <c r="PYY21" s="19"/>
      <c r="PYZ21" s="19"/>
      <c r="PZA21" s="19"/>
      <c r="PZB21" s="19"/>
      <c r="PZC21" s="19"/>
      <c r="PZD21" s="19"/>
      <c r="PZE21" s="19"/>
      <c r="PZF21" s="19"/>
      <c r="PZG21" s="19"/>
      <c r="PZH21" s="19"/>
      <c r="PZI21" s="19"/>
      <c r="PZJ21" s="19"/>
      <c r="PZK21" s="19"/>
      <c r="PZL21" s="19"/>
      <c r="PZM21" s="19"/>
      <c r="PZN21" s="19"/>
      <c r="PZO21" s="19"/>
      <c r="PZP21" s="19"/>
      <c r="PZQ21" s="19"/>
      <c r="PZR21" s="19"/>
      <c r="PZS21" s="19"/>
      <c r="PZT21" s="19"/>
      <c r="PZU21" s="19"/>
      <c r="PZV21" s="19"/>
      <c r="PZW21" s="19"/>
      <c r="PZX21" s="19"/>
      <c r="PZY21" s="19"/>
      <c r="PZZ21" s="19"/>
      <c r="QAA21" s="19"/>
      <c r="QAB21" s="19"/>
      <c r="QAC21" s="19"/>
      <c r="QAD21" s="19"/>
      <c r="QAE21" s="19"/>
      <c r="QAF21" s="19"/>
      <c r="QAG21" s="19"/>
      <c r="QAH21" s="19"/>
      <c r="QAI21" s="19"/>
      <c r="QAJ21" s="19"/>
      <c r="QAK21" s="19"/>
      <c r="QAL21" s="19"/>
      <c r="QAM21" s="19"/>
      <c r="QAN21" s="19"/>
      <c r="QAO21" s="19"/>
      <c r="QAP21" s="19"/>
      <c r="QAQ21" s="19"/>
      <c r="QAR21" s="19"/>
      <c r="QAS21" s="19"/>
      <c r="QAT21" s="19"/>
      <c r="QAU21" s="19"/>
      <c r="QAV21" s="19"/>
      <c r="QAW21" s="19"/>
      <c r="QAX21" s="19"/>
      <c r="QAY21" s="19"/>
      <c r="QAZ21" s="19"/>
      <c r="QBA21" s="19"/>
      <c r="QBB21" s="19"/>
      <c r="QBC21" s="19"/>
      <c r="QBD21" s="19"/>
      <c r="QBE21" s="19"/>
      <c r="QBF21" s="19"/>
      <c r="QBG21" s="19"/>
      <c r="QBH21" s="19"/>
      <c r="QBI21" s="19"/>
      <c r="QBJ21" s="19"/>
      <c r="QBK21" s="19"/>
      <c r="QBL21" s="19"/>
      <c r="QBM21" s="19"/>
      <c r="QBN21" s="19"/>
      <c r="QBO21" s="19"/>
      <c r="QBP21" s="19"/>
      <c r="QBQ21" s="19"/>
      <c r="QBR21" s="19"/>
      <c r="QBS21" s="19"/>
      <c r="QBT21" s="19"/>
      <c r="QBU21" s="19"/>
      <c r="QBV21" s="19"/>
      <c r="QBW21" s="19"/>
      <c r="QBX21" s="19"/>
      <c r="QBY21" s="19"/>
      <c r="QBZ21" s="19"/>
      <c r="QCA21" s="19"/>
      <c r="QCB21" s="19"/>
      <c r="QCC21" s="19"/>
      <c r="QCD21" s="19"/>
      <c r="QCE21" s="19"/>
      <c r="QCF21" s="19"/>
      <c r="QCG21" s="19"/>
      <c r="QCH21" s="19"/>
      <c r="QCI21" s="19"/>
      <c r="QCJ21" s="19"/>
      <c r="QCK21" s="19"/>
      <c r="QCL21" s="19"/>
      <c r="QCM21" s="19"/>
      <c r="QCN21" s="19"/>
      <c r="QCO21" s="19"/>
      <c r="QCP21" s="19"/>
      <c r="QCQ21" s="19"/>
      <c r="QCR21" s="19"/>
      <c r="QCS21" s="19"/>
      <c r="QCT21" s="19"/>
      <c r="QCU21" s="19"/>
      <c r="QCV21" s="19"/>
      <c r="QCW21" s="19"/>
      <c r="QCX21" s="19"/>
      <c r="QCY21" s="19"/>
      <c r="QCZ21" s="19"/>
      <c r="QDA21" s="19"/>
      <c r="QDB21" s="19"/>
      <c r="QDC21" s="19"/>
      <c r="QDD21" s="19"/>
      <c r="QDE21" s="19"/>
      <c r="QDF21" s="19"/>
      <c r="QDG21" s="19"/>
      <c r="QDH21" s="19"/>
      <c r="QDI21" s="19"/>
      <c r="QDJ21" s="19"/>
      <c r="QDK21" s="19"/>
      <c r="QDL21" s="19"/>
      <c r="QDM21" s="19"/>
      <c r="QDN21" s="19"/>
      <c r="QDO21" s="19"/>
      <c r="QDP21" s="19"/>
      <c r="QDQ21" s="19"/>
      <c r="QDR21" s="19"/>
      <c r="QDS21" s="19"/>
      <c r="QDT21" s="19"/>
      <c r="QDU21" s="19"/>
      <c r="QDV21" s="19"/>
      <c r="QDW21" s="19"/>
      <c r="QDX21" s="19"/>
      <c r="QDY21" s="19"/>
      <c r="QDZ21" s="19"/>
      <c r="QEA21" s="19"/>
      <c r="QEB21" s="19"/>
      <c r="QEC21" s="19"/>
      <c r="QED21" s="19"/>
      <c r="QEE21" s="19"/>
      <c r="QEF21" s="19"/>
      <c r="QEG21" s="19"/>
      <c r="QEH21" s="19"/>
      <c r="QEI21" s="19"/>
      <c r="QEJ21" s="19"/>
      <c r="QEK21" s="19"/>
      <c r="QEL21" s="19"/>
      <c r="QEM21" s="19"/>
      <c r="QEN21" s="19"/>
      <c r="QEO21" s="19"/>
      <c r="QEP21" s="19"/>
      <c r="QEQ21" s="19"/>
      <c r="QER21" s="19"/>
      <c r="QES21" s="19"/>
      <c r="QET21" s="19"/>
      <c r="QEU21" s="19"/>
      <c r="QEV21" s="19"/>
      <c r="QEW21" s="19"/>
      <c r="QEX21" s="19"/>
      <c r="QEY21" s="19"/>
      <c r="QEZ21" s="19"/>
      <c r="QFA21" s="19"/>
      <c r="QFB21" s="19"/>
      <c r="QFC21" s="19"/>
      <c r="QFD21" s="19"/>
      <c r="QFE21" s="19"/>
      <c r="QFF21" s="19"/>
      <c r="QFG21" s="19"/>
      <c r="QFH21" s="19"/>
      <c r="QFI21" s="19"/>
      <c r="QFJ21" s="19"/>
      <c r="QFK21" s="19"/>
      <c r="QFL21" s="19"/>
      <c r="QFM21" s="19"/>
      <c r="QFN21" s="19"/>
      <c r="QFO21" s="19"/>
      <c r="QFP21" s="19"/>
      <c r="QFQ21" s="19"/>
      <c r="QFR21" s="19"/>
      <c r="QFS21" s="19"/>
      <c r="QFT21" s="19"/>
      <c r="QFU21" s="19"/>
      <c r="QFV21" s="19"/>
      <c r="QFW21" s="19"/>
      <c r="QFX21" s="19"/>
      <c r="QFY21" s="19"/>
      <c r="QFZ21" s="19"/>
      <c r="QGA21" s="19"/>
      <c r="QGB21" s="19"/>
      <c r="QGC21" s="19"/>
      <c r="QGD21" s="19"/>
      <c r="QGE21" s="19"/>
      <c r="QGF21" s="19"/>
      <c r="QGG21" s="19"/>
      <c r="QGH21" s="19"/>
      <c r="QGI21" s="19"/>
      <c r="QGJ21" s="19"/>
      <c r="QGK21" s="19"/>
      <c r="QGL21" s="19"/>
      <c r="QGM21" s="19"/>
      <c r="QGN21" s="19"/>
      <c r="QGO21" s="19"/>
      <c r="QGP21" s="19"/>
      <c r="QGQ21" s="19"/>
      <c r="QGR21" s="19"/>
      <c r="QGS21" s="19"/>
      <c r="QGT21" s="19"/>
      <c r="QGU21" s="19"/>
      <c r="QGV21" s="19"/>
      <c r="QGW21" s="19"/>
      <c r="QGX21" s="19"/>
      <c r="QGY21" s="19"/>
      <c r="QGZ21" s="19"/>
      <c r="QHA21" s="19"/>
      <c r="QHB21" s="19"/>
      <c r="QHC21" s="19"/>
      <c r="QHD21" s="19"/>
      <c r="QHE21" s="19"/>
      <c r="QHF21" s="19"/>
      <c r="QHG21" s="19"/>
      <c r="QHH21" s="19"/>
      <c r="QHI21" s="19"/>
      <c r="QHJ21" s="19"/>
      <c r="QHK21" s="19"/>
      <c r="QHL21" s="19"/>
      <c r="QHM21" s="19"/>
      <c r="QHN21" s="19"/>
      <c r="QHO21" s="19"/>
      <c r="QHP21" s="19"/>
      <c r="QHQ21" s="19"/>
      <c r="QHR21" s="19"/>
      <c r="QHS21" s="19"/>
      <c r="QHT21" s="19"/>
      <c r="QHU21" s="19"/>
      <c r="QHV21" s="19"/>
      <c r="QHW21" s="19"/>
      <c r="QHX21" s="19"/>
      <c r="QHY21" s="19"/>
      <c r="QHZ21" s="19"/>
      <c r="QIA21" s="19"/>
      <c r="QIB21" s="19"/>
      <c r="QIC21" s="19"/>
      <c r="QID21" s="19"/>
      <c r="QIE21" s="19"/>
      <c r="QIF21" s="19"/>
      <c r="QIG21" s="19"/>
      <c r="QIH21" s="19"/>
      <c r="QII21" s="19"/>
      <c r="QIJ21" s="19"/>
      <c r="QIK21" s="19"/>
      <c r="QIL21" s="19"/>
      <c r="QIM21" s="19"/>
      <c r="QIN21" s="19"/>
      <c r="QIO21" s="19"/>
      <c r="QIP21" s="19"/>
      <c r="QIQ21" s="19"/>
      <c r="QIR21" s="19"/>
      <c r="QIS21" s="19"/>
      <c r="QIT21" s="19"/>
      <c r="QIU21" s="19"/>
      <c r="QIV21" s="19"/>
      <c r="QIW21" s="19"/>
      <c r="QIX21" s="19"/>
      <c r="QIY21" s="19"/>
      <c r="QIZ21" s="19"/>
      <c r="QJA21" s="19"/>
      <c r="QJB21" s="19"/>
      <c r="QJC21" s="19"/>
      <c r="QJD21" s="19"/>
      <c r="QJE21" s="19"/>
      <c r="QJF21" s="19"/>
      <c r="QJG21" s="19"/>
      <c r="QJH21" s="19"/>
      <c r="QJI21" s="19"/>
      <c r="QJJ21" s="19"/>
      <c r="QJK21" s="19"/>
      <c r="QJL21" s="19"/>
      <c r="QJM21" s="19"/>
      <c r="QJN21" s="19"/>
      <c r="QJO21" s="19"/>
      <c r="QJP21" s="19"/>
      <c r="QJQ21" s="19"/>
      <c r="QJR21" s="19"/>
      <c r="QJS21" s="19"/>
      <c r="QJT21" s="19"/>
      <c r="QJU21" s="19"/>
      <c r="QJV21" s="19"/>
      <c r="QJW21" s="19"/>
      <c r="QJX21" s="19"/>
      <c r="QJY21" s="19"/>
      <c r="QJZ21" s="19"/>
      <c r="QKA21" s="19"/>
      <c r="QKB21" s="19"/>
      <c r="QKC21" s="19"/>
      <c r="QKD21" s="19"/>
      <c r="QKE21" s="19"/>
      <c r="QKF21" s="19"/>
      <c r="QKG21" s="19"/>
      <c r="QKH21" s="19"/>
      <c r="QKI21" s="19"/>
      <c r="QKJ21" s="19"/>
      <c r="QKK21" s="19"/>
      <c r="QKL21" s="19"/>
      <c r="QKM21" s="19"/>
      <c r="QKN21" s="19"/>
      <c r="QKO21" s="19"/>
      <c r="QKP21" s="19"/>
      <c r="QKQ21" s="19"/>
      <c r="QKR21" s="19"/>
      <c r="QKS21" s="19"/>
      <c r="QKT21" s="19"/>
      <c r="QKU21" s="19"/>
      <c r="QKV21" s="19"/>
      <c r="QKW21" s="19"/>
      <c r="QKX21" s="19"/>
      <c r="QKY21" s="19"/>
      <c r="QKZ21" s="19"/>
      <c r="QLA21" s="19"/>
      <c r="QLB21" s="19"/>
      <c r="QLC21" s="19"/>
      <c r="QLD21" s="19"/>
      <c r="QLE21" s="19"/>
      <c r="QLF21" s="19"/>
      <c r="QLG21" s="19"/>
      <c r="QLH21" s="19"/>
      <c r="QLI21" s="19"/>
      <c r="QLJ21" s="19"/>
      <c r="QLK21" s="19"/>
      <c r="QLL21" s="19"/>
      <c r="QLM21" s="19"/>
      <c r="QLN21" s="19"/>
      <c r="QLO21" s="19"/>
      <c r="QLP21" s="19"/>
      <c r="QLQ21" s="19"/>
      <c r="QLR21" s="19"/>
      <c r="QLS21" s="19"/>
      <c r="QLT21" s="19"/>
      <c r="QLU21" s="19"/>
      <c r="QLV21" s="19"/>
      <c r="QLW21" s="19"/>
      <c r="QLX21" s="19"/>
      <c r="QLY21" s="19"/>
      <c r="QLZ21" s="19"/>
      <c r="QMA21" s="19"/>
      <c r="QMB21" s="19"/>
      <c r="QMC21" s="19"/>
      <c r="QMD21" s="19"/>
      <c r="QME21" s="19"/>
      <c r="QMF21" s="19"/>
      <c r="QMG21" s="19"/>
      <c r="QMH21" s="19"/>
      <c r="QMI21" s="19"/>
      <c r="QMJ21" s="19"/>
      <c r="QMK21" s="19"/>
      <c r="QML21" s="19"/>
      <c r="QMM21" s="19"/>
      <c r="QMN21" s="19"/>
      <c r="QMO21" s="19"/>
      <c r="QMP21" s="19"/>
      <c r="QMQ21" s="19"/>
      <c r="QMR21" s="19"/>
      <c r="QMS21" s="19"/>
      <c r="QMT21" s="19"/>
      <c r="QMU21" s="19"/>
      <c r="QMV21" s="19"/>
      <c r="QMW21" s="19"/>
      <c r="QMX21" s="19"/>
      <c r="QMY21" s="19"/>
      <c r="QMZ21" s="19"/>
      <c r="QNA21" s="19"/>
      <c r="QNB21" s="19"/>
      <c r="QNC21" s="19"/>
      <c r="QND21" s="19"/>
      <c r="QNE21" s="19"/>
      <c r="QNF21" s="19"/>
      <c r="QNG21" s="19"/>
      <c r="QNH21" s="19"/>
      <c r="QNI21" s="19"/>
      <c r="QNJ21" s="19"/>
      <c r="QNK21" s="19"/>
      <c r="QNL21" s="19"/>
      <c r="QNM21" s="19"/>
      <c r="QNN21" s="19"/>
      <c r="QNO21" s="19"/>
      <c r="QNP21" s="19"/>
      <c r="QNQ21" s="19"/>
      <c r="QNR21" s="19"/>
      <c r="QNS21" s="19"/>
      <c r="QNT21" s="19"/>
      <c r="QNU21" s="19"/>
      <c r="QNV21" s="19"/>
      <c r="QNW21" s="19"/>
      <c r="QNX21" s="19"/>
      <c r="QNY21" s="19"/>
      <c r="QNZ21" s="19"/>
      <c r="QOA21" s="19"/>
      <c r="QOB21" s="19"/>
      <c r="QOC21" s="19"/>
      <c r="QOD21" s="19"/>
      <c r="QOE21" s="19"/>
      <c r="QOF21" s="19"/>
      <c r="QOG21" s="19"/>
      <c r="QOH21" s="19"/>
      <c r="QOI21" s="19"/>
      <c r="QOJ21" s="19"/>
      <c r="QOK21" s="19"/>
      <c r="QOL21" s="19"/>
      <c r="QOM21" s="19"/>
      <c r="QON21" s="19"/>
      <c r="QOO21" s="19"/>
      <c r="QOP21" s="19"/>
      <c r="QOQ21" s="19"/>
      <c r="QOR21" s="19"/>
      <c r="QOS21" s="19"/>
      <c r="QOT21" s="19"/>
      <c r="QOU21" s="19"/>
      <c r="QOV21" s="19"/>
      <c r="QOW21" s="19"/>
      <c r="QOX21" s="19"/>
      <c r="QOY21" s="19"/>
      <c r="QOZ21" s="19"/>
      <c r="QPA21" s="19"/>
      <c r="QPB21" s="19"/>
      <c r="QPC21" s="19"/>
      <c r="QPD21" s="19"/>
      <c r="QPE21" s="19"/>
      <c r="QPF21" s="19"/>
      <c r="QPG21" s="19"/>
      <c r="QPH21" s="19"/>
      <c r="QPI21" s="19"/>
      <c r="QPJ21" s="19"/>
      <c r="QPK21" s="19"/>
      <c r="QPL21" s="19"/>
      <c r="QPM21" s="19"/>
      <c r="QPN21" s="19"/>
      <c r="QPO21" s="19"/>
      <c r="QPP21" s="19"/>
      <c r="QPQ21" s="19"/>
      <c r="QPR21" s="19"/>
      <c r="QPS21" s="19"/>
      <c r="QPT21" s="19"/>
      <c r="QPU21" s="19"/>
      <c r="QPV21" s="19"/>
      <c r="QPW21" s="19"/>
      <c r="QPX21" s="19"/>
      <c r="QPY21" s="19"/>
      <c r="QPZ21" s="19"/>
      <c r="QQA21" s="19"/>
      <c r="QQB21" s="19"/>
      <c r="QQC21" s="19"/>
      <c r="QQD21" s="19"/>
      <c r="QQE21" s="19"/>
      <c r="QQF21" s="19"/>
      <c r="QQG21" s="19"/>
      <c r="QQH21" s="19"/>
      <c r="QQI21" s="19"/>
      <c r="QQJ21" s="19"/>
      <c r="QQK21" s="19"/>
      <c r="QQL21" s="19"/>
      <c r="QQM21" s="19"/>
      <c r="QQN21" s="19"/>
      <c r="QQO21" s="19"/>
      <c r="QQP21" s="19"/>
      <c r="QQQ21" s="19"/>
      <c r="QQR21" s="19"/>
      <c r="QQS21" s="19"/>
      <c r="QQT21" s="19"/>
      <c r="QQU21" s="19"/>
      <c r="QQV21" s="19"/>
      <c r="QQW21" s="19"/>
      <c r="QQX21" s="19"/>
      <c r="QQY21" s="19"/>
      <c r="QQZ21" s="19"/>
      <c r="QRA21" s="19"/>
      <c r="QRB21" s="19"/>
      <c r="QRC21" s="19"/>
      <c r="QRD21" s="19"/>
      <c r="QRE21" s="19"/>
      <c r="QRF21" s="19"/>
      <c r="QRG21" s="19"/>
      <c r="QRH21" s="19"/>
      <c r="QRI21" s="19"/>
      <c r="QRJ21" s="19"/>
      <c r="QRK21" s="19"/>
      <c r="QRL21" s="19"/>
      <c r="QRM21" s="19"/>
      <c r="QRN21" s="19"/>
      <c r="QRO21" s="19"/>
      <c r="QRP21" s="19"/>
      <c r="QRQ21" s="19"/>
      <c r="QRR21" s="19"/>
      <c r="QRS21" s="19"/>
      <c r="QRT21" s="19"/>
      <c r="QRU21" s="19"/>
      <c r="QRV21" s="19"/>
      <c r="QRW21" s="19"/>
      <c r="QRX21" s="19"/>
      <c r="QRY21" s="19"/>
      <c r="QRZ21" s="19"/>
      <c r="QSA21" s="19"/>
      <c r="QSB21" s="19"/>
      <c r="QSC21" s="19"/>
      <c r="QSD21" s="19"/>
      <c r="QSE21" s="19"/>
      <c r="QSF21" s="19"/>
      <c r="QSG21" s="19"/>
      <c r="QSH21" s="19"/>
      <c r="QSI21" s="19"/>
      <c r="QSJ21" s="19"/>
      <c r="QSK21" s="19"/>
      <c r="QSL21" s="19"/>
      <c r="QSM21" s="19"/>
      <c r="QSN21" s="19"/>
      <c r="QSO21" s="19"/>
      <c r="QSP21" s="19"/>
      <c r="QSQ21" s="19"/>
      <c r="QSR21" s="19"/>
      <c r="QSS21" s="19"/>
      <c r="QST21" s="19"/>
      <c r="QSU21" s="19"/>
      <c r="QSV21" s="19"/>
      <c r="QSW21" s="19"/>
      <c r="QSX21" s="19"/>
      <c r="QSY21" s="19"/>
      <c r="QSZ21" s="19"/>
      <c r="QTA21" s="19"/>
      <c r="QTB21" s="19"/>
      <c r="QTC21" s="19"/>
      <c r="QTD21" s="19"/>
      <c r="QTE21" s="19"/>
      <c r="QTF21" s="19"/>
      <c r="QTG21" s="19"/>
      <c r="QTH21" s="19"/>
      <c r="QTI21" s="19"/>
      <c r="QTJ21" s="19"/>
      <c r="QTK21" s="19"/>
      <c r="QTL21" s="19"/>
      <c r="QTM21" s="19"/>
      <c r="QTN21" s="19"/>
      <c r="QTO21" s="19"/>
      <c r="QTP21" s="19"/>
      <c r="QTQ21" s="19"/>
      <c r="QTR21" s="19"/>
      <c r="QTS21" s="19"/>
      <c r="QTT21" s="19"/>
      <c r="QTU21" s="19"/>
      <c r="QTV21" s="19"/>
      <c r="QTW21" s="19"/>
      <c r="QTX21" s="19"/>
      <c r="QTY21" s="19"/>
      <c r="QTZ21" s="19"/>
      <c r="QUA21" s="19"/>
      <c r="QUB21" s="19"/>
      <c r="QUC21" s="19"/>
      <c r="QUD21" s="19"/>
      <c r="QUE21" s="19"/>
      <c r="QUF21" s="19"/>
      <c r="QUG21" s="19"/>
      <c r="QUH21" s="19"/>
      <c r="QUI21" s="19"/>
      <c r="QUJ21" s="19"/>
      <c r="QUK21" s="19"/>
      <c r="QUL21" s="19"/>
      <c r="QUM21" s="19"/>
      <c r="QUN21" s="19"/>
      <c r="QUO21" s="19"/>
      <c r="QUP21" s="19"/>
      <c r="QUQ21" s="19"/>
      <c r="QUR21" s="19"/>
      <c r="QUS21" s="19"/>
      <c r="QUT21" s="19"/>
      <c r="QUU21" s="19"/>
      <c r="QUV21" s="19"/>
      <c r="QUW21" s="19"/>
      <c r="QUX21" s="19"/>
      <c r="QUY21" s="19"/>
      <c r="QUZ21" s="19"/>
      <c r="QVA21" s="19"/>
      <c r="QVB21" s="19"/>
      <c r="QVC21" s="19"/>
      <c r="QVD21" s="19"/>
      <c r="QVE21" s="19"/>
      <c r="QVF21" s="19"/>
      <c r="QVG21" s="19"/>
      <c r="QVH21" s="19"/>
      <c r="QVI21" s="19"/>
      <c r="QVJ21" s="19"/>
      <c r="QVK21" s="19"/>
      <c r="QVL21" s="19"/>
      <c r="QVM21" s="19"/>
      <c r="QVN21" s="19"/>
      <c r="QVO21" s="19"/>
      <c r="QVP21" s="19"/>
      <c r="QVQ21" s="19"/>
      <c r="QVR21" s="19"/>
      <c r="QVS21" s="19"/>
      <c r="QVT21" s="19"/>
      <c r="QVU21" s="19"/>
      <c r="QVV21" s="19"/>
      <c r="QVW21" s="19"/>
      <c r="QVX21" s="19"/>
      <c r="QVY21" s="19"/>
      <c r="QVZ21" s="19"/>
      <c r="QWA21" s="19"/>
      <c r="QWB21" s="19"/>
      <c r="QWC21" s="19"/>
      <c r="QWD21" s="19"/>
      <c r="QWE21" s="19"/>
      <c r="QWF21" s="19"/>
      <c r="QWG21" s="19"/>
      <c r="QWH21" s="19"/>
      <c r="QWI21" s="19"/>
      <c r="QWJ21" s="19"/>
      <c r="QWK21" s="19"/>
      <c r="QWL21" s="19"/>
      <c r="QWM21" s="19"/>
      <c r="QWN21" s="19"/>
      <c r="QWO21" s="19"/>
      <c r="QWP21" s="19"/>
      <c r="QWQ21" s="19"/>
      <c r="QWR21" s="19"/>
      <c r="QWS21" s="19"/>
      <c r="QWT21" s="19"/>
      <c r="QWU21" s="19"/>
      <c r="QWV21" s="19"/>
      <c r="QWW21" s="19"/>
      <c r="QWX21" s="19"/>
      <c r="QWY21" s="19"/>
      <c r="QWZ21" s="19"/>
      <c r="QXA21" s="19"/>
      <c r="QXB21" s="19"/>
      <c r="QXC21" s="19"/>
      <c r="QXD21" s="19"/>
      <c r="QXE21" s="19"/>
      <c r="QXF21" s="19"/>
      <c r="QXG21" s="19"/>
      <c r="QXH21" s="19"/>
      <c r="QXI21" s="19"/>
      <c r="QXJ21" s="19"/>
      <c r="QXK21" s="19"/>
      <c r="QXL21" s="19"/>
      <c r="QXM21" s="19"/>
      <c r="QXN21" s="19"/>
      <c r="QXO21" s="19"/>
      <c r="QXP21" s="19"/>
      <c r="QXQ21" s="19"/>
      <c r="QXR21" s="19"/>
      <c r="QXS21" s="19"/>
      <c r="QXT21" s="19"/>
      <c r="QXU21" s="19"/>
      <c r="QXV21" s="19"/>
      <c r="QXW21" s="19"/>
      <c r="QXX21" s="19"/>
      <c r="QXY21" s="19"/>
      <c r="QXZ21" s="19"/>
      <c r="QYA21" s="19"/>
      <c r="QYB21" s="19"/>
      <c r="QYC21" s="19"/>
      <c r="QYD21" s="19"/>
      <c r="QYE21" s="19"/>
      <c r="QYF21" s="19"/>
      <c r="QYG21" s="19"/>
      <c r="QYH21" s="19"/>
      <c r="QYI21" s="19"/>
      <c r="QYJ21" s="19"/>
      <c r="QYK21" s="19"/>
      <c r="QYL21" s="19"/>
      <c r="QYM21" s="19"/>
      <c r="QYN21" s="19"/>
      <c r="QYO21" s="19"/>
      <c r="QYP21" s="19"/>
      <c r="QYQ21" s="19"/>
      <c r="QYR21" s="19"/>
      <c r="QYS21" s="19"/>
      <c r="QYT21" s="19"/>
      <c r="QYU21" s="19"/>
      <c r="QYV21" s="19"/>
      <c r="QYW21" s="19"/>
      <c r="QYX21" s="19"/>
      <c r="QYY21" s="19"/>
      <c r="QYZ21" s="19"/>
      <c r="QZA21" s="19"/>
      <c r="QZB21" s="19"/>
      <c r="QZC21" s="19"/>
      <c r="QZD21" s="19"/>
      <c r="QZE21" s="19"/>
      <c r="QZF21" s="19"/>
      <c r="QZG21" s="19"/>
      <c r="QZH21" s="19"/>
      <c r="QZI21" s="19"/>
      <c r="QZJ21" s="19"/>
      <c r="QZK21" s="19"/>
      <c r="QZL21" s="19"/>
      <c r="QZM21" s="19"/>
      <c r="QZN21" s="19"/>
      <c r="QZO21" s="19"/>
      <c r="QZP21" s="19"/>
      <c r="QZQ21" s="19"/>
      <c r="QZR21" s="19"/>
      <c r="QZS21" s="19"/>
      <c r="QZT21" s="19"/>
      <c r="QZU21" s="19"/>
      <c r="QZV21" s="19"/>
      <c r="QZW21" s="19"/>
      <c r="QZX21" s="19"/>
      <c r="QZY21" s="19"/>
      <c r="QZZ21" s="19"/>
      <c r="RAA21" s="19"/>
      <c r="RAB21" s="19"/>
      <c r="RAC21" s="19"/>
      <c r="RAD21" s="19"/>
      <c r="RAE21" s="19"/>
      <c r="RAF21" s="19"/>
      <c r="RAG21" s="19"/>
      <c r="RAH21" s="19"/>
      <c r="RAI21" s="19"/>
      <c r="RAJ21" s="19"/>
      <c r="RAK21" s="19"/>
      <c r="RAL21" s="19"/>
      <c r="RAM21" s="19"/>
      <c r="RAN21" s="19"/>
      <c r="RAO21" s="19"/>
      <c r="RAP21" s="19"/>
      <c r="RAQ21" s="19"/>
      <c r="RAR21" s="19"/>
      <c r="RAS21" s="19"/>
      <c r="RAT21" s="19"/>
      <c r="RAU21" s="19"/>
      <c r="RAV21" s="19"/>
      <c r="RAW21" s="19"/>
      <c r="RAX21" s="19"/>
      <c r="RAY21" s="19"/>
      <c r="RAZ21" s="19"/>
      <c r="RBA21" s="19"/>
      <c r="RBB21" s="19"/>
      <c r="RBC21" s="19"/>
      <c r="RBD21" s="19"/>
      <c r="RBE21" s="19"/>
      <c r="RBF21" s="19"/>
      <c r="RBG21" s="19"/>
      <c r="RBH21" s="19"/>
      <c r="RBI21" s="19"/>
      <c r="RBJ21" s="19"/>
      <c r="RBK21" s="19"/>
      <c r="RBL21" s="19"/>
      <c r="RBM21" s="19"/>
      <c r="RBN21" s="19"/>
      <c r="RBO21" s="19"/>
      <c r="RBP21" s="19"/>
      <c r="RBQ21" s="19"/>
      <c r="RBR21" s="19"/>
      <c r="RBS21" s="19"/>
      <c r="RBT21" s="19"/>
      <c r="RBU21" s="19"/>
      <c r="RBV21" s="19"/>
      <c r="RBW21" s="19"/>
      <c r="RBX21" s="19"/>
      <c r="RBY21" s="19"/>
      <c r="RBZ21" s="19"/>
      <c r="RCA21" s="19"/>
      <c r="RCB21" s="19"/>
      <c r="RCC21" s="19"/>
      <c r="RCD21" s="19"/>
      <c r="RCE21" s="19"/>
      <c r="RCF21" s="19"/>
      <c r="RCG21" s="19"/>
      <c r="RCH21" s="19"/>
      <c r="RCI21" s="19"/>
      <c r="RCJ21" s="19"/>
      <c r="RCK21" s="19"/>
      <c r="RCL21" s="19"/>
      <c r="RCM21" s="19"/>
      <c r="RCN21" s="19"/>
      <c r="RCO21" s="19"/>
      <c r="RCP21" s="19"/>
      <c r="RCQ21" s="19"/>
      <c r="RCR21" s="19"/>
      <c r="RCS21" s="19"/>
      <c r="RCT21" s="19"/>
      <c r="RCU21" s="19"/>
      <c r="RCV21" s="19"/>
      <c r="RCW21" s="19"/>
      <c r="RCX21" s="19"/>
      <c r="RCY21" s="19"/>
      <c r="RCZ21" s="19"/>
      <c r="RDA21" s="19"/>
      <c r="RDB21" s="19"/>
      <c r="RDC21" s="19"/>
      <c r="RDD21" s="19"/>
      <c r="RDE21" s="19"/>
      <c r="RDF21" s="19"/>
      <c r="RDG21" s="19"/>
      <c r="RDH21" s="19"/>
      <c r="RDI21" s="19"/>
      <c r="RDJ21" s="19"/>
      <c r="RDK21" s="19"/>
      <c r="RDL21" s="19"/>
      <c r="RDM21" s="19"/>
      <c r="RDN21" s="19"/>
      <c r="RDO21" s="19"/>
      <c r="RDP21" s="19"/>
      <c r="RDQ21" s="19"/>
      <c r="RDR21" s="19"/>
      <c r="RDS21" s="19"/>
      <c r="RDT21" s="19"/>
      <c r="RDU21" s="19"/>
      <c r="RDV21" s="19"/>
      <c r="RDW21" s="19"/>
      <c r="RDX21" s="19"/>
      <c r="RDY21" s="19"/>
      <c r="RDZ21" s="19"/>
      <c r="REA21" s="19"/>
      <c r="REB21" s="19"/>
      <c r="REC21" s="19"/>
      <c r="RED21" s="19"/>
      <c r="REE21" s="19"/>
      <c r="REF21" s="19"/>
      <c r="REG21" s="19"/>
      <c r="REH21" s="19"/>
      <c r="REI21" s="19"/>
      <c r="REJ21" s="19"/>
      <c r="REK21" s="19"/>
      <c r="REL21" s="19"/>
      <c r="REM21" s="19"/>
      <c r="REN21" s="19"/>
      <c r="REO21" s="19"/>
      <c r="REP21" s="19"/>
      <c r="REQ21" s="19"/>
      <c r="RER21" s="19"/>
      <c r="RES21" s="19"/>
      <c r="RET21" s="19"/>
      <c r="REU21" s="19"/>
      <c r="REV21" s="19"/>
      <c r="REW21" s="19"/>
      <c r="REX21" s="19"/>
      <c r="REY21" s="19"/>
      <c r="REZ21" s="19"/>
      <c r="RFA21" s="19"/>
      <c r="RFB21" s="19"/>
      <c r="RFC21" s="19"/>
      <c r="RFD21" s="19"/>
      <c r="RFE21" s="19"/>
      <c r="RFF21" s="19"/>
      <c r="RFG21" s="19"/>
      <c r="RFH21" s="19"/>
      <c r="RFI21" s="19"/>
      <c r="RFJ21" s="19"/>
      <c r="RFK21" s="19"/>
      <c r="RFL21" s="19"/>
      <c r="RFM21" s="19"/>
      <c r="RFN21" s="19"/>
      <c r="RFO21" s="19"/>
      <c r="RFP21" s="19"/>
      <c r="RFQ21" s="19"/>
      <c r="RFR21" s="19"/>
      <c r="RFS21" s="19"/>
      <c r="RFT21" s="19"/>
      <c r="RFU21" s="19"/>
      <c r="RFV21" s="19"/>
      <c r="RFW21" s="19"/>
      <c r="RFX21" s="19"/>
      <c r="RFY21" s="19"/>
      <c r="RFZ21" s="19"/>
      <c r="RGA21" s="19"/>
      <c r="RGB21" s="19"/>
      <c r="RGC21" s="19"/>
      <c r="RGD21" s="19"/>
      <c r="RGE21" s="19"/>
      <c r="RGF21" s="19"/>
      <c r="RGG21" s="19"/>
      <c r="RGH21" s="19"/>
      <c r="RGI21" s="19"/>
      <c r="RGJ21" s="19"/>
      <c r="RGK21" s="19"/>
      <c r="RGL21" s="19"/>
      <c r="RGM21" s="19"/>
      <c r="RGN21" s="19"/>
      <c r="RGO21" s="19"/>
      <c r="RGP21" s="19"/>
      <c r="RGQ21" s="19"/>
      <c r="RGR21" s="19"/>
      <c r="RGS21" s="19"/>
      <c r="RGT21" s="19"/>
      <c r="RGU21" s="19"/>
      <c r="RGV21" s="19"/>
      <c r="RGW21" s="19"/>
      <c r="RGX21" s="19"/>
      <c r="RGY21" s="19"/>
      <c r="RGZ21" s="19"/>
      <c r="RHA21" s="19"/>
      <c r="RHB21" s="19"/>
      <c r="RHC21" s="19"/>
      <c r="RHD21" s="19"/>
      <c r="RHE21" s="19"/>
      <c r="RHF21" s="19"/>
      <c r="RHG21" s="19"/>
      <c r="RHH21" s="19"/>
      <c r="RHI21" s="19"/>
      <c r="RHJ21" s="19"/>
      <c r="RHK21" s="19"/>
      <c r="RHL21" s="19"/>
      <c r="RHM21" s="19"/>
      <c r="RHN21" s="19"/>
      <c r="RHO21" s="19"/>
      <c r="RHP21" s="19"/>
      <c r="RHQ21" s="19"/>
      <c r="RHR21" s="19"/>
      <c r="RHS21" s="19"/>
      <c r="RHT21" s="19"/>
      <c r="RHU21" s="19"/>
      <c r="RHV21" s="19"/>
      <c r="RHW21" s="19"/>
      <c r="RHX21" s="19"/>
      <c r="RHY21" s="19"/>
      <c r="RHZ21" s="19"/>
      <c r="RIA21" s="19"/>
      <c r="RIB21" s="19"/>
      <c r="RIC21" s="19"/>
      <c r="RID21" s="19"/>
      <c r="RIE21" s="19"/>
      <c r="RIF21" s="19"/>
      <c r="RIG21" s="19"/>
      <c r="RIH21" s="19"/>
      <c r="RII21" s="19"/>
      <c r="RIJ21" s="19"/>
      <c r="RIK21" s="19"/>
      <c r="RIL21" s="19"/>
      <c r="RIM21" s="19"/>
      <c r="RIN21" s="19"/>
      <c r="RIO21" s="19"/>
      <c r="RIP21" s="19"/>
      <c r="RIQ21" s="19"/>
      <c r="RIR21" s="19"/>
      <c r="RIS21" s="19"/>
      <c r="RIT21" s="19"/>
      <c r="RIU21" s="19"/>
      <c r="RIV21" s="19"/>
      <c r="RIW21" s="19"/>
      <c r="RIX21" s="19"/>
      <c r="RIY21" s="19"/>
      <c r="RIZ21" s="19"/>
      <c r="RJA21" s="19"/>
      <c r="RJB21" s="19"/>
      <c r="RJC21" s="19"/>
      <c r="RJD21" s="19"/>
      <c r="RJE21" s="19"/>
      <c r="RJF21" s="19"/>
      <c r="RJG21" s="19"/>
      <c r="RJH21" s="19"/>
      <c r="RJI21" s="19"/>
      <c r="RJJ21" s="19"/>
      <c r="RJK21" s="19"/>
      <c r="RJL21" s="19"/>
      <c r="RJM21" s="19"/>
      <c r="RJN21" s="19"/>
      <c r="RJO21" s="19"/>
      <c r="RJP21" s="19"/>
      <c r="RJQ21" s="19"/>
      <c r="RJR21" s="19"/>
      <c r="RJS21" s="19"/>
      <c r="RJT21" s="19"/>
      <c r="RJU21" s="19"/>
      <c r="RJV21" s="19"/>
      <c r="RJW21" s="19"/>
      <c r="RJX21" s="19"/>
      <c r="RJY21" s="19"/>
      <c r="RJZ21" s="19"/>
      <c r="RKA21" s="19"/>
      <c r="RKB21" s="19"/>
      <c r="RKC21" s="19"/>
      <c r="RKD21" s="19"/>
      <c r="RKE21" s="19"/>
      <c r="RKF21" s="19"/>
      <c r="RKG21" s="19"/>
      <c r="RKH21" s="19"/>
      <c r="RKI21" s="19"/>
      <c r="RKJ21" s="19"/>
      <c r="RKK21" s="19"/>
      <c r="RKL21" s="19"/>
      <c r="RKM21" s="19"/>
      <c r="RKN21" s="19"/>
      <c r="RKO21" s="19"/>
      <c r="RKP21" s="19"/>
      <c r="RKQ21" s="19"/>
      <c r="RKR21" s="19"/>
      <c r="RKS21" s="19"/>
      <c r="RKT21" s="19"/>
      <c r="RKU21" s="19"/>
      <c r="RKV21" s="19"/>
      <c r="RKW21" s="19"/>
      <c r="RKX21" s="19"/>
      <c r="RKY21" s="19"/>
      <c r="RKZ21" s="19"/>
      <c r="RLA21" s="19"/>
      <c r="RLB21" s="19"/>
      <c r="RLC21" s="19"/>
      <c r="RLD21" s="19"/>
      <c r="RLE21" s="19"/>
      <c r="RLF21" s="19"/>
      <c r="RLG21" s="19"/>
      <c r="RLH21" s="19"/>
      <c r="RLI21" s="19"/>
      <c r="RLJ21" s="19"/>
      <c r="RLK21" s="19"/>
      <c r="RLL21" s="19"/>
      <c r="RLM21" s="19"/>
      <c r="RLN21" s="19"/>
      <c r="RLO21" s="19"/>
      <c r="RLP21" s="19"/>
      <c r="RLQ21" s="19"/>
      <c r="RLR21" s="19"/>
      <c r="RLS21" s="19"/>
      <c r="RLT21" s="19"/>
      <c r="RLU21" s="19"/>
      <c r="RLV21" s="19"/>
      <c r="RLW21" s="19"/>
      <c r="RLX21" s="19"/>
      <c r="RLY21" s="19"/>
      <c r="RLZ21" s="19"/>
      <c r="RMA21" s="19"/>
      <c r="RMB21" s="19"/>
      <c r="RMC21" s="19"/>
      <c r="RMD21" s="19"/>
      <c r="RME21" s="19"/>
      <c r="RMF21" s="19"/>
      <c r="RMG21" s="19"/>
      <c r="RMH21" s="19"/>
      <c r="RMI21" s="19"/>
      <c r="RMJ21" s="19"/>
      <c r="RMK21" s="19"/>
      <c r="RML21" s="19"/>
      <c r="RMM21" s="19"/>
      <c r="RMN21" s="19"/>
      <c r="RMO21" s="19"/>
      <c r="RMP21" s="19"/>
      <c r="RMQ21" s="19"/>
      <c r="RMR21" s="19"/>
      <c r="RMS21" s="19"/>
      <c r="RMT21" s="19"/>
      <c r="RMU21" s="19"/>
      <c r="RMV21" s="19"/>
      <c r="RMW21" s="19"/>
      <c r="RMX21" s="19"/>
      <c r="RMY21" s="19"/>
      <c r="RMZ21" s="19"/>
      <c r="RNA21" s="19"/>
      <c r="RNB21" s="19"/>
      <c r="RNC21" s="19"/>
      <c r="RND21" s="19"/>
      <c r="RNE21" s="19"/>
      <c r="RNF21" s="19"/>
      <c r="RNG21" s="19"/>
      <c r="RNH21" s="19"/>
      <c r="RNI21" s="19"/>
      <c r="RNJ21" s="19"/>
      <c r="RNK21" s="19"/>
      <c r="RNL21" s="19"/>
      <c r="RNM21" s="19"/>
      <c r="RNN21" s="19"/>
      <c r="RNO21" s="19"/>
      <c r="RNP21" s="19"/>
      <c r="RNQ21" s="19"/>
      <c r="RNR21" s="19"/>
      <c r="RNS21" s="19"/>
      <c r="RNT21" s="19"/>
      <c r="RNU21" s="19"/>
      <c r="RNV21" s="19"/>
      <c r="RNW21" s="19"/>
      <c r="RNX21" s="19"/>
      <c r="RNY21" s="19"/>
      <c r="RNZ21" s="19"/>
      <c r="ROA21" s="19"/>
      <c r="ROB21" s="19"/>
      <c r="ROC21" s="19"/>
      <c r="ROD21" s="19"/>
      <c r="ROE21" s="19"/>
      <c r="ROF21" s="19"/>
      <c r="ROG21" s="19"/>
      <c r="ROH21" s="19"/>
      <c r="ROI21" s="19"/>
      <c r="ROJ21" s="19"/>
      <c r="ROK21" s="19"/>
      <c r="ROL21" s="19"/>
      <c r="ROM21" s="19"/>
      <c r="RON21" s="19"/>
      <c r="ROO21" s="19"/>
      <c r="ROP21" s="19"/>
      <c r="ROQ21" s="19"/>
      <c r="ROR21" s="19"/>
      <c r="ROS21" s="19"/>
      <c r="ROT21" s="19"/>
      <c r="ROU21" s="19"/>
      <c r="ROV21" s="19"/>
      <c r="ROW21" s="19"/>
      <c r="ROX21" s="19"/>
      <c r="ROY21" s="19"/>
      <c r="ROZ21" s="19"/>
      <c r="RPA21" s="19"/>
      <c r="RPB21" s="19"/>
      <c r="RPC21" s="19"/>
      <c r="RPD21" s="19"/>
      <c r="RPE21" s="19"/>
      <c r="RPF21" s="19"/>
      <c r="RPG21" s="19"/>
      <c r="RPH21" s="19"/>
      <c r="RPI21" s="19"/>
      <c r="RPJ21" s="19"/>
      <c r="RPK21" s="19"/>
      <c r="RPL21" s="19"/>
      <c r="RPM21" s="19"/>
      <c r="RPN21" s="19"/>
      <c r="RPO21" s="19"/>
      <c r="RPP21" s="19"/>
      <c r="RPQ21" s="19"/>
      <c r="RPR21" s="19"/>
      <c r="RPS21" s="19"/>
      <c r="RPT21" s="19"/>
      <c r="RPU21" s="19"/>
      <c r="RPV21" s="19"/>
      <c r="RPW21" s="19"/>
      <c r="RPX21" s="19"/>
      <c r="RPY21" s="19"/>
      <c r="RPZ21" s="19"/>
      <c r="RQA21" s="19"/>
      <c r="RQB21" s="19"/>
      <c r="RQC21" s="19"/>
      <c r="RQD21" s="19"/>
      <c r="RQE21" s="19"/>
      <c r="RQF21" s="19"/>
      <c r="RQG21" s="19"/>
      <c r="RQH21" s="19"/>
      <c r="RQI21" s="19"/>
      <c r="RQJ21" s="19"/>
      <c r="RQK21" s="19"/>
      <c r="RQL21" s="19"/>
      <c r="RQM21" s="19"/>
      <c r="RQN21" s="19"/>
      <c r="RQO21" s="19"/>
      <c r="RQP21" s="19"/>
      <c r="RQQ21" s="19"/>
      <c r="RQR21" s="19"/>
      <c r="RQS21" s="19"/>
      <c r="RQT21" s="19"/>
      <c r="RQU21" s="19"/>
      <c r="RQV21" s="19"/>
      <c r="RQW21" s="19"/>
      <c r="RQX21" s="19"/>
      <c r="RQY21" s="19"/>
      <c r="RQZ21" s="19"/>
      <c r="RRA21" s="19"/>
      <c r="RRB21" s="19"/>
      <c r="RRC21" s="19"/>
      <c r="RRD21" s="19"/>
      <c r="RRE21" s="19"/>
      <c r="RRF21" s="19"/>
      <c r="RRG21" s="19"/>
      <c r="RRH21" s="19"/>
      <c r="RRI21" s="19"/>
      <c r="RRJ21" s="19"/>
      <c r="RRK21" s="19"/>
      <c r="RRL21" s="19"/>
      <c r="RRM21" s="19"/>
      <c r="RRN21" s="19"/>
      <c r="RRO21" s="19"/>
      <c r="RRP21" s="19"/>
      <c r="RRQ21" s="19"/>
      <c r="RRR21" s="19"/>
      <c r="RRS21" s="19"/>
      <c r="RRT21" s="19"/>
      <c r="RRU21" s="19"/>
      <c r="RRV21" s="19"/>
      <c r="RRW21" s="19"/>
      <c r="RRX21" s="19"/>
      <c r="RRY21" s="19"/>
      <c r="RRZ21" s="19"/>
      <c r="RSA21" s="19"/>
      <c r="RSB21" s="19"/>
      <c r="RSC21" s="19"/>
      <c r="RSD21" s="19"/>
      <c r="RSE21" s="19"/>
      <c r="RSF21" s="19"/>
      <c r="RSG21" s="19"/>
      <c r="RSH21" s="19"/>
      <c r="RSI21" s="19"/>
      <c r="RSJ21" s="19"/>
      <c r="RSK21" s="19"/>
      <c r="RSL21" s="19"/>
      <c r="RSM21" s="19"/>
      <c r="RSN21" s="19"/>
      <c r="RSO21" s="19"/>
      <c r="RSP21" s="19"/>
      <c r="RSQ21" s="19"/>
      <c r="RSR21" s="19"/>
      <c r="RSS21" s="19"/>
      <c r="RST21" s="19"/>
      <c r="RSU21" s="19"/>
      <c r="RSV21" s="19"/>
      <c r="RSW21" s="19"/>
      <c r="RSX21" s="19"/>
      <c r="RSY21" s="19"/>
      <c r="RSZ21" s="19"/>
      <c r="RTA21" s="19"/>
      <c r="RTB21" s="19"/>
      <c r="RTC21" s="19"/>
      <c r="RTD21" s="19"/>
      <c r="RTE21" s="19"/>
      <c r="RTF21" s="19"/>
      <c r="RTG21" s="19"/>
      <c r="RTH21" s="19"/>
      <c r="RTI21" s="19"/>
      <c r="RTJ21" s="19"/>
      <c r="RTK21" s="19"/>
      <c r="RTL21" s="19"/>
      <c r="RTM21" s="19"/>
      <c r="RTN21" s="19"/>
      <c r="RTO21" s="19"/>
      <c r="RTP21" s="19"/>
      <c r="RTQ21" s="19"/>
      <c r="RTR21" s="19"/>
      <c r="RTS21" s="19"/>
      <c r="RTT21" s="19"/>
      <c r="RTU21" s="19"/>
      <c r="RTV21" s="19"/>
      <c r="RTW21" s="19"/>
      <c r="RTX21" s="19"/>
      <c r="RTY21" s="19"/>
      <c r="RTZ21" s="19"/>
      <c r="RUA21" s="19"/>
      <c r="RUB21" s="19"/>
      <c r="RUC21" s="19"/>
      <c r="RUD21" s="19"/>
      <c r="RUE21" s="19"/>
      <c r="RUF21" s="19"/>
      <c r="RUG21" s="19"/>
      <c r="RUH21" s="19"/>
      <c r="RUI21" s="19"/>
      <c r="RUJ21" s="19"/>
      <c r="RUK21" s="19"/>
      <c r="RUL21" s="19"/>
      <c r="RUM21" s="19"/>
      <c r="RUN21" s="19"/>
      <c r="RUO21" s="19"/>
      <c r="RUP21" s="19"/>
      <c r="RUQ21" s="19"/>
      <c r="RUR21" s="19"/>
      <c r="RUS21" s="19"/>
      <c r="RUT21" s="19"/>
      <c r="RUU21" s="19"/>
      <c r="RUV21" s="19"/>
      <c r="RUW21" s="19"/>
      <c r="RUX21" s="19"/>
      <c r="RUY21" s="19"/>
      <c r="RUZ21" s="19"/>
      <c r="RVA21" s="19"/>
      <c r="RVB21" s="19"/>
      <c r="RVC21" s="19"/>
      <c r="RVD21" s="19"/>
      <c r="RVE21" s="19"/>
      <c r="RVF21" s="19"/>
      <c r="RVG21" s="19"/>
      <c r="RVH21" s="19"/>
      <c r="RVI21" s="19"/>
      <c r="RVJ21" s="19"/>
      <c r="RVK21" s="19"/>
      <c r="RVL21" s="19"/>
      <c r="RVM21" s="19"/>
      <c r="RVN21" s="19"/>
      <c r="RVO21" s="19"/>
      <c r="RVP21" s="19"/>
      <c r="RVQ21" s="19"/>
      <c r="RVR21" s="19"/>
      <c r="RVS21" s="19"/>
      <c r="RVT21" s="19"/>
      <c r="RVU21" s="19"/>
      <c r="RVV21" s="19"/>
      <c r="RVW21" s="19"/>
      <c r="RVX21" s="19"/>
      <c r="RVY21" s="19"/>
      <c r="RVZ21" s="19"/>
      <c r="RWA21" s="19"/>
      <c r="RWB21" s="19"/>
      <c r="RWC21" s="19"/>
      <c r="RWD21" s="19"/>
      <c r="RWE21" s="19"/>
      <c r="RWF21" s="19"/>
      <c r="RWG21" s="19"/>
      <c r="RWH21" s="19"/>
      <c r="RWI21" s="19"/>
      <c r="RWJ21" s="19"/>
      <c r="RWK21" s="19"/>
      <c r="RWL21" s="19"/>
      <c r="RWM21" s="19"/>
      <c r="RWN21" s="19"/>
      <c r="RWO21" s="19"/>
      <c r="RWP21" s="19"/>
      <c r="RWQ21" s="19"/>
      <c r="RWR21" s="19"/>
      <c r="RWS21" s="19"/>
      <c r="RWT21" s="19"/>
      <c r="RWU21" s="19"/>
      <c r="RWV21" s="19"/>
      <c r="RWW21" s="19"/>
      <c r="RWX21" s="19"/>
      <c r="RWY21" s="19"/>
      <c r="RWZ21" s="19"/>
      <c r="RXA21" s="19"/>
      <c r="RXB21" s="19"/>
      <c r="RXC21" s="19"/>
      <c r="RXD21" s="19"/>
      <c r="RXE21" s="19"/>
      <c r="RXF21" s="19"/>
      <c r="RXG21" s="19"/>
      <c r="RXH21" s="19"/>
      <c r="RXI21" s="19"/>
      <c r="RXJ21" s="19"/>
      <c r="RXK21" s="19"/>
      <c r="RXL21" s="19"/>
      <c r="RXM21" s="19"/>
      <c r="RXN21" s="19"/>
      <c r="RXO21" s="19"/>
      <c r="RXP21" s="19"/>
      <c r="RXQ21" s="19"/>
      <c r="RXR21" s="19"/>
      <c r="RXS21" s="19"/>
      <c r="RXT21" s="19"/>
      <c r="RXU21" s="19"/>
      <c r="RXV21" s="19"/>
      <c r="RXW21" s="19"/>
      <c r="RXX21" s="19"/>
      <c r="RXY21" s="19"/>
      <c r="RXZ21" s="19"/>
      <c r="RYA21" s="19"/>
      <c r="RYB21" s="19"/>
      <c r="RYC21" s="19"/>
      <c r="RYD21" s="19"/>
      <c r="RYE21" s="19"/>
      <c r="RYF21" s="19"/>
      <c r="RYG21" s="19"/>
      <c r="RYH21" s="19"/>
      <c r="RYI21" s="19"/>
      <c r="RYJ21" s="19"/>
      <c r="RYK21" s="19"/>
      <c r="RYL21" s="19"/>
      <c r="RYM21" s="19"/>
      <c r="RYN21" s="19"/>
      <c r="RYO21" s="19"/>
      <c r="RYP21" s="19"/>
      <c r="RYQ21" s="19"/>
      <c r="RYR21" s="19"/>
      <c r="RYS21" s="19"/>
      <c r="RYT21" s="19"/>
      <c r="RYU21" s="19"/>
      <c r="RYV21" s="19"/>
      <c r="RYW21" s="19"/>
      <c r="RYX21" s="19"/>
      <c r="RYY21" s="19"/>
      <c r="RYZ21" s="19"/>
      <c r="RZA21" s="19"/>
      <c r="RZB21" s="19"/>
      <c r="RZC21" s="19"/>
      <c r="RZD21" s="19"/>
      <c r="RZE21" s="19"/>
      <c r="RZF21" s="19"/>
      <c r="RZG21" s="19"/>
      <c r="RZH21" s="19"/>
      <c r="RZI21" s="19"/>
      <c r="RZJ21" s="19"/>
      <c r="RZK21" s="19"/>
      <c r="RZL21" s="19"/>
      <c r="RZM21" s="19"/>
      <c r="RZN21" s="19"/>
      <c r="RZO21" s="19"/>
      <c r="RZP21" s="19"/>
      <c r="RZQ21" s="19"/>
      <c r="RZR21" s="19"/>
      <c r="RZS21" s="19"/>
      <c r="RZT21" s="19"/>
      <c r="RZU21" s="19"/>
      <c r="RZV21" s="19"/>
      <c r="RZW21" s="19"/>
      <c r="RZX21" s="19"/>
      <c r="RZY21" s="19"/>
      <c r="RZZ21" s="19"/>
      <c r="SAA21" s="19"/>
      <c r="SAB21" s="19"/>
      <c r="SAC21" s="19"/>
      <c r="SAD21" s="19"/>
      <c r="SAE21" s="19"/>
      <c r="SAF21" s="19"/>
      <c r="SAG21" s="19"/>
      <c r="SAH21" s="19"/>
      <c r="SAI21" s="19"/>
      <c r="SAJ21" s="19"/>
      <c r="SAK21" s="19"/>
      <c r="SAL21" s="19"/>
      <c r="SAM21" s="19"/>
      <c r="SAN21" s="19"/>
      <c r="SAO21" s="19"/>
      <c r="SAP21" s="19"/>
      <c r="SAQ21" s="19"/>
      <c r="SAR21" s="19"/>
      <c r="SAS21" s="19"/>
      <c r="SAT21" s="19"/>
      <c r="SAU21" s="19"/>
      <c r="SAV21" s="19"/>
      <c r="SAW21" s="19"/>
      <c r="SAX21" s="19"/>
      <c r="SAY21" s="19"/>
      <c r="SAZ21" s="19"/>
      <c r="SBA21" s="19"/>
      <c r="SBB21" s="19"/>
      <c r="SBC21" s="19"/>
      <c r="SBD21" s="19"/>
      <c r="SBE21" s="19"/>
      <c r="SBF21" s="19"/>
      <c r="SBG21" s="19"/>
      <c r="SBH21" s="19"/>
      <c r="SBI21" s="19"/>
      <c r="SBJ21" s="19"/>
      <c r="SBK21" s="19"/>
      <c r="SBL21" s="19"/>
      <c r="SBM21" s="19"/>
      <c r="SBN21" s="19"/>
      <c r="SBO21" s="19"/>
      <c r="SBP21" s="19"/>
      <c r="SBQ21" s="19"/>
      <c r="SBR21" s="19"/>
      <c r="SBS21" s="19"/>
      <c r="SBT21" s="19"/>
      <c r="SBU21" s="19"/>
      <c r="SBV21" s="19"/>
      <c r="SBW21" s="19"/>
      <c r="SBX21" s="19"/>
      <c r="SBY21" s="19"/>
      <c r="SBZ21" s="19"/>
      <c r="SCA21" s="19"/>
      <c r="SCB21" s="19"/>
      <c r="SCC21" s="19"/>
      <c r="SCD21" s="19"/>
      <c r="SCE21" s="19"/>
      <c r="SCF21" s="19"/>
      <c r="SCG21" s="19"/>
      <c r="SCH21" s="19"/>
      <c r="SCI21" s="19"/>
      <c r="SCJ21" s="19"/>
      <c r="SCK21" s="19"/>
      <c r="SCL21" s="19"/>
      <c r="SCM21" s="19"/>
      <c r="SCN21" s="19"/>
      <c r="SCO21" s="19"/>
      <c r="SCP21" s="19"/>
      <c r="SCQ21" s="19"/>
      <c r="SCR21" s="19"/>
      <c r="SCS21" s="19"/>
      <c r="SCT21" s="19"/>
      <c r="SCU21" s="19"/>
      <c r="SCV21" s="19"/>
      <c r="SCW21" s="19"/>
      <c r="SCX21" s="19"/>
      <c r="SCY21" s="19"/>
      <c r="SCZ21" s="19"/>
      <c r="SDA21" s="19"/>
      <c r="SDB21" s="19"/>
      <c r="SDC21" s="19"/>
      <c r="SDD21" s="19"/>
      <c r="SDE21" s="19"/>
      <c r="SDF21" s="19"/>
      <c r="SDG21" s="19"/>
      <c r="SDH21" s="19"/>
      <c r="SDI21" s="19"/>
      <c r="SDJ21" s="19"/>
      <c r="SDK21" s="19"/>
      <c r="SDL21" s="19"/>
      <c r="SDM21" s="19"/>
      <c r="SDN21" s="19"/>
      <c r="SDO21" s="19"/>
      <c r="SDP21" s="19"/>
      <c r="SDQ21" s="19"/>
      <c r="SDR21" s="19"/>
      <c r="SDS21" s="19"/>
      <c r="SDT21" s="19"/>
      <c r="SDU21" s="19"/>
      <c r="SDV21" s="19"/>
      <c r="SDW21" s="19"/>
      <c r="SDX21" s="19"/>
      <c r="SDY21" s="19"/>
      <c r="SDZ21" s="19"/>
      <c r="SEA21" s="19"/>
      <c r="SEB21" s="19"/>
      <c r="SEC21" s="19"/>
      <c r="SED21" s="19"/>
      <c r="SEE21" s="19"/>
      <c r="SEF21" s="19"/>
      <c r="SEG21" s="19"/>
      <c r="SEH21" s="19"/>
      <c r="SEI21" s="19"/>
      <c r="SEJ21" s="19"/>
      <c r="SEK21" s="19"/>
      <c r="SEL21" s="19"/>
      <c r="SEM21" s="19"/>
      <c r="SEN21" s="19"/>
      <c r="SEO21" s="19"/>
      <c r="SEP21" s="19"/>
      <c r="SEQ21" s="19"/>
      <c r="SER21" s="19"/>
      <c r="SES21" s="19"/>
      <c r="SET21" s="19"/>
      <c r="SEU21" s="19"/>
      <c r="SEV21" s="19"/>
      <c r="SEW21" s="19"/>
      <c r="SEX21" s="19"/>
      <c r="SEY21" s="19"/>
      <c r="SEZ21" s="19"/>
      <c r="SFA21" s="19"/>
      <c r="SFB21" s="19"/>
      <c r="SFC21" s="19"/>
      <c r="SFD21" s="19"/>
      <c r="SFE21" s="19"/>
      <c r="SFF21" s="19"/>
      <c r="SFG21" s="19"/>
      <c r="SFH21" s="19"/>
      <c r="SFI21" s="19"/>
      <c r="SFJ21" s="19"/>
      <c r="SFK21" s="19"/>
      <c r="SFL21" s="19"/>
      <c r="SFM21" s="19"/>
      <c r="SFN21" s="19"/>
      <c r="SFO21" s="19"/>
      <c r="SFP21" s="19"/>
      <c r="SFQ21" s="19"/>
      <c r="SFR21" s="19"/>
      <c r="SFS21" s="19"/>
      <c r="SFT21" s="19"/>
      <c r="SFU21" s="19"/>
      <c r="SFV21" s="19"/>
      <c r="SFW21" s="19"/>
      <c r="SFX21" s="19"/>
      <c r="SFY21" s="19"/>
      <c r="SFZ21" s="19"/>
      <c r="SGA21" s="19"/>
      <c r="SGB21" s="19"/>
      <c r="SGC21" s="19"/>
      <c r="SGD21" s="19"/>
      <c r="SGE21" s="19"/>
      <c r="SGF21" s="19"/>
      <c r="SGG21" s="19"/>
      <c r="SGH21" s="19"/>
      <c r="SGI21" s="19"/>
      <c r="SGJ21" s="19"/>
      <c r="SGK21" s="19"/>
      <c r="SGL21" s="19"/>
      <c r="SGM21" s="19"/>
      <c r="SGN21" s="19"/>
      <c r="SGO21" s="19"/>
      <c r="SGP21" s="19"/>
      <c r="SGQ21" s="19"/>
      <c r="SGR21" s="19"/>
      <c r="SGS21" s="19"/>
      <c r="SGT21" s="19"/>
      <c r="SGU21" s="19"/>
      <c r="SGV21" s="19"/>
      <c r="SGW21" s="19"/>
      <c r="SGX21" s="19"/>
      <c r="SGY21" s="19"/>
      <c r="SGZ21" s="19"/>
      <c r="SHA21" s="19"/>
      <c r="SHB21" s="19"/>
      <c r="SHC21" s="19"/>
      <c r="SHD21" s="19"/>
      <c r="SHE21" s="19"/>
      <c r="SHF21" s="19"/>
      <c r="SHG21" s="19"/>
      <c r="SHH21" s="19"/>
      <c r="SHI21" s="19"/>
      <c r="SHJ21" s="19"/>
      <c r="SHK21" s="19"/>
      <c r="SHL21" s="19"/>
      <c r="SHM21" s="19"/>
      <c r="SHN21" s="19"/>
      <c r="SHO21" s="19"/>
      <c r="SHP21" s="19"/>
      <c r="SHQ21" s="19"/>
      <c r="SHR21" s="19"/>
      <c r="SHS21" s="19"/>
      <c r="SHT21" s="19"/>
      <c r="SHU21" s="19"/>
      <c r="SHV21" s="19"/>
      <c r="SHW21" s="19"/>
      <c r="SHX21" s="19"/>
      <c r="SHY21" s="19"/>
      <c r="SHZ21" s="19"/>
      <c r="SIA21" s="19"/>
      <c r="SIB21" s="19"/>
      <c r="SIC21" s="19"/>
      <c r="SID21" s="19"/>
      <c r="SIE21" s="19"/>
      <c r="SIF21" s="19"/>
      <c r="SIG21" s="19"/>
      <c r="SIH21" s="19"/>
      <c r="SII21" s="19"/>
      <c r="SIJ21" s="19"/>
      <c r="SIK21" s="19"/>
      <c r="SIL21" s="19"/>
      <c r="SIM21" s="19"/>
      <c r="SIN21" s="19"/>
      <c r="SIO21" s="19"/>
      <c r="SIP21" s="19"/>
      <c r="SIQ21" s="19"/>
      <c r="SIR21" s="19"/>
      <c r="SIS21" s="19"/>
      <c r="SIT21" s="19"/>
      <c r="SIU21" s="19"/>
      <c r="SIV21" s="19"/>
      <c r="SIW21" s="19"/>
      <c r="SIX21" s="19"/>
      <c r="SIY21" s="19"/>
      <c r="SIZ21" s="19"/>
      <c r="SJA21" s="19"/>
      <c r="SJB21" s="19"/>
      <c r="SJC21" s="19"/>
      <c r="SJD21" s="19"/>
      <c r="SJE21" s="19"/>
      <c r="SJF21" s="19"/>
      <c r="SJG21" s="19"/>
      <c r="SJH21" s="19"/>
      <c r="SJI21" s="19"/>
      <c r="SJJ21" s="19"/>
      <c r="SJK21" s="19"/>
      <c r="SJL21" s="19"/>
      <c r="SJM21" s="19"/>
      <c r="SJN21" s="19"/>
      <c r="SJO21" s="19"/>
      <c r="SJP21" s="19"/>
      <c r="SJQ21" s="19"/>
      <c r="SJR21" s="19"/>
      <c r="SJS21" s="19"/>
      <c r="SJT21" s="19"/>
      <c r="SJU21" s="19"/>
      <c r="SJV21" s="19"/>
      <c r="SJW21" s="19"/>
      <c r="SJX21" s="19"/>
      <c r="SJY21" s="19"/>
      <c r="SJZ21" s="19"/>
      <c r="SKA21" s="19"/>
      <c r="SKB21" s="19"/>
      <c r="SKC21" s="19"/>
      <c r="SKD21" s="19"/>
      <c r="SKE21" s="19"/>
      <c r="SKF21" s="19"/>
      <c r="SKG21" s="19"/>
      <c r="SKH21" s="19"/>
      <c r="SKI21" s="19"/>
      <c r="SKJ21" s="19"/>
      <c r="SKK21" s="19"/>
      <c r="SKL21" s="19"/>
      <c r="SKM21" s="19"/>
      <c r="SKN21" s="19"/>
      <c r="SKO21" s="19"/>
      <c r="SKP21" s="19"/>
      <c r="SKQ21" s="19"/>
      <c r="SKR21" s="19"/>
      <c r="SKS21" s="19"/>
      <c r="SKT21" s="19"/>
      <c r="SKU21" s="19"/>
      <c r="SKV21" s="19"/>
      <c r="SKW21" s="19"/>
      <c r="SKX21" s="19"/>
      <c r="SKY21" s="19"/>
      <c r="SKZ21" s="19"/>
      <c r="SLA21" s="19"/>
      <c r="SLB21" s="19"/>
      <c r="SLC21" s="19"/>
      <c r="SLD21" s="19"/>
      <c r="SLE21" s="19"/>
      <c r="SLF21" s="19"/>
      <c r="SLG21" s="19"/>
      <c r="SLH21" s="19"/>
      <c r="SLI21" s="19"/>
      <c r="SLJ21" s="19"/>
      <c r="SLK21" s="19"/>
      <c r="SLL21" s="19"/>
      <c r="SLM21" s="19"/>
      <c r="SLN21" s="19"/>
      <c r="SLO21" s="19"/>
      <c r="SLP21" s="19"/>
      <c r="SLQ21" s="19"/>
      <c r="SLR21" s="19"/>
      <c r="SLS21" s="19"/>
      <c r="SLT21" s="19"/>
      <c r="SLU21" s="19"/>
      <c r="SLV21" s="19"/>
      <c r="SLW21" s="19"/>
      <c r="SLX21" s="19"/>
      <c r="SLY21" s="19"/>
      <c r="SLZ21" s="19"/>
      <c r="SMA21" s="19"/>
      <c r="SMB21" s="19"/>
      <c r="SMC21" s="19"/>
      <c r="SMD21" s="19"/>
      <c r="SME21" s="19"/>
      <c r="SMF21" s="19"/>
      <c r="SMG21" s="19"/>
      <c r="SMH21" s="19"/>
      <c r="SMI21" s="19"/>
      <c r="SMJ21" s="19"/>
      <c r="SMK21" s="19"/>
      <c r="SML21" s="19"/>
      <c r="SMM21" s="19"/>
      <c r="SMN21" s="19"/>
      <c r="SMO21" s="19"/>
      <c r="SMP21" s="19"/>
      <c r="SMQ21" s="19"/>
      <c r="SMR21" s="19"/>
      <c r="SMS21" s="19"/>
      <c r="SMT21" s="19"/>
      <c r="SMU21" s="19"/>
      <c r="SMV21" s="19"/>
      <c r="SMW21" s="19"/>
      <c r="SMX21" s="19"/>
      <c r="SMY21" s="19"/>
      <c r="SMZ21" s="19"/>
      <c r="SNA21" s="19"/>
      <c r="SNB21" s="19"/>
      <c r="SNC21" s="19"/>
      <c r="SND21" s="19"/>
      <c r="SNE21" s="19"/>
      <c r="SNF21" s="19"/>
      <c r="SNG21" s="19"/>
      <c r="SNH21" s="19"/>
      <c r="SNI21" s="19"/>
      <c r="SNJ21" s="19"/>
      <c r="SNK21" s="19"/>
      <c r="SNL21" s="19"/>
      <c r="SNM21" s="19"/>
      <c r="SNN21" s="19"/>
      <c r="SNO21" s="19"/>
      <c r="SNP21" s="19"/>
      <c r="SNQ21" s="19"/>
      <c r="SNR21" s="19"/>
      <c r="SNS21" s="19"/>
      <c r="SNT21" s="19"/>
      <c r="SNU21" s="19"/>
      <c r="SNV21" s="19"/>
      <c r="SNW21" s="19"/>
      <c r="SNX21" s="19"/>
      <c r="SNY21" s="19"/>
      <c r="SNZ21" s="19"/>
      <c r="SOA21" s="19"/>
      <c r="SOB21" s="19"/>
      <c r="SOC21" s="19"/>
      <c r="SOD21" s="19"/>
      <c r="SOE21" s="19"/>
      <c r="SOF21" s="19"/>
      <c r="SOG21" s="19"/>
      <c r="SOH21" s="19"/>
      <c r="SOI21" s="19"/>
      <c r="SOJ21" s="19"/>
      <c r="SOK21" s="19"/>
      <c r="SOL21" s="19"/>
      <c r="SOM21" s="19"/>
      <c r="SON21" s="19"/>
      <c r="SOO21" s="19"/>
      <c r="SOP21" s="19"/>
      <c r="SOQ21" s="19"/>
      <c r="SOR21" s="19"/>
      <c r="SOS21" s="19"/>
      <c r="SOT21" s="19"/>
      <c r="SOU21" s="19"/>
      <c r="SOV21" s="19"/>
      <c r="SOW21" s="19"/>
      <c r="SOX21" s="19"/>
      <c r="SOY21" s="19"/>
      <c r="SOZ21" s="19"/>
      <c r="SPA21" s="19"/>
      <c r="SPB21" s="19"/>
      <c r="SPC21" s="19"/>
      <c r="SPD21" s="19"/>
      <c r="SPE21" s="19"/>
      <c r="SPF21" s="19"/>
      <c r="SPG21" s="19"/>
      <c r="SPH21" s="19"/>
      <c r="SPI21" s="19"/>
      <c r="SPJ21" s="19"/>
      <c r="SPK21" s="19"/>
      <c r="SPL21" s="19"/>
      <c r="SPM21" s="19"/>
      <c r="SPN21" s="19"/>
      <c r="SPO21" s="19"/>
      <c r="SPP21" s="19"/>
      <c r="SPQ21" s="19"/>
      <c r="SPR21" s="19"/>
      <c r="SPS21" s="19"/>
      <c r="SPT21" s="19"/>
      <c r="SPU21" s="19"/>
      <c r="SPV21" s="19"/>
      <c r="SPW21" s="19"/>
      <c r="SPX21" s="19"/>
      <c r="SPY21" s="19"/>
      <c r="SPZ21" s="19"/>
      <c r="SQA21" s="19"/>
      <c r="SQB21" s="19"/>
      <c r="SQC21" s="19"/>
      <c r="SQD21" s="19"/>
      <c r="SQE21" s="19"/>
      <c r="SQF21" s="19"/>
      <c r="SQG21" s="19"/>
      <c r="SQH21" s="19"/>
      <c r="SQI21" s="19"/>
      <c r="SQJ21" s="19"/>
      <c r="SQK21" s="19"/>
      <c r="SQL21" s="19"/>
      <c r="SQM21" s="19"/>
      <c r="SQN21" s="19"/>
      <c r="SQO21" s="19"/>
      <c r="SQP21" s="19"/>
      <c r="SQQ21" s="19"/>
      <c r="SQR21" s="19"/>
      <c r="SQS21" s="19"/>
      <c r="SQT21" s="19"/>
      <c r="SQU21" s="19"/>
      <c r="SQV21" s="19"/>
      <c r="SQW21" s="19"/>
      <c r="SQX21" s="19"/>
      <c r="SQY21" s="19"/>
      <c r="SQZ21" s="19"/>
      <c r="SRA21" s="19"/>
      <c r="SRB21" s="19"/>
      <c r="SRC21" s="19"/>
      <c r="SRD21" s="19"/>
      <c r="SRE21" s="19"/>
      <c r="SRF21" s="19"/>
      <c r="SRG21" s="19"/>
      <c r="SRH21" s="19"/>
      <c r="SRI21" s="19"/>
      <c r="SRJ21" s="19"/>
      <c r="SRK21" s="19"/>
      <c r="SRL21" s="19"/>
      <c r="SRM21" s="19"/>
      <c r="SRN21" s="19"/>
      <c r="SRO21" s="19"/>
      <c r="SRP21" s="19"/>
      <c r="SRQ21" s="19"/>
      <c r="SRR21" s="19"/>
      <c r="SRS21" s="19"/>
      <c r="SRT21" s="19"/>
      <c r="SRU21" s="19"/>
      <c r="SRV21" s="19"/>
      <c r="SRW21" s="19"/>
      <c r="SRX21" s="19"/>
      <c r="SRY21" s="19"/>
      <c r="SRZ21" s="19"/>
      <c r="SSA21" s="19"/>
      <c r="SSB21" s="19"/>
      <c r="SSC21" s="19"/>
      <c r="SSD21" s="19"/>
      <c r="SSE21" s="19"/>
      <c r="SSF21" s="19"/>
      <c r="SSG21" s="19"/>
      <c r="SSH21" s="19"/>
      <c r="SSI21" s="19"/>
      <c r="SSJ21" s="19"/>
      <c r="SSK21" s="19"/>
      <c r="SSL21" s="19"/>
      <c r="SSM21" s="19"/>
      <c r="SSN21" s="19"/>
      <c r="SSO21" s="19"/>
      <c r="SSP21" s="19"/>
      <c r="SSQ21" s="19"/>
      <c r="SSR21" s="19"/>
      <c r="SSS21" s="19"/>
      <c r="SST21" s="19"/>
      <c r="SSU21" s="19"/>
      <c r="SSV21" s="19"/>
      <c r="SSW21" s="19"/>
      <c r="SSX21" s="19"/>
      <c r="SSY21" s="19"/>
      <c r="SSZ21" s="19"/>
      <c r="STA21" s="19"/>
      <c r="STB21" s="19"/>
      <c r="STC21" s="19"/>
      <c r="STD21" s="19"/>
      <c r="STE21" s="19"/>
      <c r="STF21" s="19"/>
      <c r="STG21" s="19"/>
      <c r="STH21" s="19"/>
      <c r="STI21" s="19"/>
      <c r="STJ21" s="19"/>
      <c r="STK21" s="19"/>
      <c r="STL21" s="19"/>
      <c r="STM21" s="19"/>
      <c r="STN21" s="19"/>
      <c r="STO21" s="19"/>
      <c r="STP21" s="19"/>
      <c r="STQ21" s="19"/>
      <c r="STR21" s="19"/>
      <c r="STS21" s="19"/>
      <c r="STT21" s="19"/>
      <c r="STU21" s="19"/>
      <c r="STV21" s="19"/>
      <c r="STW21" s="19"/>
      <c r="STX21" s="19"/>
      <c r="STY21" s="19"/>
      <c r="STZ21" s="19"/>
      <c r="SUA21" s="19"/>
      <c r="SUB21" s="19"/>
      <c r="SUC21" s="19"/>
      <c r="SUD21" s="19"/>
      <c r="SUE21" s="19"/>
      <c r="SUF21" s="19"/>
      <c r="SUG21" s="19"/>
      <c r="SUH21" s="19"/>
      <c r="SUI21" s="19"/>
      <c r="SUJ21" s="19"/>
      <c r="SUK21" s="19"/>
      <c r="SUL21" s="19"/>
      <c r="SUM21" s="19"/>
      <c r="SUN21" s="19"/>
      <c r="SUO21" s="19"/>
      <c r="SUP21" s="19"/>
      <c r="SUQ21" s="19"/>
      <c r="SUR21" s="19"/>
      <c r="SUS21" s="19"/>
      <c r="SUT21" s="19"/>
      <c r="SUU21" s="19"/>
      <c r="SUV21" s="19"/>
      <c r="SUW21" s="19"/>
      <c r="SUX21" s="19"/>
      <c r="SUY21" s="19"/>
      <c r="SUZ21" s="19"/>
      <c r="SVA21" s="19"/>
      <c r="SVB21" s="19"/>
      <c r="SVC21" s="19"/>
      <c r="SVD21" s="19"/>
      <c r="SVE21" s="19"/>
      <c r="SVF21" s="19"/>
      <c r="SVG21" s="19"/>
      <c r="SVH21" s="19"/>
      <c r="SVI21" s="19"/>
      <c r="SVJ21" s="19"/>
      <c r="SVK21" s="19"/>
      <c r="SVL21" s="19"/>
      <c r="SVM21" s="19"/>
      <c r="SVN21" s="19"/>
      <c r="SVO21" s="19"/>
      <c r="SVP21" s="19"/>
      <c r="SVQ21" s="19"/>
      <c r="SVR21" s="19"/>
      <c r="SVS21" s="19"/>
      <c r="SVT21" s="19"/>
      <c r="SVU21" s="19"/>
      <c r="SVV21" s="19"/>
      <c r="SVW21" s="19"/>
      <c r="SVX21" s="19"/>
      <c r="SVY21" s="19"/>
      <c r="SVZ21" s="19"/>
      <c r="SWA21" s="19"/>
      <c r="SWB21" s="19"/>
      <c r="SWC21" s="19"/>
      <c r="SWD21" s="19"/>
      <c r="SWE21" s="19"/>
      <c r="SWF21" s="19"/>
      <c r="SWG21" s="19"/>
      <c r="SWH21" s="19"/>
      <c r="SWI21" s="19"/>
      <c r="SWJ21" s="19"/>
      <c r="SWK21" s="19"/>
      <c r="SWL21" s="19"/>
      <c r="SWM21" s="19"/>
      <c r="SWN21" s="19"/>
      <c r="SWO21" s="19"/>
      <c r="SWP21" s="19"/>
      <c r="SWQ21" s="19"/>
      <c r="SWR21" s="19"/>
      <c r="SWS21" s="19"/>
      <c r="SWT21" s="19"/>
      <c r="SWU21" s="19"/>
      <c r="SWV21" s="19"/>
      <c r="SWW21" s="19"/>
      <c r="SWX21" s="19"/>
      <c r="SWY21" s="19"/>
      <c r="SWZ21" s="19"/>
      <c r="SXA21" s="19"/>
      <c r="SXB21" s="19"/>
      <c r="SXC21" s="19"/>
      <c r="SXD21" s="19"/>
      <c r="SXE21" s="19"/>
      <c r="SXF21" s="19"/>
      <c r="SXG21" s="19"/>
      <c r="SXH21" s="19"/>
      <c r="SXI21" s="19"/>
      <c r="SXJ21" s="19"/>
      <c r="SXK21" s="19"/>
      <c r="SXL21" s="19"/>
      <c r="SXM21" s="19"/>
      <c r="SXN21" s="19"/>
      <c r="SXO21" s="19"/>
      <c r="SXP21" s="19"/>
      <c r="SXQ21" s="19"/>
      <c r="SXR21" s="19"/>
      <c r="SXS21" s="19"/>
      <c r="SXT21" s="19"/>
      <c r="SXU21" s="19"/>
      <c r="SXV21" s="19"/>
      <c r="SXW21" s="19"/>
      <c r="SXX21" s="19"/>
      <c r="SXY21" s="19"/>
      <c r="SXZ21" s="19"/>
      <c r="SYA21" s="19"/>
      <c r="SYB21" s="19"/>
      <c r="SYC21" s="19"/>
      <c r="SYD21" s="19"/>
      <c r="SYE21" s="19"/>
      <c r="SYF21" s="19"/>
      <c r="SYG21" s="19"/>
      <c r="SYH21" s="19"/>
      <c r="SYI21" s="19"/>
      <c r="SYJ21" s="19"/>
      <c r="SYK21" s="19"/>
      <c r="SYL21" s="19"/>
      <c r="SYM21" s="19"/>
      <c r="SYN21" s="19"/>
      <c r="SYO21" s="19"/>
      <c r="SYP21" s="19"/>
      <c r="SYQ21" s="19"/>
      <c r="SYR21" s="19"/>
      <c r="SYS21" s="19"/>
      <c r="SYT21" s="19"/>
      <c r="SYU21" s="19"/>
      <c r="SYV21" s="19"/>
      <c r="SYW21" s="19"/>
      <c r="SYX21" s="19"/>
      <c r="SYY21" s="19"/>
      <c r="SYZ21" s="19"/>
      <c r="SZA21" s="19"/>
      <c r="SZB21" s="19"/>
      <c r="SZC21" s="19"/>
      <c r="SZD21" s="19"/>
      <c r="SZE21" s="19"/>
      <c r="SZF21" s="19"/>
      <c r="SZG21" s="19"/>
      <c r="SZH21" s="19"/>
      <c r="SZI21" s="19"/>
      <c r="SZJ21" s="19"/>
      <c r="SZK21" s="19"/>
      <c r="SZL21" s="19"/>
      <c r="SZM21" s="19"/>
      <c r="SZN21" s="19"/>
      <c r="SZO21" s="19"/>
      <c r="SZP21" s="19"/>
      <c r="SZQ21" s="19"/>
      <c r="SZR21" s="19"/>
      <c r="SZS21" s="19"/>
      <c r="SZT21" s="19"/>
      <c r="SZU21" s="19"/>
      <c r="SZV21" s="19"/>
      <c r="SZW21" s="19"/>
      <c r="SZX21" s="19"/>
      <c r="SZY21" s="19"/>
      <c r="SZZ21" s="19"/>
      <c r="TAA21" s="19"/>
      <c r="TAB21" s="19"/>
      <c r="TAC21" s="19"/>
      <c r="TAD21" s="19"/>
      <c r="TAE21" s="19"/>
      <c r="TAF21" s="19"/>
      <c r="TAG21" s="19"/>
      <c r="TAH21" s="19"/>
      <c r="TAI21" s="19"/>
      <c r="TAJ21" s="19"/>
      <c r="TAK21" s="19"/>
      <c r="TAL21" s="19"/>
      <c r="TAM21" s="19"/>
      <c r="TAN21" s="19"/>
      <c r="TAO21" s="19"/>
      <c r="TAP21" s="19"/>
      <c r="TAQ21" s="19"/>
      <c r="TAR21" s="19"/>
      <c r="TAS21" s="19"/>
      <c r="TAT21" s="19"/>
      <c r="TAU21" s="19"/>
      <c r="TAV21" s="19"/>
      <c r="TAW21" s="19"/>
      <c r="TAX21" s="19"/>
      <c r="TAY21" s="19"/>
      <c r="TAZ21" s="19"/>
      <c r="TBA21" s="19"/>
      <c r="TBB21" s="19"/>
      <c r="TBC21" s="19"/>
      <c r="TBD21" s="19"/>
      <c r="TBE21" s="19"/>
      <c r="TBF21" s="19"/>
      <c r="TBG21" s="19"/>
      <c r="TBH21" s="19"/>
      <c r="TBI21" s="19"/>
      <c r="TBJ21" s="19"/>
      <c r="TBK21" s="19"/>
      <c r="TBL21" s="19"/>
      <c r="TBM21" s="19"/>
      <c r="TBN21" s="19"/>
      <c r="TBO21" s="19"/>
      <c r="TBP21" s="19"/>
      <c r="TBQ21" s="19"/>
      <c r="TBR21" s="19"/>
      <c r="TBS21" s="19"/>
      <c r="TBT21" s="19"/>
      <c r="TBU21" s="19"/>
      <c r="TBV21" s="19"/>
      <c r="TBW21" s="19"/>
      <c r="TBX21" s="19"/>
      <c r="TBY21" s="19"/>
      <c r="TBZ21" s="19"/>
      <c r="TCA21" s="19"/>
      <c r="TCB21" s="19"/>
      <c r="TCC21" s="19"/>
      <c r="TCD21" s="19"/>
      <c r="TCE21" s="19"/>
      <c r="TCF21" s="19"/>
      <c r="TCG21" s="19"/>
      <c r="TCH21" s="19"/>
      <c r="TCI21" s="19"/>
      <c r="TCJ21" s="19"/>
      <c r="TCK21" s="19"/>
      <c r="TCL21" s="19"/>
      <c r="TCM21" s="19"/>
      <c r="TCN21" s="19"/>
      <c r="TCO21" s="19"/>
      <c r="TCP21" s="19"/>
      <c r="TCQ21" s="19"/>
      <c r="TCR21" s="19"/>
      <c r="TCS21" s="19"/>
      <c r="TCT21" s="19"/>
      <c r="TCU21" s="19"/>
      <c r="TCV21" s="19"/>
      <c r="TCW21" s="19"/>
      <c r="TCX21" s="19"/>
      <c r="TCY21" s="19"/>
      <c r="TCZ21" s="19"/>
      <c r="TDA21" s="19"/>
      <c r="TDB21" s="19"/>
      <c r="TDC21" s="19"/>
      <c r="TDD21" s="19"/>
      <c r="TDE21" s="19"/>
      <c r="TDF21" s="19"/>
      <c r="TDG21" s="19"/>
      <c r="TDH21" s="19"/>
      <c r="TDI21" s="19"/>
      <c r="TDJ21" s="19"/>
      <c r="TDK21" s="19"/>
      <c r="TDL21" s="19"/>
      <c r="TDM21" s="19"/>
      <c r="TDN21" s="19"/>
      <c r="TDO21" s="19"/>
      <c r="TDP21" s="19"/>
      <c r="TDQ21" s="19"/>
      <c r="TDR21" s="19"/>
      <c r="TDS21" s="19"/>
      <c r="TDT21" s="19"/>
      <c r="TDU21" s="19"/>
      <c r="TDV21" s="19"/>
      <c r="TDW21" s="19"/>
      <c r="TDX21" s="19"/>
      <c r="TDY21" s="19"/>
      <c r="TDZ21" s="19"/>
      <c r="TEA21" s="19"/>
      <c r="TEB21" s="19"/>
      <c r="TEC21" s="19"/>
      <c r="TED21" s="19"/>
      <c r="TEE21" s="19"/>
      <c r="TEF21" s="19"/>
      <c r="TEG21" s="19"/>
      <c r="TEH21" s="19"/>
      <c r="TEI21" s="19"/>
      <c r="TEJ21" s="19"/>
      <c r="TEK21" s="19"/>
      <c r="TEL21" s="19"/>
      <c r="TEM21" s="19"/>
      <c r="TEN21" s="19"/>
      <c r="TEO21" s="19"/>
      <c r="TEP21" s="19"/>
      <c r="TEQ21" s="19"/>
      <c r="TER21" s="19"/>
      <c r="TES21" s="19"/>
      <c r="TET21" s="19"/>
      <c r="TEU21" s="19"/>
      <c r="TEV21" s="19"/>
      <c r="TEW21" s="19"/>
      <c r="TEX21" s="19"/>
      <c r="TEY21" s="19"/>
      <c r="TEZ21" s="19"/>
      <c r="TFA21" s="19"/>
      <c r="TFB21" s="19"/>
      <c r="TFC21" s="19"/>
      <c r="TFD21" s="19"/>
      <c r="TFE21" s="19"/>
      <c r="TFF21" s="19"/>
      <c r="TFG21" s="19"/>
      <c r="TFH21" s="19"/>
      <c r="TFI21" s="19"/>
      <c r="TFJ21" s="19"/>
      <c r="TFK21" s="19"/>
      <c r="TFL21" s="19"/>
      <c r="TFM21" s="19"/>
      <c r="TFN21" s="19"/>
      <c r="TFO21" s="19"/>
      <c r="TFP21" s="19"/>
      <c r="TFQ21" s="19"/>
      <c r="TFR21" s="19"/>
      <c r="TFS21" s="19"/>
      <c r="TFT21" s="19"/>
      <c r="TFU21" s="19"/>
      <c r="TFV21" s="19"/>
      <c r="TFW21" s="19"/>
      <c r="TFX21" s="19"/>
      <c r="TFY21" s="19"/>
      <c r="TFZ21" s="19"/>
      <c r="TGA21" s="19"/>
      <c r="TGB21" s="19"/>
      <c r="TGC21" s="19"/>
      <c r="TGD21" s="19"/>
      <c r="TGE21" s="19"/>
      <c r="TGF21" s="19"/>
      <c r="TGG21" s="19"/>
      <c r="TGH21" s="19"/>
      <c r="TGI21" s="19"/>
      <c r="TGJ21" s="19"/>
      <c r="TGK21" s="19"/>
      <c r="TGL21" s="19"/>
      <c r="TGM21" s="19"/>
      <c r="TGN21" s="19"/>
      <c r="TGO21" s="19"/>
      <c r="TGP21" s="19"/>
      <c r="TGQ21" s="19"/>
      <c r="TGR21" s="19"/>
      <c r="TGS21" s="19"/>
      <c r="TGT21" s="19"/>
      <c r="TGU21" s="19"/>
      <c r="TGV21" s="19"/>
      <c r="TGW21" s="19"/>
      <c r="TGX21" s="19"/>
      <c r="TGY21" s="19"/>
      <c r="TGZ21" s="19"/>
      <c r="THA21" s="19"/>
      <c r="THB21" s="19"/>
      <c r="THC21" s="19"/>
      <c r="THD21" s="19"/>
      <c r="THE21" s="19"/>
      <c r="THF21" s="19"/>
      <c r="THG21" s="19"/>
      <c r="THH21" s="19"/>
      <c r="THI21" s="19"/>
      <c r="THJ21" s="19"/>
      <c r="THK21" s="19"/>
      <c r="THL21" s="19"/>
      <c r="THM21" s="19"/>
      <c r="THN21" s="19"/>
      <c r="THO21" s="19"/>
      <c r="THP21" s="19"/>
      <c r="THQ21" s="19"/>
      <c r="THR21" s="19"/>
      <c r="THS21" s="19"/>
      <c r="THT21" s="19"/>
      <c r="THU21" s="19"/>
      <c r="THV21" s="19"/>
      <c r="THW21" s="19"/>
      <c r="THX21" s="19"/>
      <c r="THY21" s="19"/>
      <c r="THZ21" s="19"/>
      <c r="TIA21" s="19"/>
      <c r="TIB21" s="19"/>
      <c r="TIC21" s="19"/>
      <c r="TID21" s="19"/>
      <c r="TIE21" s="19"/>
      <c r="TIF21" s="19"/>
      <c r="TIG21" s="19"/>
      <c r="TIH21" s="19"/>
      <c r="TII21" s="19"/>
      <c r="TIJ21" s="19"/>
      <c r="TIK21" s="19"/>
      <c r="TIL21" s="19"/>
      <c r="TIM21" s="19"/>
      <c r="TIN21" s="19"/>
      <c r="TIO21" s="19"/>
      <c r="TIP21" s="19"/>
      <c r="TIQ21" s="19"/>
      <c r="TIR21" s="19"/>
      <c r="TIS21" s="19"/>
      <c r="TIT21" s="19"/>
      <c r="TIU21" s="19"/>
      <c r="TIV21" s="19"/>
      <c r="TIW21" s="19"/>
      <c r="TIX21" s="19"/>
      <c r="TIY21" s="19"/>
      <c r="TIZ21" s="19"/>
      <c r="TJA21" s="19"/>
      <c r="TJB21" s="19"/>
      <c r="TJC21" s="19"/>
      <c r="TJD21" s="19"/>
      <c r="TJE21" s="19"/>
      <c r="TJF21" s="19"/>
      <c r="TJG21" s="19"/>
      <c r="TJH21" s="19"/>
      <c r="TJI21" s="19"/>
      <c r="TJJ21" s="19"/>
      <c r="TJK21" s="19"/>
      <c r="TJL21" s="19"/>
      <c r="TJM21" s="19"/>
      <c r="TJN21" s="19"/>
      <c r="TJO21" s="19"/>
      <c r="TJP21" s="19"/>
      <c r="TJQ21" s="19"/>
      <c r="TJR21" s="19"/>
      <c r="TJS21" s="19"/>
      <c r="TJT21" s="19"/>
      <c r="TJU21" s="19"/>
      <c r="TJV21" s="19"/>
      <c r="TJW21" s="19"/>
      <c r="TJX21" s="19"/>
      <c r="TJY21" s="19"/>
      <c r="TJZ21" s="19"/>
      <c r="TKA21" s="19"/>
      <c r="TKB21" s="19"/>
      <c r="TKC21" s="19"/>
      <c r="TKD21" s="19"/>
      <c r="TKE21" s="19"/>
      <c r="TKF21" s="19"/>
      <c r="TKG21" s="19"/>
      <c r="TKH21" s="19"/>
      <c r="TKI21" s="19"/>
      <c r="TKJ21" s="19"/>
      <c r="TKK21" s="19"/>
      <c r="TKL21" s="19"/>
      <c r="TKM21" s="19"/>
      <c r="TKN21" s="19"/>
      <c r="TKO21" s="19"/>
      <c r="TKP21" s="19"/>
      <c r="TKQ21" s="19"/>
      <c r="TKR21" s="19"/>
      <c r="TKS21" s="19"/>
      <c r="TKT21" s="19"/>
      <c r="TKU21" s="19"/>
      <c r="TKV21" s="19"/>
      <c r="TKW21" s="19"/>
      <c r="TKX21" s="19"/>
      <c r="TKY21" s="19"/>
      <c r="TKZ21" s="19"/>
      <c r="TLA21" s="19"/>
      <c r="TLB21" s="19"/>
      <c r="TLC21" s="19"/>
      <c r="TLD21" s="19"/>
      <c r="TLE21" s="19"/>
      <c r="TLF21" s="19"/>
      <c r="TLG21" s="19"/>
      <c r="TLH21" s="19"/>
      <c r="TLI21" s="19"/>
      <c r="TLJ21" s="19"/>
      <c r="TLK21" s="19"/>
      <c r="TLL21" s="19"/>
      <c r="TLM21" s="19"/>
      <c r="TLN21" s="19"/>
      <c r="TLO21" s="19"/>
      <c r="TLP21" s="19"/>
      <c r="TLQ21" s="19"/>
      <c r="TLR21" s="19"/>
      <c r="TLS21" s="19"/>
      <c r="TLT21" s="19"/>
      <c r="TLU21" s="19"/>
      <c r="TLV21" s="19"/>
      <c r="TLW21" s="19"/>
      <c r="TLX21" s="19"/>
      <c r="TLY21" s="19"/>
      <c r="TLZ21" s="19"/>
      <c r="TMA21" s="19"/>
      <c r="TMB21" s="19"/>
      <c r="TMC21" s="19"/>
      <c r="TMD21" s="19"/>
      <c r="TME21" s="19"/>
      <c r="TMF21" s="19"/>
      <c r="TMG21" s="19"/>
      <c r="TMH21" s="19"/>
      <c r="TMI21" s="19"/>
      <c r="TMJ21" s="19"/>
      <c r="TMK21" s="19"/>
      <c r="TML21" s="19"/>
      <c r="TMM21" s="19"/>
      <c r="TMN21" s="19"/>
      <c r="TMO21" s="19"/>
      <c r="TMP21" s="19"/>
      <c r="TMQ21" s="19"/>
      <c r="TMR21" s="19"/>
      <c r="TMS21" s="19"/>
      <c r="TMT21" s="19"/>
      <c r="TMU21" s="19"/>
      <c r="TMV21" s="19"/>
      <c r="TMW21" s="19"/>
      <c r="TMX21" s="19"/>
      <c r="TMY21" s="19"/>
      <c r="TMZ21" s="19"/>
      <c r="TNA21" s="19"/>
      <c r="TNB21" s="19"/>
      <c r="TNC21" s="19"/>
      <c r="TND21" s="19"/>
      <c r="TNE21" s="19"/>
      <c r="TNF21" s="19"/>
      <c r="TNG21" s="19"/>
      <c r="TNH21" s="19"/>
      <c r="TNI21" s="19"/>
      <c r="TNJ21" s="19"/>
      <c r="TNK21" s="19"/>
      <c r="TNL21" s="19"/>
      <c r="TNM21" s="19"/>
      <c r="TNN21" s="19"/>
      <c r="TNO21" s="19"/>
      <c r="TNP21" s="19"/>
      <c r="TNQ21" s="19"/>
      <c r="TNR21" s="19"/>
      <c r="TNS21" s="19"/>
      <c r="TNT21" s="19"/>
      <c r="TNU21" s="19"/>
      <c r="TNV21" s="19"/>
      <c r="TNW21" s="19"/>
      <c r="TNX21" s="19"/>
      <c r="TNY21" s="19"/>
      <c r="TNZ21" s="19"/>
      <c r="TOA21" s="19"/>
      <c r="TOB21" s="19"/>
      <c r="TOC21" s="19"/>
      <c r="TOD21" s="19"/>
      <c r="TOE21" s="19"/>
      <c r="TOF21" s="19"/>
      <c r="TOG21" s="19"/>
      <c r="TOH21" s="19"/>
      <c r="TOI21" s="19"/>
      <c r="TOJ21" s="19"/>
      <c r="TOK21" s="19"/>
      <c r="TOL21" s="19"/>
      <c r="TOM21" s="19"/>
      <c r="TON21" s="19"/>
      <c r="TOO21" s="19"/>
      <c r="TOP21" s="19"/>
      <c r="TOQ21" s="19"/>
      <c r="TOR21" s="19"/>
      <c r="TOS21" s="19"/>
      <c r="TOT21" s="19"/>
      <c r="TOU21" s="19"/>
      <c r="TOV21" s="19"/>
      <c r="TOW21" s="19"/>
      <c r="TOX21" s="19"/>
      <c r="TOY21" s="19"/>
      <c r="TOZ21" s="19"/>
      <c r="TPA21" s="19"/>
      <c r="TPB21" s="19"/>
      <c r="TPC21" s="19"/>
      <c r="TPD21" s="19"/>
      <c r="TPE21" s="19"/>
      <c r="TPF21" s="19"/>
      <c r="TPG21" s="19"/>
      <c r="TPH21" s="19"/>
      <c r="TPI21" s="19"/>
      <c r="TPJ21" s="19"/>
      <c r="TPK21" s="19"/>
      <c r="TPL21" s="19"/>
      <c r="TPM21" s="19"/>
      <c r="TPN21" s="19"/>
      <c r="TPO21" s="19"/>
      <c r="TPP21" s="19"/>
      <c r="TPQ21" s="19"/>
      <c r="TPR21" s="19"/>
      <c r="TPS21" s="19"/>
      <c r="TPT21" s="19"/>
      <c r="TPU21" s="19"/>
      <c r="TPV21" s="19"/>
      <c r="TPW21" s="19"/>
      <c r="TPX21" s="19"/>
      <c r="TPY21" s="19"/>
      <c r="TPZ21" s="19"/>
      <c r="TQA21" s="19"/>
      <c r="TQB21" s="19"/>
      <c r="TQC21" s="19"/>
      <c r="TQD21" s="19"/>
      <c r="TQE21" s="19"/>
      <c r="TQF21" s="19"/>
      <c r="TQG21" s="19"/>
      <c r="TQH21" s="19"/>
      <c r="TQI21" s="19"/>
      <c r="TQJ21" s="19"/>
      <c r="TQK21" s="19"/>
      <c r="TQL21" s="19"/>
      <c r="TQM21" s="19"/>
      <c r="TQN21" s="19"/>
      <c r="TQO21" s="19"/>
      <c r="TQP21" s="19"/>
      <c r="TQQ21" s="19"/>
      <c r="TQR21" s="19"/>
      <c r="TQS21" s="19"/>
      <c r="TQT21" s="19"/>
      <c r="TQU21" s="19"/>
      <c r="TQV21" s="19"/>
      <c r="TQW21" s="19"/>
      <c r="TQX21" s="19"/>
      <c r="TQY21" s="19"/>
      <c r="TQZ21" s="19"/>
      <c r="TRA21" s="19"/>
      <c r="TRB21" s="19"/>
      <c r="TRC21" s="19"/>
      <c r="TRD21" s="19"/>
      <c r="TRE21" s="19"/>
      <c r="TRF21" s="19"/>
      <c r="TRG21" s="19"/>
      <c r="TRH21" s="19"/>
      <c r="TRI21" s="19"/>
      <c r="TRJ21" s="19"/>
      <c r="TRK21" s="19"/>
      <c r="TRL21" s="19"/>
      <c r="TRM21" s="19"/>
      <c r="TRN21" s="19"/>
      <c r="TRO21" s="19"/>
      <c r="TRP21" s="19"/>
      <c r="TRQ21" s="19"/>
      <c r="TRR21" s="19"/>
      <c r="TRS21" s="19"/>
      <c r="TRT21" s="19"/>
      <c r="TRU21" s="19"/>
      <c r="TRV21" s="19"/>
      <c r="TRW21" s="19"/>
      <c r="TRX21" s="19"/>
      <c r="TRY21" s="19"/>
      <c r="TRZ21" s="19"/>
      <c r="TSA21" s="19"/>
      <c r="TSB21" s="19"/>
      <c r="TSC21" s="19"/>
      <c r="TSD21" s="19"/>
      <c r="TSE21" s="19"/>
      <c r="TSF21" s="19"/>
      <c r="TSG21" s="19"/>
      <c r="TSH21" s="19"/>
      <c r="TSI21" s="19"/>
      <c r="TSJ21" s="19"/>
      <c r="TSK21" s="19"/>
      <c r="TSL21" s="19"/>
      <c r="TSM21" s="19"/>
      <c r="TSN21" s="19"/>
      <c r="TSO21" s="19"/>
      <c r="TSP21" s="19"/>
      <c r="TSQ21" s="19"/>
      <c r="TSR21" s="19"/>
      <c r="TSS21" s="19"/>
      <c r="TST21" s="19"/>
      <c r="TSU21" s="19"/>
      <c r="TSV21" s="19"/>
      <c r="TSW21" s="19"/>
      <c r="TSX21" s="19"/>
      <c r="TSY21" s="19"/>
      <c r="TSZ21" s="19"/>
      <c r="TTA21" s="19"/>
      <c r="TTB21" s="19"/>
      <c r="TTC21" s="19"/>
      <c r="TTD21" s="19"/>
      <c r="TTE21" s="19"/>
      <c r="TTF21" s="19"/>
      <c r="TTG21" s="19"/>
      <c r="TTH21" s="19"/>
      <c r="TTI21" s="19"/>
      <c r="TTJ21" s="19"/>
      <c r="TTK21" s="19"/>
      <c r="TTL21" s="19"/>
      <c r="TTM21" s="19"/>
      <c r="TTN21" s="19"/>
      <c r="TTO21" s="19"/>
      <c r="TTP21" s="19"/>
      <c r="TTQ21" s="19"/>
      <c r="TTR21" s="19"/>
      <c r="TTS21" s="19"/>
      <c r="TTT21" s="19"/>
      <c r="TTU21" s="19"/>
      <c r="TTV21" s="19"/>
      <c r="TTW21" s="19"/>
      <c r="TTX21" s="19"/>
      <c r="TTY21" s="19"/>
      <c r="TTZ21" s="19"/>
      <c r="TUA21" s="19"/>
      <c r="TUB21" s="19"/>
      <c r="TUC21" s="19"/>
      <c r="TUD21" s="19"/>
      <c r="TUE21" s="19"/>
      <c r="TUF21" s="19"/>
      <c r="TUG21" s="19"/>
      <c r="TUH21" s="19"/>
      <c r="TUI21" s="19"/>
      <c r="TUJ21" s="19"/>
      <c r="TUK21" s="19"/>
      <c r="TUL21" s="19"/>
      <c r="TUM21" s="19"/>
      <c r="TUN21" s="19"/>
      <c r="TUO21" s="19"/>
      <c r="TUP21" s="19"/>
      <c r="TUQ21" s="19"/>
      <c r="TUR21" s="19"/>
      <c r="TUS21" s="19"/>
      <c r="TUT21" s="19"/>
      <c r="TUU21" s="19"/>
      <c r="TUV21" s="19"/>
      <c r="TUW21" s="19"/>
      <c r="TUX21" s="19"/>
      <c r="TUY21" s="19"/>
      <c r="TUZ21" s="19"/>
      <c r="TVA21" s="19"/>
      <c r="TVB21" s="19"/>
      <c r="TVC21" s="19"/>
      <c r="TVD21" s="19"/>
      <c r="TVE21" s="19"/>
      <c r="TVF21" s="19"/>
      <c r="TVG21" s="19"/>
      <c r="TVH21" s="19"/>
      <c r="TVI21" s="19"/>
      <c r="TVJ21" s="19"/>
      <c r="TVK21" s="19"/>
      <c r="TVL21" s="19"/>
      <c r="TVM21" s="19"/>
      <c r="TVN21" s="19"/>
      <c r="TVO21" s="19"/>
      <c r="TVP21" s="19"/>
      <c r="TVQ21" s="19"/>
      <c r="TVR21" s="19"/>
      <c r="TVS21" s="19"/>
      <c r="TVT21" s="19"/>
      <c r="TVU21" s="19"/>
      <c r="TVV21" s="19"/>
      <c r="TVW21" s="19"/>
      <c r="TVX21" s="19"/>
      <c r="TVY21" s="19"/>
      <c r="TVZ21" s="19"/>
      <c r="TWA21" s="19"/>
      <c r="TWB21" s="19"/>
      <c r="TWC21" s="19"/>
      <c r="TWD21" s="19"/>
      <c r="TWE21" s="19"/>
      <c r="TWF21" s="19"/>
      <c r="TWG21" s="19"/>
      <c r="TWH21" s="19"/>
      <c r="TWI21" s="19"/>
      <c r="TWJ21" s="19"/>
      <c r="TWK21" s="19"/>
      <c r="TWL21" s="19"/>
      <c r="TWM21" s="19"/>
      <c r="TWN21" s="19"/>
      <c r="TWO21" s="19"/>
      <c r="TWP21" s="19"/>
      <c r="TWQ21" s="19"/>
      <c r="TWR21" s="19"/>
      <c r="TWS21" s="19"/>
      <c r="TWT21" s="19"/>
      <c r="TWU21" s="19"/>
      <c r="TWV21" s="19"/>
      <c r="TWW21" s="19"/>
      <c r="TWX21" s="19"/>
      <c r="TWY21" s="19"/>
      <c r="TWZ21" s="19"/>
      <c r="TXA21" s="19"/>
      <c r="TXB21" s="19"/>
      <c r="TXC21" s="19"/>
      <c r="TXD21" s="19"/>
      <c r="TXE21" s="19"/>
      <c r="TXF21" s="19"/>
      <c r="TXG21" s="19"/>
      <c r="TXH21" s="19"/>
      <c r="TXI21" s="19"/>
      <c r="TXJ21" s="19"/>
      <c r="TXK21" s="19"/>
      <c r="TXL21" s="19"/>
      <c r="TXM21" s="19"/>
      <c r="TXN21" s="19"/>
      <c r="TXO21" s="19"/>
      <c r="TXP21" s="19"/>
      <c r="TXQ21" s="19"/>
      <c r="TXR21" s="19"/>
      <c r="TXS21" s="19"/>
      <c r="TXT21" s="19"/>
      <c r="TXU21" s="19"/>
      <c r="TXV21" s="19"/>
      <c r="TXW21" s="19"/>
      <c r="TXX21" s="19"/>
      <c r="TXY21" s="19"/>
      <c r="TXZ21" s="19"/>
      <c r="TYA21" s="19"/>
      <c r="TYB21" s="19"/>
      <c r="TYC21" s="19"/>
      <c r="TYD21" s="19"/>
      <c r="TYE21" s="19"/>
      <c r="TYF21" s="19"/>
      <c r="TYG21" s="19"/>
      <c r="TYH21" s="19"/>
      <c r="TYI21" s="19"/>
      <c r="TYJ21" s="19"/>
      <c r="TYK21" s="19"/>
      <c r="TYL21" s="19"/>
      <c r="TYM21" s="19"/>
      <c r="TYN21" s="19"/>
      <c r="TYO21" s="19"/>
      <c r="TYP21" s="19"/>
      <c r="TYQ21" s="19"/>
      <c r="TYR21" s="19"/>
      <c r="TYS21" s="19"/>
      <c r="TYT21" s="19"/>
      <c r="TYU21" s="19"/>
      <c r="TYV21" s="19"/>
      <c r="TYW21" s="19"/>
      <c r="TYX21" s="19"/>
      <c r="TYY21" s="19"/>
      <c r="TYZ21" s="19"/>
      <c r="TZA21" s="19"/>
      <c r="TZB21" s="19"/>
      <c r="TZC21" s="19"/>
      <c r="TZD21" s="19"/>
      <c r="TZE21" s="19"/>
      <c r="TZF21" s="19"/>
      <c r="TZG21" s="19"/>
      <c r="TZH21" s="19"/>
      <c r="TZI21" s="19"/>
      <c r="TZJ21" s="19"/>
      <c r="TZK21" s="19"/>
      <c r="TZL21" s="19"/>
      <c r="TZM21" s="19"/>
      <c r="TZN21" s="19"/>
      <c r="TZO21" s="19"/>
      <c r="TZP21" s="19"/>
      <c r="TZQ21" s="19"/>
      <c r="TZR21" s="19"/>
      <c r="TZS21" s="19"/>
      <c r="TZT21" s="19"/>
      <c r="TZU21" s="19"/>
      <c r="TZV21" s="19"/>
      <c r="TZW21" s="19"/>
      <c r="TZX21" s="19"/>
      <c r="TZY21" s="19"/>
      <c r="TZZ21" s="19"/>
      <c r="UAA21" s="19"/>
      <c r="UAB21" s="19"/>
      <c r="UAC21" s="19"/>
      <c r="UAD21" s="19"/>
      <c r="UAE21" s="19"/>
      <c r="UAF21" s="19"/>
      <c r="UAG21" s="19"/>
      <c r="UAH21" s="19"/>
      <c r="UAI21" s="19"/>
      <c r="UAJ21" s="19"/>
      <c r="UAK21" s="19"/>
      <c r="UAL21" s="19"/>
      <c r="UAM21" s="19"/>
      <c r="UAN21" s="19"/>
      <c r="UAO21" s="19"/>
      <c r="UAP21" s="19"/>
      <c r="UAQ21" s="19"/>
      <c r="UAR21" s="19"/>
      <c r="UAS21" s="19"/>
      <c r="UAT21" s="19"/>
      <c r="UAU21" s="19"/>
      <c r="UAV21" s="19"/>
      <c r="UAW21" s="19"/>
      <c r="UAX21" s="19"/>
      <c r="UAY21" s="19"/>
      <c r="UAZ21" s="19"/>
      <c r="UBA21" s="19"/>
      <c r="UBB21" s="19"/>
      <c r="UBC21" s="19"/>
      <c r="UBD21" s="19"/>
      <c r="UBE21" s="19"/>
      <c r="UBF21" s="19"/>
      <c r="UBG21" s="19"/>
      <c r="UBH21" s="19"/>
      <c r="UBI21" s="19"/>
      <c r="UBJ21" s="19"/>
      <c r="UBK21" s="19"/>
      <c r="UBL21" s="19"/>
      <c r="UBM21" s="19"/>
      <c r="UBN21" s="19"/>
      <c r="UBO21" s="19"/>
      <c r="UBP21" s="19"/>
      <c r="UBQ21" s="19"/>
      <c r="UBR21" s="19"/>
      <c r="UBS21" s="19"/>
      <c r="UBT21" s="19"/>
      <c r="UBU21" s="19"/>
      <c r="UBV21" s="19"/>
      <c r="UBW21" s="19"/>
      <c r="UBX21" s="19"/>
      <c r="UBY21" s="19"/>
      <c r="UBZ21" s="19"/>
      <c r="UCA21" s="19"/>
      <c r="UCB21" s="19"/>
      <c r="UCC21" s="19"/>
      <c r="UCD21" s="19"/>
      <c r="UCE21" s="19"/>
      <c r="UCF21" s="19"/>
      <c r="UCG21" s="19"/>
      <c r="UCH21" s="19"/>
      <c r="UCI21" s="19"/>
      <c r="UCJ21" s="19"/>
      <c r="UCK21" s="19"/>
      <c r="UCL21" s="19"/>
      <c r="UCM21" s="19"/>
      <c r="UCN21" s="19"/>
      <c r="UCO21" s="19"/>
      <c r="UCP21" s="19"/>
      <c r="UCQ21" s="19"/>
      <c r="UCR21" s="19"/>
      <c r="UCS21" s="19"/>
      <c r="UCT21" s="19"/>
      <c r="UCU21" s="19"/>
      <c r="UCV21" s="19"/>
      <c r="UCW21" s="19"/>
      <c r="UCX21" s="19"/>
      <c r="UCY21" s="19"/>
      <c r="UCZ21" s="19"/>
      <c r="UDA21" s="19"/>
      <c r="UDB21" s="19"/>
      <c r="UDC21" s="19"/>
      <c r="UDD21" s="19"/>
      <c r="UDE21" s="19"/>
      <c r="UDF21" s="19"/>
      <c r="UDG21" s="19"/>
      <c r="UDH21" s="19"/>
      <c r="UDI21" s="19"/>
      <c r="UDJ21" s="19"/>
      <c r="UDK21" s="19"/>
      <c r="UDL21" s="19"/>
      <c r="UDM21" s="19"/>
      <c r="UDN21" s="19"/>
      <c r="UDO21" s="19"/>
      <c r="UDP21" s="19"/>
      <c r="UDQ21" s="19"/>
      <c r="UDR21" s="19"/>
      <c r="UDS21" s="19"/>
      <c r="UDT21" s="19"/>
      <c r="UDU21" s="19"/>
      <c r="UDV21" s="19"/>
      <c r="UDW21" s="19"/>
      <c r="UDX21" s="19"/>
      <c r="UDY21" s="19"/>
      <c r="UDZ21" s="19"/>
      <c r="UEA21" s="19"/>
      <c r="UEB21" s="19"/>
      <c r="UEC21" s="19"/>
      <c r="UED21" s="19"/>
      <c r="UEE21" s="19"/>
      <c r="UEF21" s="19"/>
      <c r="UEG21" s="19"/>
      <c r="UEH21" s="19"/>
      <c r="UEI21" s="19"/>
      <c r="UEJ21" s="19"/>
      <c r="UEK21" s="19"/>
      <c r="UEL21" s="19"/>
      <c r="UEM21" s="19"/>
      <c r="UEN21" s="19"/>
      <c r="UEO21" s="19"/>
      <c r="UEP21" s="19"/>
      <c r="UEQ21" s="19"/>
      <c r="UER21" s="19"/>
      <c r="UES21" s="19"/>
      <c r="UET21" s="19"/>
      <c r="UEU21" s="19"/>
      <c r="UEV21" s="19"/>
      <c r="UEW21" s="19"/>
      <c r="UEX21" s="19"/>
      <c r="UEY21" s="19"/>
      <c r="UEZ21" s="19"/>
      <c r="UFA21" s="19"/>
      <c r="UFB21" s="19"/>
      <c r="UFC21" s="19"/>
      <c r="UFD21" s="19"/>
      <c r="UFE21" s="19"/>
      <c r="UFF21" s="19"/>
      <c r="UFG21" s="19"/>
      <c r="UFH21" s="19"/>
      <c r="UFI21" s="19"/>
      <c r="UFJ21" s="19"/>
      <c r="UFK21" s="19"/>
      <c r="UFL21" s="19"/>
      <c r="UFM21" s="19"/>
      <c r="UFN21" s="19"/>
      <c r="UFO21" s="19"/>
      <c r="UFP21" s="19"/>
      <c r="UFQ21" s="19"/>
      <c r="UFR21" s="19"/>
      <c r="UFS21" s="19"/>
      <c r="UFT21" s="19"/>
      <c r="UFU21" s="19"/>
      <c r="UFV21" s="19"/>
      <c r="UFW21" s="19"/>
      <c r="UFX21" s="19"/>
      <c r="UFY21" s="19"/>
      <c r="UFZ21" s="19"/>
      <c r="UGA21" s="19"/>
      <c r="UGB21" s="19"/>
      <c r="UGC21" s="19"/>
      <c r="UGD21" s="19"/>
      <c r="UGE21" s="19"/>
      <c r="UGF21" s="19"/>
      <c r="UGG21" s="19"/>
      <c r="UGH21" s="19"/>
      <c r="UGI21" s="19"/>
      <c r="UGJ21" s="19"/>
      <c r="UGK21" s="19"/>
      <c r="UGL21" s="19"/>
      <c r="UGM21" s="19"/>
      <c r="UGN21" s="19"/>
      <c r="UGO21" s="19"/>
      <c r="UGP21" s="19"/>
      <c r="UGQ21" s="19"/>
      <c r="UGR21" s="19"/>
      <c r="UGS21" s="19"/>
      <c r="UGT21" s="19"/>
      <c r="UGU21" s="19"/>
      <c r="UGV21" s="19"/>
      <c r="UGW21" s="19"/>
      <c r="UGX21" s="19"/>
      <c r="UGY21" s="19"/>
      <c r="UGZ21" s="19"/>
      <c r="UHA21" s="19"/>
      <c r="UHB21" s="19"/>
      <c r="UHC21" s="19"/>
      <c r="UHD21" s="19"/>
      <c r="UHE21" s="19"/>
      <c r="UHF21" s="19"/>
      <c r="UHG21" s="19"/>
      <c r="UHH21" s="19"/>
      <c r="UHI21" s="19"/>
      <c r="UHJ21" s="19"/>
      <c r="UHK21" s="19"/>
      <c r="UHL21" s="19"/>
      <c r="UHM21" s="19"/>
      <c r="UHN21" s="19"/>
      <c r="UHO21" s="19"/>
      <c r="UHP21" s="19"/>
      <c r="UHQ21" s="19"/>
      <c r="UHR21" s="19"/>
      <c r="UHS21" s="19"/>
      <c r="UHT21" s="19"/>
      <c r="UHU21" s="19"/>
      <c r="UHV21" s="19"/>
      <c r="UHW21" s="19"/>
      <c r="UHX21" s="19"/>
      <c r="UHY21" s="19"/>
      <c r="UHZ21" s="19"/>
      <c r="UIA21" s="19"/>
      <c r="UIB21" s="19"/>
      <c r="UIC21" s="19"/>
      <c r="UID21" s="19"/>
      <c r="UIE21" s="19"/>
      <c r="UIF21" s="19"/>
      <c r="UIG21" s="19"/>
      <c r="UIH21" s="19"/>
      <c r="UII21" s="19"/>
      <c r="UIJ21" s="19"/>
      <c r="UIK21" s="19"/>
      <c r="UIL21" s="19"/>
      <c r="UIM21" s="19"/>
      <c r="UIN21" s="19"/>
      <c r="UIO21" s="19"/>
      <c r="UIP21" s="19"/>
      <c r="UIQ21" s="19"/>
      <c r="UIR21" s="19"/>
      <c r="UIS21" s="19"/>
      <c r="UIT21" s="19"/>
      <c r="UIU21" s="19"/>
      <c r="UIV21" s="19"/>
      <c r="UIW21" s="19"/>
      <c r="UIX21" s="19"/>
      <c r="UIY21" s="19"/>
      <c r="UIZ21" s="19"/>
      <c r="UJA21" s="19"/>
      <c r="UJB21" s="19"/>
      <c r="UJC21" s="19"/>
      <c r="UJD21" s="19"/>
      <c r="UJE21" s="19"/>
      <c r="UJF21" s="19"/>
      <c r="UJG21" s="19"/>
      <c r="UJH21" s="19"/>
      <c r="UJI21" s="19"/>
      <c r="UJJ21" s="19"/>
      <c r="UJK21" s="19"/>
      <c r="UJL21" s="19"/>
      <c r="UJM21" s="19"/>
      <c r="UJN21" s="19"/>
      <c r="UJO21" s="19"/>
      <c r="UJP21" s="19"/>
      <c r="UJQ21" s="19"/>
      <c r="UJR21" s="19"/>
      <c r="UJS21" s="19"/>
      <c r="UJT21" s="19"/>
      <c r="UJU21" s="19"/>
      <c r="UJV21" s="19"/>
      <c r="UJW21" s="19"/>
      <c r="UJX21" s="19"/>
      <c r="UJY21" s="19"/>
      <c r="UJZ21" s="19"/>
      <c r="UKA21" s="19"/>
      <c r="UKB21" s="19"/>
      <c r="UKC21" s="19"/>
      <c r="UKD21" s="19"/>
      <c r="UKE21" s="19"/>
      <c r="UKF21" s="19"/>
      <c r="UKG21" s="19"/>
      <c r="UKH21" s="19"/>
      <c r="UKI21" s="19"/>
      <c r="UKJ21" s="19"/>
      <c r="UKK21" s="19"/>
      <c r="UKL21" s="19"/>
      <c r="UKM21" s="19"/>
      <c r="UKN21" s="19"/>
      <c r="UKO21" s="19"/>
      <c r="UKP21" s="19"/>
      <c r="UKQ21" s="19"/>
      <c r="UKR21" s="19"/>
      <c r="UKS21" s="19"/>
      <c r="UKT21" s="19"/>
      <c r="UKU21" s="19"/>
      <c r="UKV21" s="19"/>
      <c r="UKW21" s="19"/>
      <c r="UKX21" s="19"/>
      <c r="UKY21" s="19"/>
      <c r="UKZ21" s="19"/>
      <c r="ULA21" s="19"/>
      <c r="ULB21" s="19"/>
      <c r="ULC21" s="19"/>
      <c r="ULD21" s="19"/>
      <c r="ULE21" s="19"/>
      <c r="ULF21" s="19"/>
      <c r="ULG21" s="19"/>
      <c r="ULH21" s="19"/>
      <c r="ULI21" s="19"/>
      <c r="ULJ21" s="19"/>
      <c r="ULK21" s="19"/>
      <c r="ULL21" s="19"/>
      <c r="ULM21" s="19"/>
      <c r="ULN21" s="19"/>
      <c r="ULO21" s="19"/>
      <c r="ULP21" s="19"/>
      <c r="ULQ21" s="19"/>
      <c r="ULR21" s="19"/>
      <c r="ULS21" s="19"/>
      <c r="ULT21" s="19"/>
      <c r="ULU21" s="19"/>
      <c r="ULV21" s="19"/>
      <c r="ULW21" s="19"/>
      <c r="ULX21" s="19"/>
      <c r="ULY21" s="19"/>
      <c r="ULZ21" s="19"/>
      <c r="UMA21" s="19"/>
      <c r="UMB21" s="19"/>
      <c r="UMC21" s="19"/>
      <c r="UMD21" s="19"/>
      <c r="UME21" s="19"/>
      <c r="UMF21" s="19"/>
      <c r="UMG21" s="19"/>
      <c r="UMH21" s="19"/>
      <c r="UMI21" s="19"/>
      <c r="UMJ21" s="19"/>
      <c r="UMK21" s="19"/>
      <c r="UML21" s="19"/>
      <c r="UMM21" s="19"/>
      <c r="UMN21" s="19"/>
      <c r="UMO21" s="19"/>
      <c r="UMP21" s="19"/>
      <c r="UMQ21" s="19"/>
      <c r="UMR21" s="19"/>
      <c r="UMS21" s="19"/>
      <c r="UMT21" s="19"/>
      <c r="UMU21" s="19"/>
      <c r="UMV21" s="19"/>
      <c r="UMW21" s="19"/>
      <c r="UMX21" s="19"/>
      <c r="UMY21" s="19"/>
      <c r="UMZ21" s="19"/>
      <c r="UNA21" s="19"/>
      <c r="UNB21" s="19"/>
      <c r="UNC21" s="19"/>
      <c r="UND21" s="19"/>
      <c r="UNE21" s="19"/>
      <c r="UNF21" s="19"/>
      <c r="UNG21" s="19"/>
      <c r="UNH21" s="19"/>
      <c r="UNI21" s="19"/>
      <c r="UNJ21" s="19"/>
      <c r="UNK21" s="19"/>
      <c r="UNL21" s="19"/>
      <c r="UNM21" s="19"/>
      <c r="UNN21" s="19"/>
      <c r="UNO21" s="19"/>
      <c r="UNP21" s="19"/>
      <c r="UNQ21" s="19"/>
      <c r="UNR21" s="19"/>
      <c r="UNS21" s="19"/>
      <c r="UNT21" s="19"/>
      <c r="UNU21" s="19"/>
      <c r="UNV21" s="19"/>
      <c r="UNW21" s="19"/>
      <c r="UNX21" s="19"/>
      <c r="UNY21" s="19"/>
      <c r="UNZ21" s="19"/>
      <c r="UOA21" s="19"/>
      <c r="UOB21" s="19"/>
      <c r="UOC21" s="19"/>
      <c r="UOD21" s="19"/>
      <c r="UOE21" s="19"/>
      <c r="UOF21" s="19"/>
      <c r="UOG21" s="19"/>
      <c r="UOH21" s="19"/>
      <c r="UOI21" s="19"/>
      <c r="UOJ21" s="19"/>
      <c r="UOK21" s="19"/>
      <c r="UOL21" s="19"/>
      <c r="UOM21" s="19"/>
      <c r="UON21" s="19"/>
      <c r="UOO21" s="19"/>
      <c r="UOP21" s="19"/>
      <c r="UOQ21" s="19"/>
      <c r="UOR21" s="19"/>
      <c r="UOS21" s="19"/>
      <c r="UOT21" s="19"/>
      <c r="UOU21" s="19"/>
      <c r="UOV21" s="19"/>
      <c r="UOW21" s="19"/>
      <c r="UOX21" s="19"/>
      <c r="UOY21" s="19"/>
      <c r="UOZ21" s="19"/>
      <c r="UPA21" s="19"/>
      <c r="UPB21" s="19"/>
      <c r="UPC21" s="19"/>
      <c r="UPD21" s="19"/>
      <c r="UPE21" s="19"/>
      <c r="UPF21" s="19"/>
      <c r="UPG21" s="19"/>
      <c r="UPH21" s="19"/>
      <c r="UPI21" s="19"/>
      <c r="UPJ21" s="19"/>
      <c r="UPK21" s="19"/>
      <c r="UPL21" s="19"/>
      <c r="UPM21" s="19"/>
      <c r="UPN21" s="19"/>
      <c r="UPO21" s="19"/>
      <c r="UPP21" s="19"/>
      <c r="UPQ21" s="19"/>
      <c r="UPR21" s="19"/>
      <c r="UPS21" s="19"/>
      <c r="UPT21" s="19"/>
      <c r="UPU21" s="19"/>
      <c r="UPV21" s="19"/>
      <c r="UPW21" s="19"/>
      <c r="UPX21" s="19"/>
      <c r="UPY21" s="19"/>
      <c r="UPZ21" s="19"/>
      <c r="UQA21" s="19"/>
      <c r="UQB21" s="19"/>
      <c r="UQC21" s="19"/>
      <c r="UQD21" s="19"/>
      <c r="UQE21" s="19"/>
      <c r="UQF21" s="19"/>
      <c r="UQG21" s="19"/>
      <c r="UQH21" s="19"/>
      <c r="UQI21" s="19"/>
      <c r="UQJ21" s="19"/>
      <c r="UQK21" s="19"/>
      <c r="UQL21" s="19"/>
      <c r="UQM21" s="19"/>
      <c r="UQN21" s="19"/>
      <c r="UQO21" s="19"/>
      <c r="UQP21" s="19"/>
      <c r="UQQ21" s="19"/>
      <c r="UQR21" s="19"/>
      <c r="UQS21" s="19"/>
      <c r="UQT21" s="19"/>
      <c r="UQU21" s="19"/>
      <c r="UQV21" s="19"/>
      <c r="UQW21" s="19"/>
      <c r="UQX21" s="19"/>
      <c r="UQY21" s="19"/>
      <c r="UQZ21" s="19"/>
      <c r="URA21" s="19"/>
      <c r="URB21" s="19"/>
      <c r="URC21" s="19"/>
      <c r="URD21" s="19"/>
      <c r="URE21" s="19"/>
      <c r="URF21" s="19"/>
      <c r="URG21" s="19"/>
      <c r="URH21" s="19"/>
      <c r="URI21" s="19"/>
      <c r="URJ21" s="19"/>
      <c r="URK21" s="19"/>
      <c r="URL21" s="19"/>
      <c r="URM21" s="19"/>
      <c r="URN21" s="19"/>
      <c r="URO21" s="19"/>
      <c r="URP21" s="19"/>
      <c r="URQ21" s="19"/>
      <c r="URR21" s="19"/>
      <c r="URS21" s="19"/>
      <c r="URT21" s="19"/>
      <c r="URU21" s="19"/>
      <c r="URV21" s="19"/>
      <c r="URW21" s="19"/>
      <c r="URX21" s="19"/>
      <c r="URY21" s="19"/>
      <c r="URZ21" s="19"/>
      <c r="USA21" s="19"/>
      <c r="USB21" s="19"/>
      <c r="USC21" s="19"/>
      <c r="USD21" s="19"/>
      <c r="USE21" s="19"/>
      <c r="USF21" s="19"/>
      <c r="USG21" s="19"/>
      <c r="USH21" s="19"/>
      <c r="USI21" s="19"/>
      <c r="USJ21" s="19"/>
      <c r="USK21" s="19"/>
      <c r="USL21" s="19"/>
      <c r="USM21" s="19"/>
      <c r="USN21" s="19"/>
      <c r="USO21" s="19"/>
      <c r="USP21" s="19"/>
      <c r="USQ21" s="19"/>
      <c r="USR21" s="19"/>
      <c r="USS21" s="19"/>
      <c r="UST21" s="19"/>
      <c r="USU21" s="19"/>
      <c r="USV21" s="19"/>
      <c r="USW21" s="19"/>
      <c r="USX21" s="19"/>
      <c r="USY21" s="19"/>
      <c r="USZ21" s="19"/>
      <c r="UTA21" s="19"/>
      <c r="UTB21" s="19"/>
      <c r="UTC21" s="19"/>
      <c r="UTD21" s="19"/>
      <c r="UTE21" s="19"/>
      <c r="UTF21" s="19"/>
      <c r="UTG21" s="19"/>
      <c r="UTH21" s="19"/>
      <c r="UTI21" s="19"/>
      <c r="UTJ21" s="19"/>
      <c r="UTK21" s="19"/>
      <c r="UTL21" s="19"/>
      <c r="UTM21" s="19"/>
      <c r="UTN21" s="19"/>
      <c r="UTO21" s="19"/>
      <c r="UTP21" s="19"/>
      <c r="UTQ21" s="19"/>
      <c r="UTR21" s="19"/>
      <c r="UTS21" s="19"/>
      <c r="UTT21" s="19"/>
      <c r="UTU21" s="19"/>
      <c r="UTV21" s="19"/>
      <c r="UTW21" s="19"/>
      <c r="UTX21" s="19"/>
      <c r="UTY21" s="19"/>
      <c r="UTZ21" s="19"/>
      <c r="UUA21" s="19"/>
      <c r="UUB21" s="19"/>
      <c r="UUC21" s="19"/>
      <c r="UUD21" s="19"/>
      <c r="UUE21" s="19"/>
      <c r="UUF21" s="19"/>
      <c r="UUG21" s="19"/>
      <c r="UUH21" s="19"/>
      <c r="UUI21" s="19"/>
      <c r="UUJ21" s="19"/>
      <c r="UUK21" s="19"/>
      <c r="UUL21" s="19"/>
      <c r="UUM21" s="19"/>
      <c r="UUN21" s="19"/>
      <c r="UUO21" s="19"/>
      <c r="UUP21" s="19"/>
      <c r="UUQ21" s="19"/>
      <c r="UUR21" s="19"/>
      <c r="UUS21" s="19"/>
      <c r="UUT21" s="19"/>
      <c r="UUU21" s="19"/>
      <c r="UUV21" s="19"/>
      <c r="UUW21" s="19"/>
      <c r="UUX21" s="19"/>
      <c r="UUY21" s="19"/>
      <c r="UUZ21" s="19"/>
      <c r="UVA21" s="19"/>
      <c r="UVB21" s="19"/>
      <c r="UVC21" s="19"/>
      <c r="UVD21" s="19"/>
      <c r="UVE21" s="19"/>
      <c r="UVF21" s="19"/>
      <c r="UVG21" s="19"/>
      <c r="UVH21" s="19"/>
      <c r="UVI21" s="19"/>
      <c r="UVJ21" s="19"/>
      <c r="UVK21" s="19"/>
      <c r="UVL21" s="19"/>
      <c r="UVM21" s="19"/>
      <c r="UVN21" s="19"/>
      <c r="UVO21" s="19"/>
      <c r="UVP21" s="19"/>
      <c r="UVQ21" s="19"/>
      <c r="UVR21" s="19"/>
      <c r="UVS21" s="19"/>
      <c r="UVT21" s="19"/>
      <c r="UVU21" s="19"/>
      <c r="UVV21" s="19"/>
      <c r="UVW21" s="19"/>
      <c r="UVX21" s="19"/>
      <c r="UVY21" s="19"/>
      <c r="UVZ21" s="19"/>
      <c r="UWA21" s="19"/>
      <c r="UWB21" s="19"/>
      <c r="UWC21" s="19"/>
      <c r="UWD21" s="19"/>
      <c r="UWE21" s="19"/>
      <c r="UWF21" s="19"/>
      <c r="UWG21" s="19"/>
      <c r="UWH21" s="19"/>
      <c r="UWI21" s="19"/>
      <c r="UWJ21" s="19"/>
      <c r="UWK21" s="19"/>
      <c r="UWL21" s="19"/>
      <c r="UWM21" s="19"/>
      <c r="UWN21" s="19"/>
      <c r="UWO21" s="19"/>
      <c r="UWP21" s="19"/>
      <c r="UWQ21" s="19"/>
      <c r="UWR21" s="19"/>
      <c r="UWS21" s="19"/>
      <c r="UWT21" s="19"/>
      <c r="UWU21" s="19"/>
      <c r="UWV21" s="19"/>
      <c r="UWW21" s="19"/>
      <c r="UWX21" s="19"/>
      <c r="UWY21" s="19"/>
      <c r="UWZ21" s="19"/>
      <c r="UXA21" s="19"/>
      <c r="UXB21" s="19"/>
      <c r="UXC21" s="19"/>
      <c r="UXD21" s="19"/>
      <c r="UXE21" s="19"/>
      <c r="UXF21" s="19"/>
      <c r="UXG21" s="19"/>
      <c r="UXH21" s="19"/>
      <c r="UXI21" s="19"/>
      <c r="UXJ21" s="19"/>
      <c r="UXK21" s="19"/>
      <c r="UXL21" s="19"/>
      <c r="UXM21" s="19"/>
      <c r="UXN21" s="19"/>
      <c r="UXO21" s="19"/>
      <c r="UXP21" s="19"/>
      <c r="UXQ21" s="19"/>
      <c r="UXR21" s="19"/>
      <c r="UXS21" s="19"/>
      <c r="UXT21" s="19"/>
      <c r="UXU21" s="19"/>
      <c r="UXV21" s="19"/>
      <c r="UXW21" s="19"/>
      <c r="UXX21" s="19"/>
      <c r="UXY21" s="19"/>
      <c r="UXZ21" s="19"/>
      <c r="UYA21" s="19"/>
      <c r="UYB21" s="19"/>
      <c r="UYC21" s="19"/>
      <c r="UYD21" s="19"/>
      <c r="UYE21" s="19"/>
      <c r="UYF21" s="19"/>
      <c r="UYG21" s="19"/>
      <c r="UYH21" s="19"/>
      <c r="UYI21" s="19"/>
      <c r="UYJ21" s="19"/>
      <c r="UYK21" s="19"/>
      <c r="UYL21" s="19"/>
      <c r="UYM21" s="19"/>
      <c r="UYN21" s="19"/>
      <c r="UYO21" s="19"/>
      <c r="UYP21" s="19"/>
      <c r="UYQ21" s="19"/>
      <c r="UYR21" s="19"/>
      <c r="UYS21" s="19"/>
      <c r="UYT21" s="19"/>
      <c r="UYU21" s="19"/>
      <c r="UYV21" s="19"/>
      <c r="UYW21" s="19"/>
      <c r="UYX21" s="19"/>
      <c r="UYY21" s="19"/>
      <c r="UYZ21" s="19"/>
      <c r="UZA21" s="19"/>
      <c r="UZB21" s="19"/>
      <c r="UZC21" s="19"/>
      <c r="UZD21" s="19"/>
      <c r="UZE21" s="19"/>
      <c r="UZF21" s="19"/>
      <c r="UZG21" s="19"/>
      <c r="UZH21" s="19"/>
      <c r="UZI21" s="19"/>
      <c r="UZJ21" s="19"/>
      <c r="UZK21" s="19"/>
      <c r="UZL21" s="19"/>
      <c r="UZM21" s="19"/>
      <c r="UZN21" s="19"/>
      <c r="UZO21" s="19"/>
      <c r="UZP21" s="19"/>
      <c r="UZQ21" s="19"/>
      <c r="UZR21" s="19"/>
      <c r="UZS21" s="19"/>
      <c r="UZT21" s="19"/>
      <c r="UZU21" s="19"/>
      <c r="UZV21" s="19"/>
      <c r="UZW21" s="19"/>
      <c r="UZX21" s="19"/>
      <c r="UZY21" s="19"/>
      <c r="UZZ21" s="19"/>
      <c r="VAA21" s="19"/>
      <c r="VAB21" s="19"/>
      <c r="VAC21" s="19"/>
      <c r="VAD21" s="19"/>
      <c r="VAE21" s="19"/>
      <c r="VAF21" s="19"/>
      <c r="VAG21" s="19"/>
      <c r="VAH21" s="19"/>
      <c r="VAI21" s="19"/>
      <c r="VAJ21" s="19"/>
      <c r="VAK21" s="19"/>
      <c r="VAL21" s="19"/>
      <c r="VAM21" s="19"/>
      <c r="VAN21" s="19"/>
      <c r="VAO21" s="19"/>
      <c r="VAP21" s="19"/>
      <c r="VAQ21" s="19"/>
      <c r="VAR21" s="19"/>
      <c r="VAS21" s="19"/>
      <c r="VAT21" s="19"/>
      <c r="VAU21" s="19"/>
      <c r="VAV21" s="19"/>
      <c r="VAW21" s="19"/>
      <c r="VAX21" s="19"/>
      <c r="VAY21" s="19"/>
      <c r="VAZ21" s="19"/>
      <c r="VBA21" s="19"/>
      <c r="VBB21" s="19"/>
      <c r="VBC21" s="19"/>
      <c r="VBD21" s="19"/>
      <c r="VBE21" s="19"/>
      <c r="VBF21" s="19"/>
      <c r="VBG21" s="19"/>
      <c r="VBH21" s="19"/>
      <c r="VBI21" s="19"/>
      <c r="VBJ21" s="19"/>
      <c r="VBK21" s="19"/>
      <c r="VBL21" s="19"/>
      <c r="VBM21" s="19"/>
      <c r="VBN21" s="19"/>
      <c r="VBO21" s="19"/>
      <c r="VBP21" s="19"/>
      <c r="VBQ21" s="19"/>
      <c r="VBR21" s="19"/>
      <c r="VBS21" s="19"/>
      <c r="VBT21" s="19"/>
      <c r="VBU21" s="19"/>
      <c r="VBV21" s="19"/>
      <c r="VBW21" s="19"/>
      <c r="VBX21" s="19"/>
      <c r="VBY21" s="19"/>
      <c r="VBZ21" s="19"/>
      <c r="VCA21" s="19"/>
      <c r="VCB21" s="19"/>
      <c r="VCC21" s="19"/>
      <c r="VCD21" s="19"/>
      <c r="VCE21" s="19"/>
      <c r="VCF21" s="19"/>
      <c r="VCG21" s="19"/>
      <c r="VCH21" s="19"/>
      <c r="VCI21" s="19"/>
      <c r="VCJ21" s="19"/>
      <c r="VCK21" s="19"/>
      <c r="VCL21" s="19"/>
      <c r="VCM21" s="19"/>
      <c r="VCN21" s="19"/>
      <c r="VCO21" s="19"/>
      <c r="VCP21" s="19"/>
      <c r="VCQ21" s="19"/>
      <c r="VCR21" s="19"/>
      <c r="VCS21" s="19"/>
      <c r="VCT21" s="19"/>
      <c r="VCU21" s="19"/>
      <c r="VCV21" s="19"/>
      <c r="VCW21" s="19"/>
      <c r="VCX21" s="19"/>
      <c r="VCY21" s="19"/>
      <c r="VCZ21" s="19"/>
      <c r="VDA21" s="19"/>
      <c r="VDB21" s="19"/>
      <c r="VDC21" s="19"/>
      <c r="VDD21" s="19"/>
      <c r="VDE21" s="19"/>
      <c r="VDF21" s="19"/>
      <c r="VDG21" s="19"/>
      <c r="VDH21" s="19"/>
      <c r="VDI21" s="19"/>
      <c r="VDJ21" s="19"/>
      <c r="VDK21" s="19"/>
      <c r="VDL21" s="19"/>
      <c r="VDM21" s="19"/>
      <c r="VDN21" s="19"/>
      <c r="VDO21" s="19"/>
      <c r="VDP21" s="19"/>
      <c r="VDQ21" s="19"/>
      <c r="VDR21" s="19"/>
      <c r="VDS21" s="19"/>
      <c r="VDT21" s="19"/>
      <c r="VDU21" s="19"/>
      <c r="VDV21" s="19"/>
      <c r="VDW21" s="19"/>
      <c r="VDX21" s="19"/>
      <c r="VDY21" s="19"/>
      <c r="VDZ21" s="19"/>
      <c r="VEA21" s="19"/>
      <c r="VEB21" s="19"/>
      <c r="VEC21" s="19"/>
      <c r="VED21" s="19"/>
      <c r="VEE21" s="19"/>
      <c r="VEF21" s="19"/>
      <c r="VEG21" s="19"/>
      <c r="VEH21" s="19"/>
      <c r="VEI21" s="19"/>
      <c r="VEJ21" s="19"/>
      <c r="VEK21" s="19"/>
      <c r="VEL21" s="19"/>
      <c r="VEM21" s="19"/>
      <c r="VEN21" s="19"/>
      <c r="VEO21" s="19"/>
      <c r="VEP21" s="19"/>
      <c r="VEQ21" s="19"/>
      <c r="VER21" s="19"/>
      <c r="VES21" s="19"/>
      <c r="VET21" s="19"/>
      <c r="VEU21" s="19"/>
      <c r="VEV21" s="19"/>
      <c r="VEW21" s="19"/>
      <c r="VEX21" s="19"/>
      <c r="VEY21" s="19"/>
      <c r="VEZ21" s="19"/>
      <c r="VFA21" s="19"/>
      <c r="VFB21" s="19"/>
      <c r="VFC21" s="19"/>
      <c r="VFD21" s="19"/>
      <c r="VFE21" s="19"/>
      <c r="VFF21" s="19"/>
      <c r="VFG21" s="19"/>
      <c r="VFH21" s="19"/>
      <c r="VFI21" s="19"/>
      <c r="VFJ21" s="19"/>
      <c r="VFK21" s="19"/>
      <c r="VFL21" s="19"/>
      <c r="VFM21" s="19"/>
      <c r="VFN21" s="19"/>
      <c r="VFO21" s="19"/>
      <c r="VFP21" s="19"/>
      <c r="VFQ21" s="19"/>
      <c r="VFR21" s="19"/>
      <c r="VFS21" s="19"/>
      <c r="VFT21" s="19"/>
      <c r="VFU21" s="19"/>
      <c r="VFV21" s="19"/>
      <c r="VFW21" s="19"/>
      <c r="VFX21" s="19"/>
      <c r="VFY21" s="19"/>
      <c r="VFZ21" s="19"/>
      <c r="VGA21" s="19"/>
      <c r="VGB21" s="19"/>
      <c r="VGC21" s="19"/>
      <c r="VGD21" s="19"/>
      <c r="VGE21" s="19"/>
      <c r="VGF21" s="19"/>
      <c r="VGG21" s="19"/>
      <c r="VGH21" s="19"/>
      <c r="VGI21" s="19"/>
      <c r="VGJ21" s="19"/>
      <c r="VGK21" s="19"/>
      <c r="VGL21" s="19"/>
      <c r="VGM21" s="19"/>
      <c r="VGN21" s="19"/>
      <c r="VGO21" s="19"/>
      <c r="VGP21" s="19"/>
      <c r="VGQ21" s="19"/>
      <c r="VGR21" s="19"/>
      <c r="VGS21" s="19"/>
      <c r="VGT21" s="19"/>
      <c r="VGU21" s="19"/>
      <c r="VGV21" s="19"/>
      <c r="VGW21" s="19"/>
      <c r="VGX21" s="19"/>
      <c r="VGY21" s="19"/>
      <c r="VGZ21" s="19"/>
      <c r="VHA21" s="19"/>
      <c r="VHB21" s="19"/>
      <c r="VHC21" s="19"/>
      <c r="VHD21" s="19"/>
      <c r="VHE21" s="19"/>
      <c r="VHF21" s="19"/>
      <c r="VHG21" s="19"/>
      <c r="VHH21" s="19"/>
      <c r="VHI21" s="19"/>
      <c r="VHJ21" s="19"/>
      <c r="VHK21" s="19"/>
      <c r="VHL21" s="19"/>
      <c r="VHM21" s="19"/>
      <c r="VHN21" s="19"/>
      <c r="VHO21" s="19"/>
      <c r="VHP21" s="19"/>
      <c r="VHQ21" s="19"/>
      <c r="VHR21" s="19"/>
      <c r="VHS21" s="19"/>
      <c r="VHT21" s="19"/>
      <c r="VHU21" s="19"/>
      <c r="VHV21" s="19"/>
      <c r="VHW21" s="19"/>
      <c r="VHX21" s="19"/>
      <c r="VHY21" s="19"/>
      <c r="VHZ21" s="19"/>
      <c r="VIA21" s="19"/>
      <c r="VIB21" s="19"/>
      <c r="VIC21" s="19"/>
      <c r="VID21" s="19"/>
      <c r="VIE21" s="19"/>
      <c r="VIF21" s="19"/>
      <c r="VIG21" s="19"/>
      <c r="VIH21" s="19"/>
      <c r="VII21" s="19"/>
      <c r="VIJ21" s="19"/>
      <c r="VIK21" s="19"/>
      <c r="VIL21" s="19"/>
      <c r="VIM21" s="19"/>
      <c r="VIN21" s="19"/>
      <c r="VIO21" s="19"/>
      <c r="VIP21" s="19"/>
      <c r="VIQ21" s="19"/>
      <c r="VIR21" s="19"/>
      <c r="VIS21" s="19"/>
      <c r="VIT21" s="19"/>
      <c r="VIU21" s="19"/>
      <c r="VIV21" s="19"/>
      <c r="VIW21" s="19"/>
      <c r="VIX21" s="19"/>
      <c r="VIY21" s="19"/>
      <c r="VIZ21" s="19"/>
      <c r="VJA21" s="19"/>
      <c r="VJB21" s="19"/>
      <c r="VJC21" s="19"/>
      <c r="VJD21" s="19"/>
      <c r="VJE21" s="19"/>
      <c r="VJF21" s="19"/>
      <c r="VJG21" s="19"/>
      <c r="VJH21" s="19"/>
      <c r="VJI21" s="19"/>
      <c r="VJJ21" s="19"/>
      <c r="VJK21" s="19"/>
      <c r="VJL21" s="19"/>
      <c r="VJM21" s="19"/>
      <c r="VJN21" s="19"/>
      <c r="VJO21" s="19"/>
      <c r="VJP21" s="19"/>
      <c r="VJQ21" s="19"/>
      <c r="VJR21" s="19"/>
      <c r="VJS21" s="19"/>
      <c r="VJT21" s="19"/>
      <c r="VJU21" s="19"/>
      <c r="VJV21" s="19"/>
      <c r="VJW21" s="19"/>
      <c r="VJX21" s="19"/>
      <c r="VJY21" s="19"/>
      <c r="VJZ21" s="19"/>
      <c r="VKA21" s="19"/>
      <c r="VKB21" s="19"/>
      <c r="VKC21" s="19"/>
      <c r="VKD21" s="19"/>
      <c r="VKE21" s="19"/>
      <c r="VKF21" s="19"/>
      <c r="VKG21" s="19"/>
      <c r="VKH21" s="19"/>
      <c r="VKI21" s="19"/>
      <c r="VKJ21" s="19"/>
      <c r="VKK21" s="19"/>
      <c r="VKL21" s="19"/>
      <c r="VKM21" s="19"/>
      <c r="VKN21" s="19"/>
      <c r="VKO21" s="19"/>
      <c r="VKP21" s="19"/>
      <c r="VKQ21" s="19"/>
      <c r="VKR21" s="19"/>
      <c r="VKS21" s="19"/>
      <c r="VKT21" s="19"/>
      <c r="VKU21" s="19"/>
      <c r="VKV21" s="19"/>
      <c r="VKW21" s="19"/>
      <c r="VKX21" s="19"/>
      <c r="VKY21" s="19"/>
      <c r="VKZ21" s="19"/>
      <c r="VLA21" s="19"/>
      <c r="VLB21" s="19"/>
      <c r="VLC21" s="19"/>
      <c r="VLD21" s="19"/>
      <c r="VLE21" s="19"/>
      <c r="VLF21" s="19"/>
      <c r="VLG21" s="19"/>
      <c r="VLH21" s="19"/>
      <c r="VLI21" s="19"/>
      <c r="VLJ21" s="19"/>
      <c r="VLK21" s="19"/>
      <c r="VLL21" s="19"/>
      <c r="VLM21" s="19"/>
      <c r="VLN21" s="19"/>
      <c r="VLO21" s="19"/>
      <c r="VLP21" s="19"/>
      <c r="VLQ21" s="19"/>
      <c r="VLR21" s="19"/>
      <c r="VLS21" s="19"/>
      <c r="VLT21" s="19"/>
      <c r="VLU21" s="19"/>
      <c r="VLV21" s="19"/>
      <c r="VLW21" s="19"/>
      <c r="VLX21" s="19"/>
      <c r="VLY21" s="19"/>
      <c r="VLZ21" s="19"/>
      <c r="VMA21" s="19"/>
      <c r="VMB21" s="19"/>
      <c r="VMC21" s="19"/>
      <c r="VMD21" s="19"/>
      <c r="VME21" s="19"/>
      <c r="VMF21" s="19"/>
      <c r="VMG21" s="19"/>
      <c r="VMH21" s="19"/>
      <c r="VMI21" s="19"/>
      <c r="VMJ21" s="19"/>
      <c r="VMK21" s="19"/>
      <c r="VML21" s="19"/>
      <c r="VMM21" s="19"/>
      <c r="VMN21" s="19"/>
      <c r="VMO21" s="19"/>
      <c r="VMP21" s="19"/>
      <c r="VMQ21" s="19"/>
      <c r="VMR21" s="19"/>
      <c r="VMS21" s="19"/>
      <c r="VMT21" s="19"/>
      <c r="VMU21" s="19"/>
      <c r="VMV21" s="19"/>
      <c r="VMW21" s="19"/>
      <c r="VMX21" s="19"/>
      <c r="VMY21" s="19"/>
      <c r="VMZ21" s="19"/>
      <c r="VNA21" s="19"/>
      <c r="VNB21" s="19"/>
      <c r="VNC21" s="19"/>
      <c r="VND21" s="19"/>
      <c r="VNE21" s="19"/>
      <c r="VNF21" s="19"/>
      <c r="VNG21" s="19"/>
      <c r="VNH21" s="19"/>
      <c r="VNI21" s="19"/>
      <c r="VNJ21" s="19"/>
      <c r="VNK21" s="19"/>
      <c r="VNL21" s="19"/>
      <c r="VNM21" s="19"/>
      <c r="VNN21" s="19"/>
      <c r="VNO21" s="19"/>
      <c r="VNP21" s="19"/>
      <c r="VNQ21" s="19"/>
      <c r="VNR21" s="19"/>
      <c r="VNS21" s="19"/>
      <c r="VNT21" s="19"/>
      <c r="VNU21" s="19"/>
      <c r="VNV21" s="19"/>
      <c r="VNW21" s="19"/>
      <c r="VNX21" s="19"/>
      <c r="VNY21" s="19"/>
      <c r="VNZ21" s="19"/>
      <c r="VOA21" s="19"/>
      <c r="VOB21" s="19"/>
      <c r="VOC21" s="19"/>
      <c r="VOD21" s="19"/>
      <c r="VOE21" s="19"/>
      <c r="VOF21" s="19"/>
      <c r="VOG21" s="19"/>
      <c r="VOH21" s="19"/>
      <c r="VOI21" s="19"/>
      <c r="VOJ21" s="19"/>
      <c r="VOK21" s="19"/>
      <c r="VOL21" s="19"/>
      <c r="VOM21" s="19"/>
      <c r="VON21" s="19"/>
      <c r="VOO21" s="19"/>
      <c r="VOP21" s="19"/>
      <c r="VOQ21" s="19"/>
      <c r="VOR21" s="19"/>
      <c r="VOS21" s="19"/>
      <c r="VOT21" s="19"/>
      <c r="VOU21" s="19"/>
      <c r="VOV21" s="19"/>
      <c r="VOW21" s="19"/>
      <c r="VOX21" s="19"/>
      <c r="VOY21" s="19"/>
      <c r="VOZ21" s="19"/>
      <c r="VPA21" s="19"/>
      <c r="VPB21" s="19"/>
      <c r="VPC21" s="19"/>
      <c r="VPD21" s="19"/>
      <c r="VPE21" s="19"/>
      <c r="VPF21" s="19"/>
      <c r="VPG21" s="19"/>
      <c r="VPH21" s="19"/>
      <c r="VPI21" s="19"/>
      <c r="VPJ21" s="19"/>
      <c r="VPK21" s="19"/>
      <c r="VPL21" s="19"/>
      <c r="VPM21" s="19"/>
      <c r="VPN21" s="19"/>
      <c r="VPO21" s="19"/>
      <c r="VPP21" s="19"/>
      <c r="VPQ21" s="19"/>
      <c r="VPR21" s="19"/>
      <c r="VPS21" s="19"/>
      <c r="VPT21" s="19"/>
      <c r="VPU21" s="19"/>
      <c r="VPV21" s="19"/>
      <c r="VPW21" s="19"/>
      <c r="VPX21" s="19"/>
      <c r="VPY21" s="19"/>
      <c r="VPZ21" s="19"/>
      <c r="VQA21" s="19"/>
      <c r="VQB21" s="19"/>
      <c r="VQC21" s="19"/>
      <c r="VQD21" s="19"/>
      <c r="VQE21" s="19"/>
      <c r="VQF21" s="19"/>
      <c r="VQG21" s="19"/>
      <c r="VQH21" s="19"/>
      <c r="VQI21" s="19"/>
      <c r="VQJ21" s="19"/>
      <c r="VQK21" s="19"/>
      <c r="VQL21" s="19"/>
      <c r="VQM21" s="19"/>
      <c r="VQN21" s="19"/>
      <c r="VQO21" s="19"/>
      <c r="VQP21" s="19"/>
      <c r="VQQ21" s="19"/>
      <c r="VQR21" s="19"/>
      <c r="VQS21" s="19"/>
      <c r="VQT21" s="19"/>
      <c r="VQU21" s="19"/>
      <c r="VQV21" s="19"/>
      <c r="VQW21" s="19"/>
      <c r="VQX21" s="19"/>
      <c r="VQY21" s="19"/>
      <c r="VQZ21" s="19"/>
      <c r="VRA21" s="19"/>
      <c r="VRB21" s="19"/>
      <c r="VRC21" s="19"/>
      <c r="VRD21" s="19"/>
      <c r="VRE21" s="19"/>
      <c r="VRF21" s="19"/>
      <c r="VRG21" s="19"/>
      <c r="VRH21" s="19"/>
      <c r="VRI21" s="19"/>
      <c r="VRJ21" s="19"/>
      <c r="VRK21" s="19"/>
      <c r="VRL21" s="19"/>
      <c r="VRM21" s="19"/>
      <c r="VRN21" s="19"/>
      <c r="VRO21" s="19"/>
      <c r="VRP21" s="19"/>
      <c r="VRQ21" s="19"/>
      <c r="VRR21" s="19"/>
      <c r="VRS21" s="19"/>
      <c r="VRT21" s="19"/>
      <c r="VRU21" s="19"/>
      <c r="VRV21" s="19"/>
      <c r="VRW21" s="19"/>
      <c r="VRX21" s="19"/>
      <c r="VRY21" s="19"/>
      <c r="VRZ21" s="19"/>
      <c r="VSA21" s="19"/>
      <c r="VSB21" s="19"/>
      <c r="VSC21" s="19"/>
      <c r="VSD21" s="19"/>
      <c r="VSE21" s="19"/>
      <c r="VSF21" s="19"/>
      <c r="VSG21" s="19"/>
      <c r="VSH21" s="19"/>
      <c r="VSI21" s="19"/>
      <c r="VSJ21" s="19"/>
      <c r="VSK21" s="19"/>
      <c r="VSL21" s="19"/>
      <c r="VSM21" s="19"/>
      <c r="VSN21" s="19"/>
      <c r="VSO21" s="19"/>
      <c r="VSP21" s="19"/>
      <c r="VSQ21" s="19"/>
      <c r="VSR21" s="19"/>
      <c r="VSS21" s="19"/>
      <c r="VST21" s="19"/>
      <c r="VSU21" s="19"/>
      <c r="VSV21" s="19"/>
      <c r="VSW21" s="19"/>
      <c r="VSX21" s="19"/>
      <c r="VSY21" s="19"/>
      <c r="VSZ21" s="19"/>
      <c r="VTA21" s="19"/>
      <c r="VTB21" s="19"/>
      <c r="VTC21" s="19"/>
      <c r="VTD21" s="19"/>
      <c r="VTE21" s="19"/>
      <c r="VTF21" s="19"/>
      <c r="VTG21" s="19"/>
      <c r="VTH21" s="19"/>
      <c r="VTI21" s="19"/>
      <c r="VTJ21" s="19"/>
      <c r="VTK21" s="19"/>
      <c r="VTL21" s="19"/>
      <c r="VTM21" s="19"/>
      <c r="VTN21" s="19"/>
      <c r="VTO21" s="19"/>
      <c r="VTP21" s="19"/>
      <c r="VTQ21" s="19"/>
      <c r="VTR21" s="19"/>
      <c r="VTS21" s="19"/>
      <c r="VTT21" s="19"/>
      <c r="VTU21" s="19"/>
      <c r="VTV21" s="19"/>
      <c r="VTW21" s="19"/>
      <c r="VTX21" s="19"/>
      <c r="VTY21" s="19"/>
      <c r="VTZ21" s="19"/>
      <c r="VUA21" s="19"/>
      <c r="VUB21" s="19"/>
      <c r="VUC21" s="19"/>
      <c r="VUD21" s="19"/>
      <c r="VUE21" s="19"/>
      <c r="VUF21" s="19"/>
      <c r="VUG21" s="19"/>
      <c r="VUH21" s="19"/>
      <c r="VUI21" s="19"/>
      <c r="VUJ21" s="19"/>
      <c r="VUK21" s="19"/>
      <c r="VUL21" s="19"/>
      <c r="VUM21" s="19"/>
      <c r="VUN21" s="19"/>
      <c r="VUO21" s="19"/>
      <c r="VUP21" s="19"/>
      <c r="VUQ21" s="19"/>
      <c r="VUR21" s="19"/>
      <c r="VUS21" s="19"/>
      <c r="VUT21" s="19"/>
      <c r="VUU21" s="19"/>
      <c r="VUV21" s="19"/>
      <c r="VUW21" s="19"/>
      <c r="VUX21" s="19"/>
      <c r="VUY21" s="19"/>
      <c r="VUZ21" s="19"/>
      <c r="VVA21" s="19"/>
      <c r="VVB21" s="19"/>
      <c r="VVC21" s="19"/>
      <c r="VVD21" s="19"/>
      <c r="VVE21" s="19"/>
      <c r="VVF21" s="19"/>
      <c r="VVG21" s="19"/>
      <c r="VVH21" s="19"/>
      <c r="VVI21" s="19"/>
      <c r="VVJ21" s="19"/>
      <c r="VVK21" s="19"/>
      <c r="VVL21" s="19"/>
      <c r="VVM21" s="19"/>
      <c r="VVN21" s="19"/>
      <c r="VVO21" s="19"/>
      <c r="VVP21" s="19"/>
      <c r="VVQ21" s="19"/>
      <c r="VVR21" s="19"/>
      <c r="VVS21" s="19"/>
      <c r="VVT21" s="19"/>
      <c r="VVU21" s="19"/>
      <c r="VVV21" s="19"/>
      <c r="VVW21" s="19"/>
      <c r="VVX21" s="19"/>
      <c r="VVY21" s="19"/>
      <c r="VVZ21" s="19"/>
      <c r="VWA21" s="19"/>
      <c r="VWB21" s="19"/>
      <c r="VWC21" s="19"/>
      <c r="VWD21" s="19"/>
      <c r="VWE21" s="19"/>
      <c r="VWF21" s="19"/>
      <c r="VWG21" s="19"/>
      <c r="VWH21" s="19"/>
      <c r="VWI21" s="19"/>
      <c r="VWJ21" s="19"/>
      <c r="VWK21" s="19"/>
      <c r="VWL21" s="19"/>
      <c r="VWM21" s="19"/>
      <c r="VWN21" s="19"/>
      <c r="VWO21" s="19"/>
      <c r="VWP21" s="19"/>
      <c r="VWQ21" s="19"/>
      <c r="VWR21" s="19"/>
      <c r="VWS21" s="19"/>
      <c r="VWT21" s="19"/>
      <c r="VWU21" s="19"/>
      <c r="VWV21" s="19"/>
      <c r="VWW21" s="19"/>
      <c r="VWX21" s="19"/>
      <c r="VWY21" s="19"/>
      <c r="VWZ21" s="19"/>
      <c r="VXA21" s="19"/>
      <c r="VXB21" s="19"/>
      <c r="VXC21" s="19"/>
      <c r="VXD21" s="19"/>
      <c r="VXE21" s="19"/>
      <c r="VXF21" s="19"/>
      <c r="VXG21" s="19"/>
      <c r="VXH21" s="19"/>
      <c r="VXI21" s="19"/>
      <c r="VXJ21" s="19"/>
      <c r="VXK21" s="19"/>
      <c r="VXL21" s="19"/>
      <c r="VXM21" s="19"/>
      <c r="VXN21" s="19"/>
      <c r="VXO21" s="19"/>
      <c r="VXP21" s="19"/>
      <c r="VXQ21" s="19"/>
      <c r="VXR21" s="19"/>
      <c r="VXS21" s="19"/>
      <c r="VXT21" s="19"/>
      <c r="VXU21" s="19"/>
      <c r="VXV21" s="19"/>
      <c r="VXW21" s="19"/>
      <c r="VXX21" s="19"/>
      <c r="VXY21" s="19"/>
      <c r="VXZ21" s="19"/>
      <c r="VYA21" s="19"/>
      <c r="VYB21" s="19"/>
      <c r="VYC21" s="19"/>
      <c r="VYD21" s="19"/>
      <c r="VYE21" s="19"/>
      <c r="VYF21" s="19"/>
      <c r="VYG21" s="19"/>
      <c r="VYH21" s="19"/>
      <c r="VYI21" s="19"/>
      <c r="VYJ21" s="19"/>
      <c r="VYK21" s="19"/>
      <c r="VYL21" s="19"/>
      <c r="VYM21" s="19"/>
      <c r="VYN21" s="19"/>
      <c r="VYO21" s="19"/>
      <c r="VYP21" s="19"/>
      <c r="VYQ21" s="19"/>
      <c r="VYR21" s="19"/>
      <c r="VYS21" s="19"/>
      <c r="VYT21" s="19"/>
      <c r="VYU21" s="19"/>
      <c r="VYV21" s="19"/>
      <c r="VYW21" s="19"/>
      <c r="VYX21" s="19"/>
      <c r="VYY21" s="19"/>
      <c r="VYZ21" s="19"/>
      <c r="VZA21" s="19"/>
      <c r="VZB21" s="19"/>
      <c r="VZC21" s="19"/>
      <c r="VZD21" s="19"/>
      <c r="VZE21" s="19"/>
      <c r="VZF21" s="19"/>
      <c r="VZG21" s="19"/>
      <c r="VZH21" s="19"/>
      <c r="VZI21" s="19"/>
      <c r="VZJ21" s="19"/>
      <c r="VZK21" s="19"/>
      <c r="VZL21" s="19"/>
      <c r="VZM21" s="19"/>
      <c r="VZN21" s="19"/>
      <c r="VZO21" s="19"/>
      <c r="VZP21" s="19"/>
      <c r="VZQ21" s="19"/>
      <c r="VZR21" s="19"/>
      <c r="VZS21" s="19"/>
      <c r="VZT21" s="19"/>
      <c r="VZU21" s="19"/>
      <c r="VZV21" s="19"/>
      <c r="VZW21" s="19"/>
      <c r="VZX21" s="19"/>
      <c r="VZY21" s="19"/>
      <c r="VZZ21" s="19"/>
      <c r="WAA21" s="19"/>
      <c r="WAB21" s="19"/>
      <c r="WAC21" s="19"/>
      <c r="WAD21" s="19"/>
      <c r="WAE21" s="19"/>
      <c r="WAF21" s="19"/>
      <c r="WAG21" s="19"/>
      <c r="WAH21" s="19"/>
      <c r="WAI21" s="19"/>
      <c r="WAJ21" s="19"/>
      <c r="WAK21" s="19"/>
      <c r="WAL21" s="19"/>
      <c r="WAM21" s="19"/>
      <c r="WAN21" s="19"/>
      <c r="WAO21" s="19"/>
      <c r="WAP21" s="19"/>
      <c r="WAQ21" s="19"/>
      <c r="WAR21" s="19"/>
      <c r="WAS21" s="19"/>
      <c r="WAT21" s="19"/>
      <c r="WAU21" s="19"/>
      <c r="WAV21" s="19"/>
      <c r="WAW21" s="19"/>
      <c r="WAX21" s="19"/>
      <c r="WAY21" s="19"/>
      <c r="WAZ21" s="19"/>
      <c r="WBA21" s="19"/>
      <c r="WBB21" s="19"/>
      <c r="WBC21" s="19"/>
      <c r="WBD21" s="19"/>
      <c r="WBE21" s="19"/>
      <c r="WBF21" s="19"/>
      <c r="WBG21" s="19"/>
      <c r="WBH21" s="19"/>
      <c r="WBI21" s="19"/>
      <c r="WBJ21" s="19"/>
      <c r="WBK21" s="19"/>
      <c r="WBL21" s="19"/>
      <c r="WBM21" s="19"/>
      <c r="WBN21" s="19"/>
      <c r="WBO21" s="19"/>
      <c r="WBP21" s="19"/>
      <c r="WBQ21" s="19"/>
      <c r="WBR21" s="19"/>
      <c r="WBS21" s="19"/>
      <c r="WBT21" s="19"/>
      <c r="WBU21" s="19"/>
      <c r="WBV21" s="19"/>
      <c r="WBW21" s="19"/>
      <c r="WBX21" s="19"/>
      <c r="WBY21" s="19"/>
      <c r="WBZ21" s="19"/>
      <c r="WCA21" s="19"/>
      <c r="WCB21" s="19"/>
      <c r="WCC21" s="19"/>
      <c r="WCD21" s="19"/>
      <c r="WCE21" s="19"/>
      <c r="WCF21" s="19"/>
      <c r="WCG21" s="19"/>
      <c r="WCH21" s="19"/>
      <c r="WCI21" s="19"/>
      <c r="WCJ21" s="19"/>
      <c r="WCK21" s="19"/>
      <c r="WCL21" s="19"/>
      <c r="WCM21" s="19"/>
      <c r="WCN21" s="19"/>
      <c r="WCO21" s="19"/>
      <c r="WCP21" s="19"/>
      <c r="WCQ21" s="19"/>
      <c r="WCR21" s="19"/>
      <c r="WCS21" s="19"/>
      <c r="WCT21" s="19"/>
      <c r="WCU21" s="19"/>
      <c r="WCV21" s="19"/>
      <c r="WCW21" s="19"/>
      <c r="WCX21" s="19"/>
      <c r="WCY21" s="19"/>
      <c r="WCZ21" s="19"/>
      <c r="WDA21" s="19"/>
      <c r="WDB21" s="19"/>
      <c r="WDC21" s="19"/>
      <c r="WDD21" s="19"/>
      <c r="WDE21" s="19"/>
      <c r="WDF21" s="19"/>
      <c r="WDG21" s="19"/>
      <c r="WDH21" s="19"/>
      <c r="WDI21" s="19"/>
      <c r="WDJ21" s="19"/>
      <c r="WDK21" s="19"/>
      <c r="WDL21" s="19"/>
      <c r="WDM21" s="19"/>
      <c r="WDN21" s="19"/>
      <c r="WDO21" s="19"/>
      <c r="WDP21" s="19"/>
      <c r="WDQ21" s="19"/>
      <c r="WDR21" s="19"/>
      <c r="WDS21" s="19"/>
      <c r="WDT21" s="19"/>
      <c r="WDU21" s="19"/>
      <c r="WDV21" s="19"/>
      <c r="WDW21" s="19"/>
      <c r="WDX21" s="19"/>
      <c r="WDY21" s="19"/>
      <c r="WDZ21" s="19"/>
      <c r="WEA21" s="19"/>
      <c r="WEB21" s="19"/>
      <c r="WEC21" s="19"/>
      <c r="WED21" s="19"/>
      <c r="WEE21" s="19"/>
      <c r="WEF21" s="19"/>
      <c r="WEG21" s="19"/>
      <c r="WEH21" s="19"/>
      <c r="WEI21" s="19"/>
      <c r="WEJ21" s="19"/>
      <c r="WEK21" s="19"/>
      <c r="WEL21" s="19"/>
      <c r="WEM21" s="19"/>
      <c r="WEN21" s="19"/>
      <c r="WEO21" s="19"/>
      <c r="WEP21" s="19"/>
      <c r="WEQ21" s="19"/>
      <c r="WER21" s="19"/>
      <c r="WES21" s="19"/>
      <c r="WET21" s="19"/>
      <c r="WEU21" s="19"/>
      <c r="WEV21" s="19"/>
      <c r="WEW21" s="19"/>
      <c r="WEX21" s="19"/>
      <c r="WEY21" s="19"/>
      <c r="WEZ21" s="19"/>
      <c r="WFA21" s="19"/>
      <c r="WFB21" s="19"/>
      <c r="WFC21" s="19"/>
      <c r="WFD21" s="19"/>
      <c r="WFE21" s="19"/>
      <c r="WFF21" s="19"/>
      <c r="WFG21" s="19"/>
      <c r="WFH21" s="19"/>
      <c r="WFI21" s="19"/>
      <c r="WFJ21" s="19"/>
      <c r="WFK21" s="19"/>
      <c r="WFL21" s="19"/>
      <c r="WFM21" s="19"/>
      <c r="WFN21" s="19"/>
      <c r="WFO21" s="19"/>
      <c r="WFP21" s="19"/>
      <c r="WFQ21" s="19"/>
      <c r="WFR21" s="19"/>
      <c r="WFS21" s="19"/>
      <c r="WFT21" s="19"/>
      <c r="WFU21" s="19"/>
      <c r="WFV21" s="19"/>
      <c r="WFW21" s="19"/>
      <c r="WFX21" s="19"/>
      <c r="WFY21" s="19"/>
      <c r="WFZ21" s="19"/>
      <c r="WGA21" s="19"/>
      <c r="WGB21" s="19"/>
      <c r="WGC21" s="19"/>
      <c r="WGD21" s="19"/>
      <c r="WGE21" s="19"/>
      <c r="WGF21" s="19"/>
      <c r="WGG21" s="19"/>
      <c r="WGH21" s="19"/>
      <c r="WGI21" s="19"/>
      <c r="WGJ21" s="19"/>
      <c r="WGK21" s="19"/>
      <c r="WGL21" s="19"/>
      <c r="WGM21" s="19"/>
      <c r="WGN21" s="19"/>
      <c r="WGO21" s="19"/>
      <c r="WGP21" s="19"/>
      <c r="WGQ21" s="19"/>
      <c r="WGR21" s="19"/>
      <c r="WGS21" s="19"/>
      <c r="WGT21" s="19"/>
      <c r="WGU21" s="19"/>
      <c r="WGV21" s="19"/>
      <c r="WGW21" s="19"/>
      <c r="WGX21" s="19"/>
      <c r="WGY21" s="19"/>
      <c r="WGZ21" s="19"/>
      <c r="WHA21" s="19"/>
      <c r="WHB21" s="19"/>
      <c r="WHC21" s="19"/>
      <c r="WHD21" s="19"/>
      <c r="WHE21" s="19"/>
      <c r="WHF21" s="19"/>
      <c r="WHG21" s="19"/>
      <c r="WHH21" s="19"/>
      <c r="WHI21" s="19"/>
      <c r="WHJ21" s="19"/>
      <c r="WHK21" s="19"/>
      <c r="WHL21" s="19"/>
      <c r="WHM21" s="19"/>
      <c r="WHN21" s="19"/>
      <c r="WHO21" s="19"/>
      <c r="WHP21" s="19"/>
      <c r="WHQ21" s="19"/>
      <c r="WHR21" s="19"/>
      <c r="WHS21" s="19"/>
      <c r="WHT21" s="19"/>
      <c r="WHU21" s="19"/>
      <c r="WHV21" s="19"/>
      <c r="WHW21" s="19"/>
      <c r="WHX21" s="19"/>
      <c r="WHY21" s="19"/>
      <c r="WHZ21" s="19"/>
      <c r="WIA21" s="19"/>
      <c r="WIB21" s="19"/>
      <c r="WIC21" s="19"/>
      <c r="WID21" s="19"/>
      <c r="WIE21" s="19"/>
      <c r="WIF21" s="19"/>
      <c r="WIG21" s="19"/>
      <c r="WIH21" s="19"/>
      <c r="WII21" s="19"/>
      <c r="WIJ21" s="19"/>
      <c r="WIK21" s="19"/>
      <c r="WIL21" s="19"/>
      <c r="WIM21" s="19"/>
      <c r="WIN21" s="19"/>
      <c r="WIO21" s="19"/>
      <c r="WIP21" s="19"/>
      <c r="WIQ21" s="19"/>
      <c r="WIR21" s="19"/>
      <c r="WIS21" s="19"/>
      <c r="WIT21" s="19"/>
      <c r="WIU21" s="19"/>
      <c r="WIV21" s="19"/>
      <c r="WIW21" s="19"/>
      <c r="WIX21" s="19"/>
      <c r="WIY21" s="19"/>
      <c r="WIZ21" s="19"/>
      <c r="WJA21" s="19"/>
      <c r="WJB21" s="19"/>
      <c r="WJC21" s="19"/>
      <c r="WJD21" s="19"/>
      <c r="WJE21" s="19"/>
      <c r="WJF21" s="19"/>
      <c r="WJG21" s="19"/>
      <c r="WJH21" s="19"/>
      <c r="WJI21" s="19"/>
      <c r="WJJ21" s="19"/>
      <c r="WJK21" s="19"/>
      <c r="WJL21" s="19"/>
      <c r="WJM21" s="19"/>
      <c r="WJN21" s="19"/>
      <c r="WJO21" s="19"/>
      <c r="WJP21" s="19"/>
      <c r="WJQ21" s="19"/>
      <c r="WJR21" s="19"/>
      <c r="WJS21" s="19"/>
      <c r="WJT21" s="19"/>
      <c r="WJU21" s="19"/>
      <c r="WJV21" s="19"/>
      <c r="WJW21" s="19"/>
      <c r="WJX21" s="19"/>
      <c r="WJY21" s="19"/>
      <c r="WJZ21" s="19"/>
      <c r="WKA21" s="19"/>
      <c r="WKB21" s="19"/>
      <c r="WKC21" s="19"/>
      <c r="WKD21" s="19"/>
      <c r="WKE21" s="19"/>
      <c r="WKF21" s="19"/>
      <c r="WKG21" s="19"/>
      <c r="WKH21" s="19"/>
      <c r="WKI21" s="19"/>
      <c r="WKJ21" s="19"/>
      <c r="WKK21" s="19"/>
      <c r="WKL21" s="19"/>
      <c r="WKM21" s="19"/>
      <c r="WKN21" s="19"/>
      <c r="WKO21" s="19"/>
      <c r="WKP21" s="19"/>
      <c r="WKQ21" s="19"/>
      <c r="WKR21" s="19"/>
      <c r="WKS21" s="19"/>
      <c r="WKT21" s="19"/>
      <c r="WKU21" s="19"/>
      <c r="WKV21" s="19"/>
      <c r="WKW21" s="19"/>
      <c r="WKX21" s="19"/>
      <c r="WKY21" s="19"/>
      <c r="WKZ21" s="19"/>
      <c r="WLA21" s="19"/>
      <c r="WLB21" s="19"/>
      <c r="WLC21" s="19"/>
      <c r="WLD21" s="19"/>
      <c r="WLE21" s="19"/>
      <c r="WLF21" s="19"/>
      <c r="WLG21" s="19"/>
      <c r="WLH21" s="19"/>
      <c r="WLI21" s="19"/>
      <c r="WLJ21" s="19"/>
      <c r="WLK21" s="19"/>
      <c r="WLL21" s="19"/>
      <c r="WLM21" s="19"/>
      <c r="WLN21" s="19"/>
      <c r="WLO21" s="19"/>
      <c r="WLP21" s="19"/>
      <c r="WLQ21" s="19"/>
      <c r="WLR21" s="19"/>
      <c r="WLS21" s="19"/>
      <c r="WLT21" s="19"/>
      <c r="WLU21" s="19"/>
      <c r="WLV21" s="19"/>
      <c r="WLW21" s="19"/>
      <c r="WLX21" s="19"/>
      <c r="WLY21" s="19"/>
      <c r="WLZ21" s="19"/>
      <c r="WMA21" s="19"/>
      <c r="WMB21" s="19"/>
      <c r="WMC21" s="19"/>
      <c r="WMD21" s="19"/>
      <c r="WME21" s="19"/>
      <c r="WMF21" s="19"/>
      <c r="WMG21" s="19"/>
      <c r="WMH21" s="19"/>
      <c r="WMI21" s="19"/>
      <c r="WMJ21" s="19"/>
      <c r="WMK21" s="19"/>
      <c r="WML21" s="19"/>
      <c r="WMM21" s="19"/>
      <c r="WMN21" s="19"/>
      <c r="WMO21" s="19"/>
      <c r="WMP21" s="19"/>
      <c r="WMQ21" s="19"/>
      <c r="WMR21" s="19"/>
      <c r="WMS21" s="19"/>
      <c r="WMT21" s="19"/>
      <c r="WMU21" s="19"/>
      <c r="WMV21" s="19"/>
      <c r="WMW21" s="19"/>
      <c r="WMX21" s="19"/>
      <c r="WMY21" s="19"/>
      <c r="WMZ21" s="19"/>
      <c r="WNA21" s="19"/>
      <c r="WNB21" s="19"/>
      <c r="WNC21" s="19"/>
      <c r="WND21" s="19"/>
      <c r="WNE21" s="19"/>
      <c r="WNF21" s="19"/>
      <c r="WNG21" s="19"/>
      <c r="WNH21" s="19"/>
      <c r="WNI21" s="19"/>
      <c r="WNJ21" s="19"/>
      <c r="WNK21" s="19"/>
      <c r="WNL21" s="19"/>
      <c r="WNM21" s="19"/>
      <c r="WNN21" s="19"/>
      <c r="WNO21" s="19"/>
      <c r="WNP21" s="19"/>
      <c r="WNQ21" s="19"/>
      <c r="WNR21" s="19"/>
      <c r="WNS21" s="19"/>
      <c r="WNT21" s="19"/>
      <c r="WNU21" s="19"/>
      <c r="WNV21" s="19"/>
      <c r="WNW21" s="19"/>
      <c r="WNX21" s="19"/>
      <c r="WNY21" s="19"/>
      <c r="WNZ21" s="19"/>
      <c r="WOA21" s="19"/>
      <c r="WOB21" s="19"/>
      <c r="WOC21" s="19"/>
      <c r="WOD21" s="19"/>
      <c r="WOE21" s="19"/>
      <c r="WOF21" s="19"/>
      <c r="WOG21" s="19"/>
      <c r="WOH21" s="19"/>
      <c r="WOI21" s="19"/>
      <c r="WOJ21" s="19"/>
      <c r="WOK21" s="19"/>
      <c r="WOL21" s="19"/>
      <c r="WOM21" s="19"/>
      <c r="WON21" s="19"/>
      <c r="WOO21" s="19"/>
      <c r="WOP21" s="19"/>
      <c r="WOQ21" s="19"/>
      <c r="WOR21" s="19"/>
      <c r="WOS21" s="19"/>
      <c r="WOT21" s="19"/>
      <c r="WOU21" s="19"/>
      <c r="WOV21" s="19"/>
      <c r="WOW21" s="19"/>
      <c r="WOX21" s="19"/>
      <c r="WOY21" s="19"/>
      <c r="WOZ21" s="19"/>
      <c r="WPA21" s="19"/>
      <c r="WPB21" s="19"/>
      <c r="WPC21" s="19"/>
      <c r="WPD21" s="19"/>
      <c r="WPE21" s="19"/>
      <c r="WPF21" s="19"/>
      <c r="WPG21" s="19"/>
      <c r="WPH21" s="19"/>
      <c r="WPI21" s="19"/>
      <c r="WPJ21" s="19"/>
      <c r="WPK21" s="19"/>
      <c r="WPL21" s="19"/>
      <c r="WPM21" s="19"/>
      <c r="WPN21" s="19"/>
      <c r="WPO21" s="19"/>
      <c r="WPP21" s="19"/>
      <c r="WPQ21" s="19"/>
      <c r="WPR21" s="19"/>
      <c r="WPS21" s="19"/>
      <c r="WPT21" s="19"/>
      <c r="WPU21" s="19"/>
      <c r="WPV21" s="19"/>
      <c r="WPW21" s="19"/>
      <c r="WPX21" s="19"/>
      <c r="WPY21" s="19"/>
      <c r="WPZ21" s="19"/>
      <c r="WQA21" s="19"/>
      <c r="WQB21" s="19"/>
      <c r="WQC21" s="19"/>
      <c r="WQD21" s="19"/>
      <c r="WQE21" s="19"/>
      <c r="WQF21" s="19"/>
      <c r="WQG21" s="19"/>
      <c r="WQH21" s="19"/>
      <c r="WQI21" s="19"/>
      <c r="WQJ21" s="19"/>
      <c r="WQK21" s="19"/>
      <c r="WQL21" s="19"/>
      <c r="WQM21" s="19"/>
      <c r="WQN21" s="19"/>
      <c r="WQO21" s="19"/>
      <c r="WQP21" s="19"/>
      <c r="WQQ21" s="19"/>
      <c r="WQR21" s="19"/>
      <c r="WQS21" s="19"/>
      <c r="WQT21" s="19"/>
      <c r="WQU21" s="19"/>
      <c r="WQV21" s="19"/>
      <c r="WQW21" s="19"/>
      <c r="WQX21" s="19"/>
      <c r="WQY21" s="19"/>
      <c r="WQZ21" s="19"/>
      <c r="WRA21" s="19"/>
      <c r="WRB21" s="19"/>
      <c r="WRC21" s="19"/>
      <c r="WRD21" s="19"/>
      <c r="WRE21" s="19"/>
      <c r="WRF21" s="19"/>
      <c r="WRG21" s="19"/>
      <c r="WRH21" s="19"/>
      <c r="WRI21" s="19"/>
      <c r="WRJ21" s="19"/>
      <c r="WRK21" s="19"/>
      <c r="WRL21" s="19"/>
      <c r="WRM21" s="19"/>
      <c r="WRN21" s="19"/>
      <c r="WRO21" s="19"/>
      <c r="WRP21" s="19"/>
      <c r="WRQ21" s="19"/>
      <c r="WRR21" s="19"/>
      <c r="WRS21" s="19"/>
      <c r="WRT21" s="19"/>
      <c r="WRU21" s="19"/>
      <c r="WRV21" s="19"/>
      <c r="WRW21" s="19"/>
      <c r="WRX21" s="19"/>
      <c r="WRY21" s="19"/>
      <c r="WRZ21" s="19"/>
      <c r="WSA21" s="19"/>
      <c r="WSB21" s="19"/>
      <c r="WSC21" s="19"/>
      <c r="WSD21" s="19"/>
      <c r="WSE21" s="19"/>
      <c r="WSF21" s="19"/>
      <c r="WSG21" s="19"/>
      <c r="WSH21" s="19"/>
      <c r="WSI21" s="19"/>
      <c r="WSJ21" s="19"/>
      <c r="WSK21" s="19"/>
      <c r="WSL21" s="19"/>
      <c r="WSM21" s="19"/>
      <c r="WSN21" s="19"/>
      <c r="WSO21" s="19"/>
      <c r="WSP21" s="19"/>
      <c r="WSQ21" s="19"/>
      <c r="WSR21" s="19"/>
      <c r="WSS21" s="19"/>
      <c r="WST21" s="19"/>
      <c r="WSU21" s="19"/>
      <c r="WSV21" s="19"/>
      <c r="WSW21" s="19"/>
      <c r="WSX21" s="19"/>
      <c r="WSY21" s="19"/>
      <c r="WSZ21" s="19"/>
      <c r="WTA21" s="19"/>
      <c r="WTB21" s="19"/>
      <c r="WTC21" s="19"/>
      <c r="WTD21" s="19"/>
      <c r="WTE21" s="19"/>
      <c r="WTF21" s="19"/>
      <c r="WTG21" s="19"/>
      <c r="WTH21" s="19"/>
      <c r="WTI21" s="19"/>
      <c r="WTJ21" s="19"/>
      <c r="WTK21" s="19"/>
      <c r="WTL21" s="19"/>
      <c r="WTM21" s="19"/>
      <c r="WTN21" s="19"/>
      <c r="WTO21" s="19"/>
      <c r="WTP21" s="19"/>
      <c r="WTQ21" s="19"/>
      <c r="WTR21" s="19"/>
      <c r="WTS21" s="19"/>
      <c r="WTT21" s="19"/>
      <c r="WTU21" s="19"/>
      <c r="WTV21" s="19"/>
      <c r="WTW21" s="19"/>
      <c r="WTX21" s="19"/>
      <c r="WTY21" s="19"/>
      <c r="WTZ21" s="19"/>
      <c r="WUA21" s="19"/>
      <c r="WUB21" s="19"/>
      <c r="WUC21" s="19"/>
      <c r="WUD21" s="19"/>
      <c r="WUE21" s="19"/>
      <c r="WUF21" s="19"/>
      <c r="WUG21" s="19"/>
      <c r="WUH21" s="19"/>
      <c r="WUI21" s="19"/>
      <c r="WUJ21" s="19"/>
      <c r="WUK21" s="19"/>
      <c r="WUL21" s="19"/>
      <c r="WUM21" s="19"/>
      <c r="WUN21" s="19"/>
      <c r="WUO21" s="19"/>
      <c r="WUP21" s="19"/>
      <c r="WUQ21" s="19"/>
      <c r="WUR21" s="19"/>
      <c r="WUS21" s="19"/>
      <c r="WUT21" s="19"/>
      <c r="WUU21" s="19"/>
      <c r="WUV21" s="19"/>
      <c r="WUW21" s="19"/>
      <c r="WUX21" s="19"/>
      <c r="WUY21" s="19"/>
      <c r="WUZ21" s="19"/>
      <c r="WVA21" s="19"/>
      <c r="WVB21" s="19"/>
      <c r="WVC21" s="19"/>
      <c r="WVD21" s="19"/>
      <c r="WVE21" s="19"/>
      <c r="WVF21" s="19"/>
      <c r="WVG21" s="19"/>
      <c r="WVH21" s="19"/>
      <c r="WVI21" s="19"/>
      <c r="WVJ21" s="19"/>
      <c r="WVK21" s="19"/>
      <c r="WVL21" s="19"/>
      <c r="WVM21" s="19"/>
      <c r="WVN21" s="19"/>
      <c r="WVO21" s="19"/>
      <c r="WVP21" s="19"/>
      <c r="WVQ21" s="19"/>
      <c r="WVR21" s="19"/>
      <c r="WVS21" s="19"/>
      <c r="WVT21" s="19"/>
      <c r="WVU21" s="19"/>
      <c r="WVV21" s="19"/>
      <c r="WVW21" s="19"/>
      <c r="WVX21" s="19"/>
      <c r="WVY21" s="19"/>
      <c r="WVZ21" s="19"/>
      <c r="WWA21" s="19"/>
      <c r="WWB21" s="19"/>
      <c r="WWC21" s="19"/>
      <c r="WWD21" s="19"/>
      <c r="WWE21" s="19"/>
      <c r="WWF21" s="19"/>
      <c r="WWG21" s="19"/>
      <c r="WWH21" s="19"/>
      <c r="WWI21" s="19"/>
      <c r="WWJ21" s="19"/>
      <c r="WWK21" s="19"/>
      <c r="WWL21" s="19"/>
      <c r="WWM21" s="19"/>
      <c r="WWN21" s="19"/>
      <c r="WWO21" s="19"/>
      <c r="WWP21" s="19"/>
      <c r="WWQ21" s="19"/>
      <c r="WWR21" s="19"/>
      <c r="WWS21" s="19"/>
      <c r="WWT21" s="19"/>
      <c r="WWU21" s="19"/>
      <c r="WWV21" s="19"/>
      <c r="WWW21" s="19"/>
      <c r="WWX21" s="19"/>
      <c r="WWY21" s="19"/>
      <c r="WWZ21" s="19"/>
      <c r="WXA21" s="19"/>
      <c r="WXB21" s="19"/>
      <c r="WXC21" s="19"/>
      <c r="WXD21" s="19"/>
      <c r="WXE21" s="19"/>
      <c r="WXF21" s="19"/>
      <c r="WXG21" s="19"/>
      <c r="WXH21" s="19"/>
      <c r="WXI21" s="19"/>
      <c r="WXJ21" s="19"/>
      <c r="WXK21" s="19"/>
      <c r="WXL21" s="19"/>
      <c r="WXM21" s="19"/>
      <c r="WXN21" s="19"/>
      <c r="WXO21" s="19"/>
      <c r="WXP21" s="19"/>
      <c r="WXQ21" s="19"/>
      <c r="WXR21" s="19"/>
      <c r="WXS21" s="19"/>
      <c r="WXT21" s="19"/>
      <c r="WXU21" s="19"/>
      <c r="WXV21" s="19"/>
      <c r="WXW21" s="19"/>
      <c r="WXX21" s="19"/>
      <c r="WXY21" s="19"/>
      <c r="WXZ21" s="19"/>
      <c r="WYA21" s="19"/>
      <c r="WYB21" s="19"/>
      <c r="WYC21" s="19"/>
      <c r="WYD21" s="19"/>
      <c r="WYE21" s="19"/>
      <c r="WYF21" s="19"/>
      <c r="WYG21" s="19"/>
      <c r="WYH21" s="19"/>
      <c r="WYI21" s="19"/>
      <c r="WYJ21" s="19"/>
      <c r="WYK21" s="19"/>
      <c r="WYL21" s="19"/>
      <c r="WYM21" s="19"/>
      <c r="WYN21" s="19"/>
      <c r="WYO21" s="19"/>
      <c r="WYP21" s="19"/>
      <c r="WYQ21" s="19"/>
      <c r="WYR21" s="19"/>
      <c r="WYS21" s="19"/>
      <c r="WYT21" s="19"/>
      <c r="WYU21" s="19"/>
      <c r="WYV21" s="19"/>
      <c r="WYW21" s="19"/>
      <c r="WYX21" s="19"/>
      <c r="WYY21" s="19"/>
      <c r="WYZ21" s="19"/>
      <c r="WZA21" s="19"/>
      <c r="WZB21" s="19"/>
      <c r="WZC21" s="19"/>
      <c r="WZD21" s="19"/>
      <c r="WZE21" s="19"/>
      <c r="WZF21" s="19"/>
      <c r="WZG21" s="19"/>
      <c r="WZH21" s="19"/>
      <c r="WZI21" s="19"/>
      <c r="WZJ21" s="19"/>
      <c r="WZK21" s="19"/>
      <c r="WZL21" s="19"/>
      <c r="WZM21" s="19"/>
      <c r="WZN21" s="19"/>
      <c r="WZO21" s="19"/>
      <c r="WZP21" s="19"/>
      <c r="WZQ21" s="19"/>
      <c r="WZR21" s="19"/>
      <c r="WZS21" s="19"/>
      <c r="WZT21" s="19"/>
      <c r="WZU21" s="19"/>
      <c r="WZV21" s="19"/>
      <c r="WZW21" s="19"/>
      <c r="WZX21" s="19"/>
      <c r="WZY21" s="19"/>
      <c r="WZZ21" s="19"/>
      <c r="XAA21" s="19"/>
      <c r="XAB21" s="19"/>
      <c r="XAC21" s="19"/>
      <c r="XAD21" s="19"/>
      <c r="XAE21" s="19"/>
      <c r="XAF21" s="19"/>
      <c r="XAG21" s="19"/>
      <c r="XAH21" s="19"/>
      <c r="XAI21" s="19"/>
      <c r="XAJ21" s="19"/>
      <c r="XAK21" s="19"/>
      <c r="XAL21" s="19"/>
      <c r="XAM21" s="19"/>
      <c r="XAN21" s="19"/>
      <c r="XAO21" s="19"/>
      <c r="XAP21" s="19"/>
      <c r="XAQ21" s="19"/>
      <c r="XAR21" s="19"/>
      <c r="XAS21" s="19"/>
      <c r="XAT21" s="19"/>
      <c r="XAU21" s="19"/>
      <c r="XAV21" s="19"/>
      <c r="XAW21" s="19"/>
      <c r="XAX21" s="19"/>
      <c r="XAY21" s="19"/>
      <c r="XAZ21" s="19"/>
      <c r="XBA21" s="19"/>
      <c r="XBB21" s="19"/>
      <c r="XBC21" s="19"/>
      <c r="XBD21" s="19"/>
      <c r="XBE21" s="19"/>
      <c r="XBF21" s="19"/>
      <c r="XBG21" s="19"/>
      <c r="XBH21" s="19"/>
      <c r="XBI21" s="19"/>
      <c r="XBJ21" s="19"/>
      <c r="XBK21" s="19"/>
      <c r="XBL21" s="19"/>
      <c r="XBM21" s="19"/>
      <c r="XBN21" s="19"/>
      <c r="XBO21" s="19"/>
      <c r="XBP21" s="19"/>
      <c r="XBQ21" s="19"/>
      <c r="XBR21" s="19"/>
      <c r="XBS21" s="19"/>
      <c r="XBT21" s="19"/>
      <c r="XBU21" s="19"/>
      <c r="XBV21" s="19"/>
      <c r="XBW21" s="19"/>
      <c r="XBX21" s="19"/>
      <c r="XBY21" s="19"/>
      <c r="XBZ21" s="19"/>
      <c r="XCA21" s="19"/>
      <c r="XCB21" s="19"/>
      <c r="XCC21" s="19"/>
      <c r="XCD21" s="19"/>
      <c r="XCE21" s="19"/>
      <c r="XCF21" s="19"/>
      <c r="XCG21" s="19"/>
      <c r="XCH21" s="19"/>
      <c r="XCI21" s="19"/>
      <c r="XCJ21" s="19"/>
      <c r="XCU21" s="19"/>
      <c r="XCV21" s="19"/>
      <c r="XCW21" s="19"/>
      <c r="XCX21" s="19"/>
      <c r="XCY21" s="19"/>
      <c r="XCZ21" s="19"/>
      <c r="XDA21" s="19"/>
    </row>
    <row r="22" s="22" customFormat="1" ht="15" spans="1:1024 1025:16341">
      <c r="A22" s="41">
        <f>ROW()-3</f>
        <v>19</v>
      </c>
      <c r="B22" s="41" t="s">
        <v>58</v>
      </c>
      <c r="C22" s="41" t="s">
        <v>32</v>
      </c>
      <c r="D22" s="41" t="s">
        <v>22</v>
      </c>
      <c r="E22" s="41" t="s">
        <v>23</v>
      </c>
      <c r="F22" s="58" t="s">
        <v>55</v>
      </c>
      <c r="G22" s="41" t="s">
        <v>25</v>
      </c>
      <c r="H22" s="41" t="s">
        <v>26</v>
      </c>
      <c r="I22" s="58">
        <f>16*32*2</f>
        <v>1024</v>
      </c>
      <c r="J22" s="58">
        <f t="shared" ref="J22:J25" si="28">16*32*1</f>
        <v>512</v>
      </c>
      <c r="K22" s="41"/>
      <c r="L22" s="42">
        <f t="shared" ref="L22:N22" si="29">L3</f>
        <v>0</v>
      </c>
      <c r="M22" s="42">
        <f t="shared" si="29"/>
        <v>0</v>
      </c>
      <c r="N22" s="42">
        <f t="shared" si="29"/>
        <v>0</v>
      </c>
      <c r="O22" s="43">
        <f>I22*L22+J22*M22+K22*N22</f>
        <v>0</v>
      </c>
      <c r="P22" s="43">
        <f>套件!G5</f>
        <v>0</v>
      </c>
      <c r="Q22" s="50"/>
      <c r="R22" s="69">
        <f>Q22+P22+O22</f>
        <v>0</v>
      </c>
      <c r="S22" s="45">
        <f>R22+3.5</f>
        <v>3.5</v>
      </c>
      <c r="T22" s="58" t="s">
        <v>54</v>
      </c>
      <c r="U22" s="22" t="s">
        <v>57</v>
      </c>
    </row>
    <row r="23" s="22" customFormat="1" ht="15" spans="1:1024 1025:16341">
      <c r="A23" s="41">
        <f>ROW()-3</f>
        <v>20</v>
      </c>
      <c r="B23" s="41" t="s">
        <v>58</v>
      </c>
      <c r="C23" s="41" t="s">
        <v>34</v>
      </c>
      <c r="D23" s="41" t="s">
        <v>22</v>
      </c>
      <c r="E23" s="41" t="s">
        <v>23</v>
      </c>
      <c r="F23" s="58" t="s">
        <v>55</v>
      </c>
      <c r="G23" s="41" t="s">
        <v>25</v>
      </c>
      <c r="H23" s="41" t="s">
        <v>30</v>
      </c>
      <c r="I23" s="58">
        <f>16*32*2</f>
        <v>1024</v>
      </c>
      <c r="J23" s="58">
        <f t="shared" si="28"/>
        <v>512</v>
      </c>
      <c r="K23" s="58">
        <f>16*32*1</f>
        <v>512</v>
      </c>
      <c r="L23" s="42">
        <f>L22</f>
        <v>0</v>
      </c>
      <c r="M23" s="42">
        <f>M22</f>
        <v>0</v>
      </c>
      <c r="N23" s="42">
        <f>N22</f>
        <v>0</v>
      </c>
      <c r="O23" s="43">
        <f>I23*L23+J23*M23+K23*N23</f>
        <v>0</v>
      </c>
      <c r="P23" s="43">
        <f>P22</f>
        <v>0</v>
      </c>
      <c r="Q23" s="50"/>
      <c r="R23" s="69">
        <f>Q23+P23+O23</f>
        <v>0</v>
      </c>
      <c r="S23" s="45">
        <f>R23+3.5</f>
        <v>3.5</v>
      </c>
      <c r="T23" s="58" t="s">
        <v>54</v>
      </c>
      <c r="U23" s="22" t="s">
        <v>57</v>
      </c>
    </row>
    <row r="24" s="22" customFormat="1" ht="15" spans="1:1024 1025:16341">
      <c r="A24" s="41">
        <f>ROW()-3</f>
        <v>21</v>
      </c>
      <c r="B24" s="41" t="s">
        <v>58</v>
      </c>
      <c r="C24" s="41" t="s">
        <v>46</v>
      </c>
      <c r="D24" s="41" t="s">
        <v>22</v>
      </c>
      <c r="E24" s="41" t="s">
        <v>23</v>
      </c>
      <c r="F24" s="58" t="s">
        <v>55</v>
      </c>
      <c r="G24" s="41" t="s">
        <v>25</v>
      </c>
      <c r="H24" s="41" t="s">
        <v>26</v>
      </c>
      <c r="I24" s="58">
        <v>512</v>
      </c>
      <c r="J24" s="58">
        <f t="shared" si="28"/>
        <v>512</v>
      </c>
      <c r="K24" s="41"/>
      <c r="L24" s="42">
        <f>L23</f>
        <v>0</v>
      </c>
      <c r="M24" s="42">
        <f>M23</f>
        <v>0</v>
      </c>
      <c r="N24" s="42">
        <f>N23</f>
        <v>0</v>
      </c>
      <c r="O24" s="43">
        <f>I24*L24+J24*M24+K24*N24</f>
        <v>0</v>
      </c>
      <c r="P24" s="43">
        <f>P23</f>
        <v>0</v>
      </c>
      <c r="Q24" s="50"/>
      <c r="R24" s="69">
        <f>Q24+P24+O24</f>
        <v>0</v>
      </c>
      <c r="S24" s="45">
        <f>R24+3.5</f>
        <v>3.5</v>
      </c>
      <c r="T24" s="58" t="s">
        <v>54</v>
      </c>
      <c r="U24" s="22" t="s">
        <v>57</v>
      </c>
      <c r="V24" s="52"/>
    </row>
    <row r="25" s="22" customFormat="1" ht="15" spans="1:1024 1025:16341">
      <c r="A25" s="41">
        <f>ROW()-3</f>
        <v>22</v>
      </c>
      <c r="B25" s="41" t="s">
        <v>58</v>
      </c>
      <c r="C25" s="41" t="s">
        <v>39</v>
      </c>
      <c r="D25" s="41" t="s">
        <v>22</v>
      </c>
      <c r="E25" s="41" t="s">
        <v>23</v>
      </c>
      <c r="F25" s="58" t="s">
        <v>55</v>
      </c>
      <c r="G25" s="41" t="s">
        <v>25</v>
      </c>
      <c r="H25" s="41" t="s">
        <v>30</v>
      </c>
      <c r="I25" s="58">
        <f>16*32*1</f>
        <v>512</v>
      </c>
      <c r="J25" s="58">
        <f t="shared" si="28"/>
        <v>512</v>
      </c>
      <c r="K25" s="58">
        <f>16*32*1</f>
        <v>512</v>
      </c>
      <c r="L25" s="42">
        <f>L24</f>
        <v>0</v>
      </c>
      <c r="M25" s="42">
        <f>M24</f>
        <v>0</v>
      </c>
      <c r="N25" s="42">
        <f>N24</f>
        <v>0</v>
      </c>
      <c r="O25" s="43">
        <f>I25*L25+J25*M25+K25*N25</f>
        <v>0</v>
      </c>
      <c r="P25" s="43">
        <f>P24</f>
        <v>0</v>
      </c>
      <c r="Q25" s="50"/>
      <c r="R25" s="69">
        <f>Q25+P25+O25</f>
        <v>0</v>
      </c>
      <c r="S25" s="45">
        <f>R25+3.5</f>
        <v>3.5</v>
      </c>
      <c r="T25" s="58" t="s">
        <v>54</v>
      </c>
      <c r="U25" s="22" t="s">
        <v>57</v>
      </c>
    </row>
    <row r="26" s="22" customFormat="1" ht="27" customHeight="1" spans="1:1024 1025:16341">
      <c r="A26" s="71"/>
      <c r="B26" s="71"/>
      <c r="C26" s="71"/>
      <c r="D26" s="71"/>
      <c r="E26" s="71"/>
      <c r="F26" s="72"/>
      <c r="G26" s="71"/>
      <c r="H26" s="71"/>
      <c r="I26" s="72"/>
      <c r="J26" s="72"/>
      <c r="K26" s="72"/>
      <c r="L26" s="73"/>
      <c r="M26" s="73"/>
      <c r="N26" s="73"/>
      <c r="O26" s="74"/>
      <c r="P26" s="74"/>
      <c r="Q26" s="75"/>
      <c r="R26" s="76"/>
      <c r="S26" s="77"/>
      <c r="T26" s="72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  <c r="YR26" s="19"/>
      <c r="YS26" s="19"/>
      <c r="YT26" s="19"/>
      <c r="YU26" s="19"/>
      <c r="YV26" s="19"/>
      <c r="YW26" s="19"/>
      <c r="YX26" s="19"/>
      <c r="YY26" s="19"/>
      <c r="YZ26" s="19"/>
      <c r="ZA26" s="19"/>
      <c r="ZB26" s="19"/>
      <c r="ZC26" s="19"/>
      <c r="ZD26" s="19"/>
      <c r="ZE26" s="19"/>
      <c r="ZF26" s="19"/>
      <c r="ZG26" s="19"/>
      <c r="ZH26" s="19"/>
      <c r="ZI26" s="19"/>
      <c r="ZJ26" s="19"/>
      <c r="ZK26" s="19"/>
      <c r="ZL26" s="19"/>
      <c r="ZM26" s="19"/>
      <c r="ZN26" s="19"/>
      <c r="ZO26" s="19"/>
      <c r="ZP26" s="19"/>
      <c r="ZQ26" s="19"/>
      <c r="ZR26" s="19"/>
      <c r="ZS26" s="19"/>
      <c r="ZT26" s="19"/>
      <c r="ZU26" s="19"/>
      <c r="ZV26" s="19"/>
      <c r="ZW26" s="19"/>
      <c r="ZX26" s="19"/>
      <c r="ZY26" s="19"/>
      <c r="ZZ26" s="19"/>
      <c r="AAA26" s="19"/>
      <c r="AAB26" s="19"/>
      <c r="AAC26" s="19"/>
      <c r="AAD26" s="19"/>
      <c r="AAE26" s="19"/>
      <c r="AAF26" s="19"/>
      <c r="AAG26" s="19"/>
      <c r="AAH26" s="19"/>
      <c r="AAI26" s="19"/>
      <c r="AAJ26" s="19"/>
      <c r="AAK26" s="19"/>
      <c r="AAL26" s="19"/>
      <c r="AAM26" s="19"/>
      <c r="AAN26" s="19"/>
      <c r="AAO26" s="19"/>
      <c r="AAP26" s="19"/>
      <c r="AAQ26" s="19"/>
      <c r="AAR26" s="19"/>
      <c r="AAS26" s="19"/>
      <c r="AAT26" s="19"/>
      <c r="AAU26" s="19"/>
      <c r="AAV26" s="19"/>
      <c r="AAW26" s="19"/>
      <c r="AAX26" s="19"/>
      <c r="AAY26" s="19"/>
      <c r="AAZ26" s="19"/>
      <c r="ABA26" s="19"/>
      <c r="ABB26" s="19"/>
      <c r="ABC26" s="19"/>
      <c r="ABD26" s="19"/>
      <c r="ABE26" s="19"/>
      <c r="ABF26" s="19"/>
      <c r="ABG26" s="19"/>
      <c r="ABH26" s="19"/>
      <c r="ABI26" s="19"/>
      <c r="ABJ26" s="19"/>
      <c r="ABK26" s="19"/>
      <c r="ABL26" s="19"/>
      <c r="ABM26" s="19"/>
      <c r="ABN26" s="19"/>
      <c r="ABO26" s="19"/>
      <c r="ABP26" s="19"/>
      <c r="ABQ26" s="19"/>
      <c r="ABR26" s="19"/>
      <c r="ABS26" s="19"/>
      <c r="ABT26" s="19"/>
      <c r="ABU26" s="19"/>
      <c r="ABV26" s="19"/>
      <c r="ABW26" s="19"/>
      <c r="ABX26" s="19"/>
      <c r="ABY26" s="19"/>
      <c r="ABZ26" s="19"/>
      <c r="ACA26" s="19"/>
      <c r="ACB26" s="19"/>
      <c r="ACC26" s="19"/>
      <c r="ACD26" s="19"/>
      <c r="ACE26" s="19"/>
      <c r="ACF26" s="19"/>
      <c r="ACG26" s="19"/>
      <c r="ACH26" s="19"/>
      <c r="ACI26" s="19"/>
      <c r="ACJ26" s="19"/>
      <c r="ACK26" s="19"/>
      <c r="ACL26" s="19"/>
      <c r="ACM26" s="19"/>
      <c r="ACN26" s="19"/>
      <c r="ACO26" s="19"/>
      <c r="ACP26" s="19"/>
      <c r="ACQ26" s="19"/>
      <c r="ACR26" s="19"/>
      <c r="ACS26" s="19"/>
      <c r="ACT26" s="19"/>
      <c r="ACU26" s="19"/>
      <c r="ACV26" s="19"/>
      <c r="ACW26" s="19"/>
      <c r="ACX26" s="19"/>
      <c r="ACY26" s="19"/>
      <c r="ACZ26" s="19"/>
      <c r="ADA26" s="19"/>
      <c r="ADB26" s="19"/>
      <c r="ADC26" s="19"/>
      <c r="ADD26" s="19"/>
      <c r="ADE26" s="19"/>
      <c r="ADF26" s="19"/>
      <c r="ADG26" s="19"/>
      <c r="ADH26" s="19"/>
      <c r="ADI26" s="19"/>
      <c r="ADJ26" s="19"/>
      <c r="ADK26" s="19"/>
      <c r="ADL26" s="19"/>
      <c r="ADM26" s="19"/>
      <c r="ADN26" s="19"/>
      <c r="ADO26" s="19"/>
      <c r="ADP26" s="19"/>
      <c r="ADQ26" s="19"/>
      <c r="ADR26" s="19"/>
      <c r="ADS26" s="19"/>
      <c r="ADT26" s="19"/>
      <c r="ADU26" s="19"/>
      <c r="ADV26" s="19"/>
      <c r="ADW26" s="19"/>
      <c r="ADX26" s="19"/>
      <c r="ADY26" s="19"/>
      <c r="ADZ26" s="19"/>
      <c r="AEA26" s="19"/>
      <c r="AEB26" s="19"/>
      <c r="AEC26" s="19"/>
      <c r="AED26" s="19"/>
      <c r="AEE26" s="19"/>
      <c r="AEF26" s="19"/>
      <c r="AEG26" s="19"/>
      <c r="AEH26" s="19"/>
      <c r="AEI26" s="19"/>
      <c r="AEJ26" s="19"/>
      <c r="AEK26" s="19"/>
      <c r="AEL26" s="19"/>
      <c r="AEM26" s="19"/>
      <c r="AEN26" s="19"/>
      <c r="AEO26" s="19"/>
      <c r="AEP26" s="19"/>
      <c r="AEQ26" s="19"/>
      <c r="AER26" s="19"/>
      <c r="AES26" s="19"/>
      <c r="AET26" s="19"/>
      <c r="AEU26" s="19"/>
      <c r="AEV26" s="19"/>
      <c r="AEW26" s="19"/>
      <c r="AEX26" s="19"/>
      <c r="AEY26" s="19"/>
      <c r="AEZ26" s="19"/>
      <c r="AFA26" s="19"/>
      <c r="AFB26" s="19"/>
      <c r="AFC26" s="19"/>
      <c r="AFD26" s="19"/>
      <c r="AFE26" s="19"/>
      <c r="AFF26" s="19"/>
      <c r="AFG26" s="19"/>
      <c r="AFH26" s="19"/>
      <c r="AFI26" s="19"/>
      <c r="AFJ26" s="19"/>
      <c r="AFK26" s="19"/>
      <c r="AFL26" s="19"/>
      <c r="AFM26" s="19"/>
      <c r="AFN26" s="19"/>
      <c r="AFO26" s="19"/>
      <c r="AFP26" s="19"/>
      <c r="AFQ26" s="19"/>
      <c r="AFR26" s="19"/>
      <c r="AFS26" s="19"/>
      <c r="AFT26" s="19"/>
      <c r="AFU26" s="19"/>
      <c r="AFV26" s="19"/>
      <c r="AFW26" s="19"/>
      <c r="AFX26" s="19"/>
      <c r="AFY26" s="19"/>
      <c r="AFZ26" s="19"/>
      <c r="AGA26" s="19"/>
      <c r="AGB26" s="19"/>
      <c r="AGC26" s="19"/>
      <c r="AGD26" s="19"/>
      <c r="AGE26" s="19"/>
      <c r="AGF26" s="19"/>
      <c r="AGG26" s="19"/>
      <c r="AGH26" s="19"/>
      <c r="AGI26" s="19"/>
      <c r="AGJ26" s="19"/>
      <c r="AGK26" s="19"/>
      <c r="AGL26" s="19"/>
      <c r="AGM26" s="19"/>
      <c r="AGN26" s="19"/>
      <c r="AGO26" s="19"/>
      <c r="AGP26" s="19"/>
      <c r="AGQ26" s="19"/>
      <c r="AGR26" s="19"/>
      <c r="AGS26" s="19"/>
      <c r="AGT26" s="19"/>
      <c r="AGU26" s="19"/>
      <c r="AGV26" s="19"/>
      <c r="AGW26" s="19"/>
      <c r="AGX26" s="19"/>
      <c r="AGY26" s="19"/>
      <c r="AGZ26" s="19"/>
      <c r="AHA26" s="19"/>
      <c r="AHB26" s="19"/>
      <c r="AHC26" s="19"/>
      <c r="AHD26" s="19"/>
      <c r="AHE26" s="19"/>
      <c r="AHF26" s="19"/>
      <c r="AHG26" s="19"/>
      <c r="AHH26" s="19"/>
      <c r="AHI26" s="19"/>
      <c r="AHJ26" s="19"/>
      <c r="AHK26" s="19"/>
      <c r="AHL26" s="19"/>
      <c r="AHM26" s="19"/>
      <c r="AHN26" s="19"/>
      <c r="AHO26" s="19"/>
      <c r="AHP26" s="19"/>
      <c r="AHQ26" s="19"/>
      <c r="AHR26" s="19"/>
      <c r="AHS26" s="19"/>
      <c r="AHT26" s="19"/>
      <c r="AHU26" s="19"/>
      <c r="AHV26" s="19"/>
      <c r="AHW26" s="19"/>
      <c r="AHX26" s="19"/>
      <c r="AHY26" s="19"/>
      <c r="AHZ26" s="19"/>
      <c r="AIA26" s="19"/>
      <c r="AIB26" s="19"/>
      <c r="AIC26" s="19"/>
      <c r="AID26" s="19"/>
      <c r="AIE26" s="19"/>
      <c r="AIF26" s="19"/>
      <c r="AIG26" s="19"/>
      <c r="AIH26" s="19"/>
      <c r="AII26" s="19"/>
      <c r="AIJ26" s="19"/>
      <c r="AIK26" s="19"/>
      <c r="AIL26" s="19"/>
      <c r="AIM26" s="19"/>
      <c r="AIN26" s="19"/>
      <c r="AIO26" s="19"/>
      <c r="AIP26" s="19"/>
      <c r="AIQ26" s="19"/>
      <c r="AIR26" s="19"/>
      <c r="AIS26" s="19"/>
      <c r="AIT26" s="19"/>
      <c r="AIU26" s="19"/>
      <c r="AIV26" s="19"/>
      <c r="AIW26" s="19"/>
      <c r="AIX26" s="19"/>
      <c r="AIY26" s="19"/>
      <c r="AIZ26" s="19"/>
      <c r="AJA26" s="19"/>
      <c r="AJB26" s="19"/>
      <c r="AJC26" s="19"/>
      <c r="AJD26" s="19"/>
      <c r="AJE26" s="19"/>
      <c r="AJF26" s="19"/>
      <c r="AJG26" s="19"/>
      <c r="AJH26" s="19"/>
      <c r="AJI26" s="19"/>
      <c r="AJJ26" s="19"/>
      <c r="AJK26" s="19"/>
      <c r="AJL26" s="19"/>
      <c r="AJM26" s="19"/>
      <c r="AJN26" s="19"/>
      <c r="AJO26" s="19"/>
      <c r="AJP26" s="19"/>
      <c r="AJQ26" s="19"/>
      <c r="AJR26" s="19"/>
      <c r="AJS26" s="19"/>
      <c r="AJT26" s="19"/>
      <c r="AJU26" s="19"/>
      <c r="AJV26" s="19"/>
      <c r="AJW26" s="19"/>
      <c r="AJX26" s="19"/>
      <c r="AJY26" s="19"/>
      <c r="AJZ26" s="19"/>
      <c r="AKA26" s="19"/>
      <c r="AKB26" s="19"/>
      <c r="AKC26" s="19"/>
      <c r="AKD26" s="19"/>
      <c r="AKE26" s="19"/>
      <c r="AKF26" s="19"/>
      <c r="AKG26" s="19"/>
      <c r="AKH26" s="19"/>
      <c r="AKI26" s="19"/>
      <c r="AKJ26" s="19"/>
      <c r="AKK26" s="19"/>
      <c r="AKL26" s="19"/>
      <c r="AKM26" s="19"/>
      <c r="AKN26" s="19"/>
      <c r="AKO26" s="19"/>
      <c r="AKP26" s="19"/>
      <c r="AKQ26" s="19"/>
      <c r="AKR26" s="19"/>
      <c r="AKS26" s="19"/>
      <c r="AKT26" s="19"/>
      <c r="AKU26" s="19"/>
      <c r="AKV26" s="19"/>
      <c r="AKW26" s="19"/>
      <c r="AKX26" s="19"/>
      <c r="AKY26" s="19"/>
      <c r="AKZ26" s="19"/>
      <c r="ALA26" s="19"/>
      <c r="ALB26" s="19"/>
      <c r="ALC26" s="19"/>
      <c r="ALD26" s="19"/>
      <c r="ALE26" s="19"/>
      <c r="ALF26" s="19"/>
      <c r="ALG26" s="19"/>
      <c r="ALH26" s="19"/>
      <c r="ALI26" s="19"/>
      <c r="ALJ26" s="19"/>
      <c r="ALK26" s="19"/>
      <c r="ALL26" s="19"/>
      <c r="ALM26" s="19"/>
      <c r="ALN26" s="19"/>
      <c r="ALO26" s="19"/>
      <c r="ALP26" s="19"/>
      <c r="ALQ26" s="19"/>
      <c r="ALR26" s="19"/>
      <c r="ALS26" s="19"/>
      <c r="ALT26" s="19"/>
      <c r="ALU26" s="19"/>
      <c r="ALV26" s="19"/>
      <c r="ALW26" s="19"/>
      <c r="ALX26" s="19"/>
      <c r="ALY26" s="19"/>
      <c r="ALZ26" s="19"/>
      <c r="AMA26" s="19"/>
      <c r="AMB26" s="19"/>
      <c r="AMC26" s="19"/>
      <c r="AMD26" s="19"/>
      <c r="AME26" s="19"/>
      <c r="AMF26" s="19"/>
      <c r="AMG26" s="19"/>
      <c r="AMH26" s="19"/>
      <c r="AMI26" s="19"/>
      <c r="AMJ26" s="19"/>
      <c r="AMK26" s="19"/>
      <c r="AML26" s="19"/>
      <c r="AMM26" s="19"/>
      <c r="AMN26" s="19"/>
      <c r="AMO26" s="19"/>
      <c r="AMP26" s="19"/>
      <c r="AMQ26" s="19"/>
      <c r="AMR26" s="19"/>
      <c r="AMS26" s="19"/>
      <c r="AMT26" s="19"/>
      <c r="AMU26" s="19"/>
      <c r="AMV26" s="19"/>
      <c r="AMW26" s="19"/>
      <c r="AMX26" s="19"/>
      <c r="AMY26" s="19"/>
      <c r="AMZ26" s="19"/>
      <c r="ANA26" s="19"/>
      <c r="ANB26" s="19"/>
      <c r="ANC26" s="19"/>
      <c r="AND26" s="19"/>
      <c r="ANE26" s="19"/>
      <c r="ANF26" s="19"/>
      <c r="ANG26" s="19"/>
      <c r="ANH26" s="19"/>
      <c r="ANI26" s="19"/>
      <c r="ANJ26" s="19"/>
      <c r="ANK26" s="19"/>
      <c r="ANL26" s="19"/>
      <c r="ANM26" s="19"/>
      <c r="ANN26" s="19"/>
      <c r="ANO26" s="19"/>
      <c r="ANP26" s="19"/>
      <c r="ANQ26" s="19"/>
      <c r="ANR26" s="19"/>
      <c r="ANS26" s="19"/>
      <c r="ANT26" s="19"/>
      <c r="ANU26" s="19"/>
      <c r="ANV26" s="19"/>
      <c r="ANW26" s="19"/>
      <c r="ANX26" s="19"/>
      <c r="ANY26" s="19"/>
      <c r="ANZ26" s="19"/>
      <c r="AOA26" s="19"/>
      <c r="AOB26" s="19"/>
      <c r="AOC26" s="19"/>
      <c r="AOD26" s="19"/>
      <c r="AOE26" s="19"/>
      <c r="AOF26" s="19"/>
      <c r="AOG26" s="19"/>
      <c r="AOH26" s="19"/>
      <c r="AOI26" s="19"/>
      <c r="AOJ26" s="19"/>
      <c r="AOK26" s="19"/>
      <c r="AOL26" s="19"/>
      <c r="AOM26" s="19"/>
      <c r="AON26" s="19"/>
      <c r="AOO26" s="19"/>
      <c r="AOP26" s="19"/>
      <c r="AOQ26" s="19"/>
      <c r="AOR26" s="19"/>
      <c r="AOS26" s="19"/>
      <c r="AOT26" s="19"/>
      <c r="AOU26" s="19"/>
      <c r="AOV26" s="19"/>
      <c r="AOW26" s="19"/>
      <c r="AOX26" s="19"/>
      <c r="AOY26" s="19"/>
      <c r="AOZ26" s="19"/>
      <c r="APA26" s="19"/>
      <c r="APB26" s="19"/>
      <c r="APC26" s="19"/>
      <c r="APD26" s="19"/>
      <c r="APE26" s="19"/>
      <c r="APF26" s="19"/>
      <c r="APG26" s="19"/>
      <c r="APH26" s="19"/>
      <c r="API26" s="19"/>
      <c r="APJ26" s="19"/>
      <c r="APK26" s="19"/>
      <c r="APL26" s="19"/>
      <c r="APM26" s="19"/>
      <c r="APN26" s="19"/>
      <c r="APO26" s="19"/>
      <c r="APP26" s="19"/>
      <c r="APQ26" s="19"/>
      <c r="APR26" s="19"/>
      <c r="APS26" s="19"/>
      <c r="APT26" s="19"/>
      <c r="APU26" s="19"/>
      <c r="APV26" s="19"/>
      <c r="APW26" s="19"/>
      <c r="APX26" s="19"/>
      <c r="APY26" s="19"/>
      <c r="APZ26" s="19"/>
      <c r="AQA26" s="19"/>
      <c r="AQB26" s="19"/>
      <c r="AQC26" s="19"/>
      <c r="AQD26" s="19"/>
      <c r="AQE26" s="19"/>
      <c r="AQF26" s="19"/>
      <c r="AQG26" s="19"/>
      <c r="AQH26" s="19"/>
      <c r="AQI26" s="19"/>
      <c r="AQJ26" s="19"/>
      <c r="AQK26" s="19"/>
      <c r="AQL26" s="19"/>
      <c r="AQM26" s="19"/>
      <c r="AQN26" s="19"/>
      <c r="AQO26" s="19"/>
      <c r="AQP26" s="19"/>
      <c r="AQQ26" s="19"/>
      <c r="AQR26" s="19"/>
      <c r="AQS26" s="19"/>
      <c r="AQT26" s="19"/>
      <c r="AQU26" s="19"/>
      <c r="AQV26" s="19"/>
      <c r="AQW26" s="19"/>
      <c r="AQX26" s="19"/>
      <c r="AQY26" s="19"/>
      <c r="AQZ26" s="19"/>
      <c r="ARA26" s="19"/>
      <c r="ARB26" s="19"/>
      <c r="ARC26" s="19"/>
      <c r="ARD26" s="19"/>
      <c r="ARE26" s="19"/>
      <c r="ARF26" s="19"/>
      <c r="ARG26" s="19"/>
      <c r="ARH26" s="19"/>
      <c r="ARI26" s="19"/>
      <c r="ARJ26" s="19"/>
      <c r="ARK26" s="19"/>
      <c r="ARL26" s="19"/>
      <c r="ARM26" s="19"/>
      <c r="ARN26" s="19"/>
      <c r="ARO26" s="19"/>
      <c r="ARP26" s="19"/>
      <c r="ARQ26" s="19"/>
      <c r="ARR26" s="19"/>
      <c r="ARS26" s="19"/>
      <c r="ART26" s="19"/>
      <c r="ARU26" s="19"/>
      <c r="ARV26" s="19"/>
      <c r="ARW26" s="19"/>
      <c r="ARX26" s="19"/>
      <c r="ARY26" s="19"/>
      <c r="ARZ26" s="19"/>
      <c r="ASA26" s="19"/>
      <c r="ASB26" s="19"/>
      <c r="ASC26" s="19"/>
      <c r="ASD26" s="19"/>
      <c r="ASE26" s="19"/>
      <c r="ASF26" s="19"/>
      <c r="ASG26" s="19"/>
      <c r="ASH26" s="19"/>
      <c r="ASI26" s="19"/>
      <c r="ASJ26" s="19"/>
      <c r="ASK26" s="19"/>
      <c r="ASL26" s="19"/>
      <c r="ASM26" s="19"/>
      <c r="ASN26" s="19"/>
      <c r="ASO26" s="19"/>
      <c r="ASP26" s="19"/>
      <c r="ASQ26" s="19"/>
      <c r="ASR26" s="19"/>
      <c r="ASS26" s="19"/>
      <c r="AST26" s="19"/>
      <c r="ASU26" s="19"/>
      <c r="ASV26" s="19"/>
      <c r="ASW26" s="19"/>
      <c r="ASX26" s="19"/>
      <c r="ASY26" s="19"/>
      <c r="ASZ26" s="19"/>
      <c r="ATA26" s="19"/>
      <c r="ATB26" s="19"/>
      <c r="ATC26" s="19"/>
      <c r="ATD26" s="19"/>
      <c r="ATE26" s="19"/>
      <c r="ATF26" s="19"/>
      <c r="ATG26" s="19"/>
      <c r="ATH26" s="19"/>
      <c r="ATI26" s="19"/>
      <c r="ATJ26" s="19"/>
      <c r="ATK26" s="19"/>
      <c r="ATL26" s="19"/>
      <c r="ATM26" s="19"/>
      <c r="ATN26" s="19"/>
      <c r="ATO26" s="19"/>
      <c r="ATP26" s="19"/>
      <c r="ATQ26" s="19"/>
      <c r="ATR26" s="19"/>
      <c r="ATS26" s="19"/>
      <c r="ATT26" s="19"/>
      <c r="ATU26" s="19"/>
      <c r="ATV26" s="19"/>
      <c r="ATW26" s="19"/>
      <c r="ATX26" s="19"/>
      <c r="ATY26" s="19"/>
      <c r="ATZ26" s="19"/>
      <c r="AUA26" s="19"/>
      <c r="AUB26" s="19"/>
      <c r="AUC26" s="19"/>
      <c r="AUD26" s="19"/>
      <c r="AUE26" s="19"/>
      <c r="AUF26" s="19"/>
      <c r="AUG26" s="19"/>
      <c r="AUH26" s="19"/>
      <c r="AUI26" s="19"/>
      <c r="AUJ26" s="19"/>
      <c r="AUK26" s="19"/>
      <c r="AUL26" s="19"/>
      <c r="AUM26" s="19"/>
      <c r="AUN26" s="19"/>
      <c r="AUO26" s="19"/>
      <c r="AUP26" s="19"/>
      <c r="AUQ26" s="19"/>
      <c r="AUR26" s="19"/>
      <c r="AUS26" s="19"/>
      <c r="AUT26" s="19"/>
      <c r="AUU26" s="19"/>
      <c r="AUV26" s="19"/>
      <c r="AUW26" s="19"/>
      <c r="AUX26" s="19"/>
      <c r="AUY26" s="19"/>
      <c r="AUZ26" s="19"/>
      <c r="AVA26" s="19"/>
      <c r="AVB26" s="19"/>
      <c r="AVC26" s="19"/>
      <c r="AVD26" s="19"/>
      <c r="AVE26" s="19"/>
      <c r="AVF26" s="19"/>
      <c r="AVG26" s="19"/>
      <c r="AVH26" s="19"/>
      <c r="AVI26" s="19"/>
      <c r="AVJ26" s="19"/>
      <c r="AVK26" s="19"/>
      <c r="AVL26" s="19"/>
      <c r="AVM26" s="19"/>
      <c r="AVN26" s="19"/>
      <c r="AVO26" s="19"/>
      <c r="AVP26" s="19"/>
      <c r="AVQ26" s="19"/>
      <c r="AVR26" s="19"/>
      <c r="AVS26" s="19"/>
      <c r="AVT26" s="19"/>
      <c r="AVU26" s="19"/>
      <c r="AVV26" s="19"/>
      <c r="AVW26" s="19"/>
      <c r="AVX26" s="19"/>
      <c r="AVY26" s="19"/>
      <c r="AVZ26" s="19"/>
      <c r="AWA26" s="19"/>
      <c r="AWB26" s="19"/>
      <c r="AWC26" s="19"/>
      <c r="AWD26" s="19"/>
      <c r="AWE26" s="19"/>
      <c r="AWF26" s="19"/>
      <c r="AWG26" s="19"/>
      <c r="AWH26" s="19"/>
      <c r="AWI26" s="19"/>
      <c r="AWJ26" s="19"/>
      <c r="AWK26" s="19"/>
      <c r="AWL26" s="19"/>
      <c r="AWM26" s="19"/>
      <c r="AWN26" s="19"/>
      <c r="AWO26" s="19"/>
      <c r="AWP26" s="19"/>
      <c r="AWQ26" s="19"/>
      <c r="AWR26" s="19"/>
      <c r="AWS26" s="19"/>
      <c r="AWT26" s="19"/>
      <c r="AWU26" s="19"/>
      <c r="AWV26" s="19"/>
      <c r="AWW26" s="19"/>
      <c r="AWX26" s="19"/>
      <c r="AWY26" s="19"/>
      <c r="AWZ26" s="19"/>
      <c r="AXA26" s="19"/>
      <c r="AXB26" s="19"/>
      <c r="AXC26" s="19"/>
      <c r="AXD26" s="19"/>
      <c r="AXE26" s="19"/>
      <c r="AXF26" s="19"/>
      <c r="AXG26" s="19"/>
      <c r="AXH26" s="19"/>
      <c r="AXI26" s="19"/>
      <c r="AXJ26" s="19"/>
      <c r="AXK26" s="19"/>
      <c r="AXL26" s="19"/>
      <c r="AXM26" s="19"/>
      <c r="AXN26" s="19"/>
      <c r="AXO26" s="19"/>
      <c r="AXP26" s="19"/>
      <c r="AXQ26" s="19"/>
      <c r="AXR26" s="19"/>
      <c r="AXS26" s="19"/>
      <c r="AXT26" s="19"/>
      <c r="AXU26" s="19"/>
      <c r="AXV26" s="19"/>
      <c r="AXW26" s="19"/>
      <c r="AXX26" s="19"/>
      <c r="AXY26" s="19"/>
      <c r="AXZ26" s="19"/>
      <c r="AYA26" s="19"/>
      <c r="AYB26" s="19"/>
      <c r="AYC26" s="19"/>
      <c r="AYD26" s="19"/>
      <c r="AYE26" s="19"/>
      <c r="AYF26" s="19"/>
      <c r="AYG26" s="19"/>
      <c r="AYH26" s="19"/>
      <c r="AYI26" s="19"/>
      <c r="AYJ26" s="19"/>
      <c r="AYK26" s="19"/>
      <c r="AYL26" s="19"/>
      <c r="AYM26" s="19"/>
      <c r="AYN26" s="19"/>
      <c r="AYO26" s="19"/>
      <c r="AYP26" s="19"/>
      <c r="AYQ26" s="19"/>
      <c r="AYR26" s="19"/>
      <c r="AYS26" s="19"/>
      <c r="AYT26" s="19"/>
      <c r="AYU26" s="19"/>
      <c r="AYV26" s="19"/>
      <c r="AYW26" s="19"/>
      <c r="AYX26" s="19"/>
      <c r="AYY26" s="19"/>
      <c r="AYZ26" s="19"/>
      <c r="AZA26" s="19"/>
      <c r="AZB26" s="19"/>
      <c r="AZC26" s="19"/>
      <c r="AZD26" s="19"/>
      <c r="AZE26" s="19"/>
      <c r="AZF26" s="19"/>
      <c r="AZG26" s="19"/>
      <c r="AZH26" s="19"/>
      <c r="AZI26" s="19"/>
      <c r="AZJ26" s="19"/>
      <c r="AZK26" s="19"/>
      <c r="AZL26" s="19"/>
      <c r="AZM26" s="19"/>
      <c r="AZN26" s="19"/>
      <c r="AZO26" s="19"/>
      <c r="AZP26" s="19"/>
      <c r="AZQ26" s="19"/>
      <c r="AZR26" s="19"/>
      <c r="AZS26" s="19"/>
      <c r="AZT26" s="19"/>
      <c r="AZU26" s="19"/>
      <c r="AZV26" s="19"/>
      <c r="AZW26" s="19"/>
      <c r="AZX26" s="19"/>
      <c r="AZY26" s="19"/>
      <c r="AZZ26" s="19"/>
      <c r="BAA26" s="19"/>
      <c r="BAB26" s="19"/>
      <c r="BAC26" s="19"/>
      <c r="BAD26" s="19"/>
      <c r="BAE26" s="19"/>
      <c r="BAF26" s="19"/>
      <c r="BAG26" s="19"/>
      <c r="BAH26" s="19"/>
      <c r="BAI26" s="19"/>
      <c r="BAJ26" s="19"/>
      <c r="BAK26" s="19"/>
      <c r="BAL26" s="19"/>
      <c r="BAM26" s="19"/>
      <c r="BAN26" s="19"/>
      <c r="BAO26" s="19"/>
      <c r="BAP26" s="19"/>
      <c r="BAQ26" s="19"/>
      <c r="BAR26" s="19"/>
      <c r="BAS26" s="19"/>
      <c r="BAT26" s="19"/>
      <c r="BAU26" s="19"/>
      <c r="BAV26" s="19"/>
      <c r="BAW26" s="19"/>
      <c r="BAX26" s="19"/>
      <c r="BAY26" s="19"/>
      <c r="BAZ26" s="19"/>
      <c r="BBA26" s="19"/>
      <c r="BBB26" s="19"/>
      <c r="BBC26" s="19"/>
      <c r="BBD26" s="19"/>
      <c r="BBE26" s="19"/>
      <c r="BBF26" s="19"/>
      <c r="BBG26" s="19"/>
      <c r="BBH26" s="19"/>
      <c r="BBI26" s="19"/>
      <c r="BBJ26" s="19"/>
      <c r="BBK26" s="19"/>
      <c r="BBL26" s="19"/>
      <c r="BBM26" s="19"/>
      <c r="BBN26" s="19"/>
      <c r="BBO26" s="19"/>
      <c r="BBP26" s="19"/>
      <c r="BBQ26" s="19"/>
      <c r="BBR26" s="19"/>
      <c r="BBS26" s="19"/>
      <c r="BBT26" s="19"/>
      <c r="BBU26" s="19"/>
      <c r="BBV26" s="19"/>
      <c r="BBW26" s="19"/>
      <c r="BBX26" s="19"/>
      <c r="BBY26" s="19"/>
      <c r="BBZ26" s="19"/>
      <c r="BCA26" s="19"/>
      <c r="BCB26" s="19"/>
      <c r="BCC26" s="19"/>
      <c r="BCD26" s="19"/>
      <c r="BCE26" s="19"/>
      <c r="BCF26" s="19"/>
      <c r="BCG26" s="19"/>
      <c r="BCH26" s="19"/>
      <c r="BCI26" s="19"/>
      <c r="BCJ26" s="19"/>
      <c r="BCK26" s="19"/>
      <c r="BCL26" s="19"/>
      <c r="BCM26" s="19"/>
      <c r="BCN26" s="19"/>
      <c r="BCO26" s="19"/>
      <c r="BCP26" s="19"/>
      <c r="BCQ26" s="19"/>
      <c r="BCR26" s="19"/>
      <c r="BCS26" s="19"/>
      <c r="BCT26" s="19"/>
      <c r="BCU26" s="19"/>
      <c r="BCV26" s="19"/>
      <c r="BCW26" s="19"/>
      <c r="BCX26" s="19"/>
      <c r="BCY26" s="19"/>
      <c r="BCZ26" s="19"/>
      <c r="BDA26" s="19"/>
      <c r="BDB26" s="19"/>
      <c r="BDC26" s="19"/>
      <c r="BDD26" s="19"/>
      <c r="BDE26" s="19"/>
      <c r="BDF26" s="19"/>
      <c r="BDG26" s="19"/>
      <c r="BDH26" s="19"/>
      <c r="BDI26" s="19"/>
      <c r="BDJ26" s="19"/>
      <c r="BDK26" s="19"/>
      <c r="BDL26" s="19"/>
      <c r="BDM26" s="19"/>
      <c r="BDN26" s="19"/>
      <c r="BDO26" s="19"/>
      <c r="BDP26" s="19"/>
      <c r="BDQ26" s="19"/>
      <c r="BDR26" s="19"/>
      <c r="BDS26" s="19"/>
      <c r="BDT26" s="19"/>
      <c r="BDU26" s="19"/>
      <c r="BDV26" s="19"/>
      <c r="BDW26" s="19"/>
      <c r="BDX26" s="19"/>
      <c r="BDY26" s="19"/>
      <c r="BDZ26" s="19"/>
      <c r="BEA26" s="19"/>
      <c r="BEB26" s="19"/>
      <c r="BEC26" s="19"/>
      <c r="BED26" s="19"/>
      <c r="BEE26" s="19"/>
      <c r="BEF26" s="19"/>
      <c r="BEG26" s="19"/>
      <c r="BEH26" s="19"/>
      <c r="BEI26" s="19"/>
      <c r="BEJ26" s="19"/>
      <c r="BEK26" s="19"/>
      <c r="BEL26" s="19"/>
      <c r="BEM26" s="19"/>
      <c r="BEN26" s="19"/>
      <c r="BEO26" s="19"/>
      <c r="BEP26" s="19"/>
      <c r="BEQ26" s="19"/>
      <c r="BER26" s="19"/>
      <c r="BES26" s="19"/>
      <c r="BET26" s="19"/>
      <c r="BEU26" s="19"/>
      <c r="BEV26" s="19"/>
      <c r="BEW26" s="19"/>
      <c r="BEX26" s="19"/>
      <c r="BEY26" s="19"/>
      <c r="BEZ26" s="19"/>
      <c r="BFA26" s="19"/>
      <c r="BFB26" s="19"/>
      <c r="BFC26" s="19"/>
      <c r="BFD26" s="19"/>
      <c r="BFE26" s="19"/>
      <c r="BFF26" s="19"/>
      <c r="BFG26" s="19"/>
      <c r="BFH26" s="19"/>
      <c r="BFI26" s="19"/>
      <c r="BFJ26" s="19"/>
      <c r="BFK26" s="19"/>
      <c r="BFL26" s="19"/>
      <c r="BFM26" s="19"/>
      <c r="BFN26" s="19"/>
      <c r="BFO26" s="19"/>
      <c r="BFP26" s="19"/>
      <c r="BFQ26" s="19"/>
      <c r="BFR26" s="19"/>
      <c r="BFS26" s="19"/>
      <c r="BFT26" s="19"/>
      <c r="BFU26" s="19"/>
      <c r="BFV26" s="19"/>
      <c r="BFW26" s="19"/>
      <c r="BFX26" s="19"/>
      <c r="BFY26" s="19"/>
      <c r="BFZ26" s="19"/>
      <c r="BGA26" s="19"/>
      <c r="BGB26" s="19"/>
      <c r="BGC26" s="19"/>
      <c r="BGD26" s="19"/>
      <c r="BGE26" s="19"/>
      <c r="BGF26" s="19"/>
      <c r="BGG26" s="19"/>
      <c r="BGH26" s="19"/>
      <c r="BGI26" s="19"/>
      <c r="BGJ26" s="19"/>
      <c r="BGK26" s="19"/>
      <c r="BGL26" s="19"/>
      <c r="BGM26" s="19"/>
      <c r="BGN26" s="19"/>
      <c r="BGO26" s="19"/>
      <c r="BGP26" s="19"/>
      <c r="BGQ26" s="19"/>
      <c r="BGR26" s="19"/>
      <c r="BGS26" s="19"/>
      <c r="BGT26" s="19"/>
      <c r="BGU26" s="19"/>
      <c r="BGV26" s="19"/>
      <c r="BGW26" s="19"/>
      <c r="BGX26" s="19"/>
      <c r="BGY26" s="19"/>
      <c r="BGZ26" s="19"/>
      <c r="BHA26" s="19"/>
      <c r="BHB26" s="19"/>
      <c r="BHC26" s="19"/>
      <c r="BHD26" s="19"/>
      <c r="BHE26" s="19"/>
      <c r="BHF26" s="19"/>
      <c r="BHG26" s="19"/>
      <c r="BHH26" s="19"/>
      <c r="BHI26" s="19"/>
      <c r="BHJ26" s="19"/>
      <c r="BHK26" s="19"/>
      <c r="BHL26" s="19"/>
      <c r="BHM26" s="19"/>
      <c r="BHN26" s="19"/>
      <c r="BHO26" s="19"/>
      <c r="BHP26" s="19"/>
      <c r="BHQ26" s="19"/>
      <c r="BHR26" s="19"/>
      <c r="BHS26" s="19"/>
      <c r="BHT26" s="19"/>
      <c r="BHU26" s="19"/>
      <c r="BHV26" s="19"/>
      <c r="BHW26" s="19"/>
      <c r="BHX26" s="19"/>
      <c r="BHY26" s="19"/>
      <c r="BHZ26" s="19"/>
      <c r="BIA26" s="19"/>
      <c r="BIB26" s="19"/>
      <c r="BIC26" s="19"/>
      <c r="BID26" s="19"/>
      <c r="BIE26" s="19"/>
      <c r="BIF26" s="19"/>
      <c r="BIG26" s="19"/>
      <c r="BIH26" s="19"/>
      <c r="BII26" s="19"/>
      <c r="BIJ26" s="19"/>
      <c r="BIK26" s="19"/>
      <c r="BIL26" s="19"/>
      <c r="BIM26" s="19"/>
      <c r="BIN26" s="19"/>
      <c r="BIO26" s="19"/>
      <c r="BIP26" s="19"/>
      <c r="BIQ26" s="19"/>
      <c r="BIR26" s="19"/>
      <c r="BIS26" s="19"/>
      <c r="BIT26" s="19"/>
      <c r="BIU26" s="19"/>
      <c r="BIV26" s="19"/>
      <c r="BIW26" s="19"/>
      <c r="BIX26" s="19"/>
      <c r="BIY26" s="19"/>
      <c r="BIZ26" s="19"/>
      <c r="BJA26" s="19"/>
      <c r="BJB26" s="19"/>
      <c r="BJC26" s="19"/>
      <c r="BJD26" s="19"/>
      <c r="BJE26" s="19"/>
      <c r="BJF26" s="19"/>
      <c r="BJG26" s="19"/>
      <c r="BJH26" s="19"/>
      <c r="BJI26" s="19"/>
      <c r="BJJ26" s="19"/>
      <c r="BJK26" s="19"/>
      <c r="BJL26" s="19"/>
      <c r="BJM26" s="19"/>
      <c r="BJN26" s="19"/>
      <c r="BJO26" s="19"/>
      <c r="BJP26" s="19"/>
      <c r="BJQ26" s="19"/>
      <c r="BJR26" s="19"/>
      <c r="BJS26" s="19"/>
      <c r="BJT26" s="19"/>
      <c r="BJU26" s="19"/>
      <c r="BJV26" s="19"/>
      <c r="BJW26" s="19"/>
      <c r="BJX26" s="19"/>
      <c r="BJY26" s="19"/>
      <c r="BJZ26" s="19"/>
      <c r="BKA26" s="19"/>
      <c r="BKB26" s="19"/>
      <c r="BKC26" s="19"/>
      <c r="BKD26" s="19"/>
      <c r="BKE26" s="19"/>
      <c r="BKF26" s="19"/>
      <c r="BKG26" s="19"/>
      <c r="BKH26" s="19"/>
      <c r="BKI26" s="19"/>
      <c r="BKJ26" s="19"/>
      <c r="BKK26" s="19"/>
      <c r="BKL26" s="19"/>
      <c r="BKM26" s="19"/>
      <c r="BKN26" s="19"/>
      <c r="BKO26" s="19"/>
      <c r="BKP26" s="19"/>
      <c r="BKQ26" s="19"/>
      <c r="BKR26" s="19"/>
      <c r="BKS26" s="19"/>
      <c r="BKT26" s="19"/>
      <c r="BKU26" s="19"/>
      <c r="BKV26" s="19"/>
      <c r="BKW26" s="19"/>
      <c r="BKX26" s="19"/>
      <c r="BKY26" s="19"/>
      <c r="BKZ26" s="19"/>
      <c r="BLA26" s="19"/>
      <c r="BLB26" s="19"/>
      <c r="BLC26" s="19"/>
      <c r="BLD26" s="19"/>
      <c r="BLE26" s="19"/>
      <c r="BLF26" s="19"/>
      <c r="BLG26" s="19"/>
      <c r="BLH26" s="19"/>
      <c r="BLI26" s="19"/>
      <c r="BLJ26" s="19"/>
      <c r="BLK26" s="19"/>
      <c r="BLL26" s="19"/>
      <c r="BLM26" s="19"/>
      <c r="BLN26" s="19"/>
      <c r="BLO26" s="19"/>
      <c r="BLP26" s="19"/>
      <c r="BLQ26" s="19"/>
      <c r="BLR26" s="19"/>
      <c r="BLS26" s="19"/>
      <c r="BLT26" s="19"/>
      <c r="BLU26" s="19"/>
      <c r="BLV26" s="19"/>
      <c r="BLW26" s="19"/>
      <c r="BLX26" s="19"/>
      <c r="BLY26" s="19"/>
      <c r="BLZ26" s="19"/>
      <c r="BMA26" s="19"/>
      <c r="BMB26" s="19"/>
      <c r="BMC26" s="19"/>
      <c r="BMD26" s="19"/>
      <c r="BME26" s="19"/>
      <c r="BMF26" s="19"/>
      <c r="BMG26" s="19"/>
      <c r="BMH26" s="19"/>
      <c r="BMI26" s="19"/>
      <c r="BMJ26" s="19"/>
      <c r="BMK26" s="19"/>
      <c r="BML26" s="19"/>
      <c r="BMM26" s="19"/>
      <c r="BMN26" s="19"/>
      <c r="BMO26" s="19"/>
      <c r="BMP26" s="19"/>
      <c r="BMQ26" s="19"/>
      <c r="BMR26" s="19"/>
      <c r="BMS26" s="19"/>
      <c r="BMT26" s="19"/>
      <c r="BMU26" s="19"/>
      <c r="BMV26" s="19"/>
      <c r="BMW26" s="19"/>
      <c r="BMX26" s="19"/>
      <c r="BMY26" s="19"/>
      <c r="BMZ26" s="19"/>
      <c r="BNA26" s="19"/>
      <c r="BNB26" s="19"/>
      <c r="BNC26" s="19"/>
      <c r="BND26" s="19"/>
      <c r="BNE26" s="19"/>
      <c r="BNF26" s="19"/>
      <c r="BNG26" s="19"/>
      <c r="BNH26" s="19"/>
      <c r="BNI26" s="19"/>
      <c r="BNJ26" s="19"/>
      <c r="BNK26" s="19"/>
      <c r="BNL26" s="19"/>
      <c r="BNM26" s="19"/>
      <c r="BNN26" s="19"/>
      <c r="BNO26" s="19"/>
      <c r="BNP26" s="19"/>
      <c r="BNQ26" s="19"/>
      <c r="BNR26" s="19"/>
      <c r="BNS26" s="19"/>
      <c r="BNT26" s="19"/>
      <c r="BNU26" s="19"/>
      <c r="BNV26" s="19"/>
      <c r="BNW26" s="19"/>
      <c r="BNX26" s="19"/>
      <c r="BNY26" s="19"/>
      <c r="BNZ26" s="19"/>
      <c r="BOA26" s="19"/>
      <c r="BOB26" s="19"/>
      <c r="BOC26" s="19"/>
      <c r="BOD26" s="19"/>
      <c r="BOE26" s="19"/>
      <c r="BOF26" s="19"/>
      <c r="BOG26" s="19"/>
      <c r="BOH26" s="19"/>
      <c r="BOI26" s="19"/>
      <c r="BOJ26" s="19"/>
      <c r="BOK26" s="19"/>
      <c r="BOL26" s="19"/>
      <c r="BOM26" s="19"/>
      <c r="BON26" s="19"/>
      <c r="BOO26" s="19"/>
      <c r="BOP26" s="19"/>
      <c r="BOQ26" s="19"/>
      <c r="BOR26" s="19"/>
      <c r="BOS26" s="19"/>
      <c r="BOT26" s="19"/>
      <c r="BOU26" s="19"/>
      <c r="BOV26" s="19"/>
      <c r="BOW26" s="19"/>
      <c r="BOX26" s="19"/>
      <c r="BOY26" s="19"/>
      <c r="BOZ26" s="19"/>
      <c r="BPA26" s="19"/>
      <c r="BPB26" s="19"/>
      <c r="BPC26" s="19"/>
      <c r="BPD26" s="19"/>
      <c r="BPE26" s="19"/>
      <c r="BPF26" s="19"/>
      <c r="BPG26" s="19"/>
      <c r="BPH26" s="19"/>
      <c r="BPI26" s="19"/>
      <c r="BPJ26" s="19"/>
      <c r="BPK26" s="19"/>
      <c r="BPL26" s="19"/>
      <c r="BPM26" s="19"/>
      <c r="BPN26" s="19"/>
      <c r="BPO26" s="19"/>
      <c r="BPP26" s="19"/>
      <c r="BPQ26" s="19"/>
      <c r="BPR26" s="19"/>
      <c r="BPS26" s="19"/>
      <c r="BPT26" s="19"/>
      <c r="BPU26" s="19"/>
      <c r="BPV26" s="19"/>
      <c r="BPW26" s="19"/>
      <c r="BPX26" s="19"/>
      <c r="BPY26" s="19"/>
      <c r="BPZ26" s="19"/>
      <c r="BQA26" s="19"/>
      <c r="BQB26" s="19"/>
      <c r="BQC26" s="19"/>
      <c r="BQD26" s="19"/>
      <c r="BQE26" s="19"/>
      <c r="BQF26" s="19"/>
      <c r="BQG26" s="19"/>
      <c r="BQH26" s="19"/>
      <c r="BQI26" s="19"/>
      <c r="BQJ26" s="19"/>
      <c r="BQK26" s="19"/>
      <c r="BQL26" s="19"/>
      <c r="BQM26" s="19"/>
      <c r="BQN26" s="19"/>
      <c r="BQO26" s="19"/>
      <c r="BQP26" s="19"/>
      <c r="BQQ26" s="19"/>
      <c r="BQR26" s="19"/>
      <c r="BQS26" s="19"/>
      <c r="BQT26" s="19"/>
      <c r="BQU26" s="19"/>
      <c r="BQV26" s="19"/>
      <c r="BQW26" s="19"/>
      <c r="BQX26" s="19"/>
      <c r="BQY26" s="19"/>
      <c r="BQZ26" s="19"/>
      <c r="BRA26" s="19"/>
      <c r="BRB26" s="19"/>
      <c r="BRC26" s="19"/>
      <c r="BRD26" s="19"/>
      <c r="BRE26" s="19"/>
      <c r="BRF26" s="19"/>
      <c r="BRG26" s="19"/>
      <c r="BRH26" s="19"/>
      <c r="BRI26" s="19"/>
      <c r="BRJ26" s="19"/>
      <c r="BRK26" s="19"/>
      <c r="BRL26" s="19"/>
      <c r="BRM26" s="19"/>
      <c r="BRN26" s="19"/>
      <c r="BRO26" s="19"/>
      <c r="BRP26" s="19"/>
      <c r="BRQ26" s="19"/>
      <c r="BRR26" s="19"/>
      <c r="BRS26" s="19"/>
      <c r="BRT26" s="19"/>
      <c r="BRU26" s="19"/>
      <c r="BRV26" s="19"/>
      <c r="BRW26" s="19"/>
      <c r="BRX26" s="19"/>
      <c r="BRY26" s="19"/>
      <c r="BRZ26" s="19"/>
      <c r="BSA26" s="19"/>
      <c r="BSB26" s="19"/>
      <c r="BSC26" s="19"/>
      <c r="BSD26" s="19"/>
      <c r="BSE26" s="19"/>
      <c r="BSF26" s="19"/>
      <c r="BSG26" s="19"/>
      <c r="BSH26" s="19"/>
      <c r="BSI26" s="19"/>
      <c r="BSJ26" s="19"/>
      <c r="BSK26" s="19"/>
      <c r="BSL26" s="19"/>
      <c r="BSM26" s="19"/>
      <c r="BSN26" s="19"/>
      <c r="BSO26" s="19"/>
      <c r="BSP26" s="19"/>
      <c r="BSQ26" s="19"/>
      <c r="BSR26" s="19"/>
      <c r="BSS26" s="19"/>
      <c r="BST26" s="19"/>
      <c r="BSU26" s="19"/>
      <c r="BSV26" s="19"/>
      <c r="BSW26" s="19"/>
      <c r="BSX26" s="19"/>
      <c r="BSY26" s="19"/>
      <c r="BSZ26" s="19"/>
      <c r="BTA26" s="19"/>
      <c r="BTB26" s="19"/>
      <c r="BTC26" s="19"/>
      <c r="BTD26" s="19"/>
      <c r="BTE26" s="19"/>
      <c r="BTF26" s="19"/>
      <c r="BTG26" s="19"/>
      <c r="BTH26" s="19"/>
      <c r="BTI26" s="19"/>
      <c r="BTJ26" s="19"/>
      <c r="BTK26" s="19"/>
      <c r="BTL26" s="19"/>
      <c r="BTM26" s="19"/>
      <c r="BTN26" s="19"/>
      <c r="BTO26" s="19"/>
      <c r="BTP26" s="19"/>
      <c r="BTQ26" s="19"/>
      <c r="BTR26" s="19"/>
      <c r="BTS26" s="19"/>
      <c r="BTT26" s="19"/>
      <c r="BTU26" s="19"/>
      <c r="BTV26" s="19"/>
      <c r="BTW26" s="19"/>
      <c r="BTX26" s="19"/>
      <c r="BTY26" s="19"/>
      <c r="BTZ26" s="19"/>
      <c r="BUA26" s="19"/>
      <c r="BUB26" s="19"/>
      <c r="BUC26" s="19"/>
      <c r="BUD26" s="19"/>
      <c r="BUE26" s="19"/>
      <c r="BUF26" s="19"/>
      <c r="BUG26" s="19"/>
      <c r="BUH26" s="19"/>
      <c r="BUI26" s="19"/>
      <c r="BUJ26" s="19"/>
      <c r="BUK26" s="19"/>
      <c r="BUL26" s="19"/>
      <c r="BUM26" s="19"/>
      <c r="BUN26" s="19"/>
      <c r="BUO26" s="19"/>
      <c r="BUP26" s="19"/>
      <c r="BUQ26" s="19"/>
      <c r="BUR26" s="19"/>
      <c r="BUS26" s="19"/>
      <c r="BUT26" s="19"/>
      <c r="BUU26" s="19"/>
      <c r="BUV26" s="19"/>
      <c r="BUW26" s="19"/>
      <c r="BUX26" s="19"/>
      <c r="BUY26" s="19"/>
      <c r="BUZ26" s="19"/>
      <c r="BVA26" s="19"/>
      <c r="BVB26" s="19"/>
      <c r="BVC26" s="19"/>
      <c r="BVD26" s="19"/>
      <c r="BVE26" s="19"/>
      <c r="BVF26" s="19"/>
      <c r="BVG26" s="19"/>
      <c r="BVH26" s="19"/>
      <c r="BVI26" s="19"/>
      <c r="BVJ26" s="19"/>
      <c r="BVK26" s="19"/>
      <c r="BVL26" s="19"/>
      <c r="BVM26" s="19"/>
      <c r="BVN26" s="19"/>
      <c r="BVO26" s="19"/>
      <c r="BVP26" s="19"/>
      <c r="BVQ26" s="19"/>
      <c r="BVR26" s="19"/>
      <c r="BVS26" s="19"/>
      <c r="BVT26" s="19"/>
      <c r="BVU26" s="19"/>
      <c r="BVV26" s="19"/>
      <c r="BVW26" s="19"/>
      <c r="BVX26" s="19"/>
      <c r="BVY26" s="19"/>
      <c r="BVZ26" s="19"/>
      <c r="BWA26" s="19"/>
      <c r="BWB26" s="19"/>
      <c r="BWC26" s="19"/>
      <c r="BWD26" s="19"/>
      <c r="BWE26" s="19"/>
      <c r="BWF26" s="19"/>
      <c r="BWG26" s="19"/>
      <c r="BWH26" s="19"/>
      <c r="BWI26" s="19"/>
      <c r="BWJ26" s="19"/>
      <c r="BWK26" s="19"/>
      <c r="BWL26" s="19"/>
      <c r="BWM26" s="19"/>
      <c r="BWN26" s="19"/>
      <c r="BWO26" s="19"/>
      <c r="BWP26" s="19"/>
      <c r="BWQ26" s="19"/>
      <c r="BWR26" s="19"/>
      <c r="BWS26" s="19"/>
      <c r="BWT26" s="19"/>
      <c r="BWU26" s="19"/>
      <c r="BWV26" s="19"/>
      <c r="BWW26" s="19"/>
      <c r="BWX26" s="19"/>
      <c r="BWY26" s="19"/>
      <c r="BWZ26" s="19"/>
      <c r="BXA26" s="19"/>
      <c r="BXB26" s="19"/>
      <c r="BXC26" s="19"/>
      <c r="BXD26" s="19"/>
      <c r="BXE26" s="19"/>
      <c r="BXF26" s="19"/>
      <c r="BXG26" s="19"/>
      <c r="BXH26" s="19"/>
      <c r="BXI26" s="19"/>
      <c r="BXJ26" s="19"/>
      <c r="BXK26" s="19"/>
      <c r="BXL26" s="19"/>
      <c r="BXM26" s="19"/>
      <c r="BXN26" s="19"/>
      <c r="BXO26" s="19"/>
      <c r="BXP26" s="19"/>
      <c r="BXQ26" s="19"/>
      <c r="BXR26" s="19"/>
      <c r="BXS26" s="19"/>
      <c r="BXT26" s="19"/>
      <c r="BXU26" s="19"/>
      <c r="BXV26" s="19"/>
      <c r="BXW26" s="19"/>
      <c r="BXX26" s="19"/>
      <c r="BXY26" s="19"/>
      <c r="BXZ26" s="19"/>
      <c r="BYA26" s="19"/>
      <c r="BYB26" s="19"/>
      <c r="BYC26" s="19"/>
      <c r="BYD26" s="19"/>
      <c r="BYE26" s="19"/>
      <c r="BYF26" s="19"/>
      <c r="BYG26" s="19"/>
      <c r="BYH26" s="19"/>
      <c r="BYI26" s="19"/>
      <c r="BYJ26" s="19"/>
      <c r="BYK26" s="19"/>
      <c r="BYL26" s="19"/>
      <c r="BYM26" s="19"/>
      <c r="BYN26" s="19"/>
      <c r="BYO26" s="19"/>
      <c r="BYP26" s="19"/>
      <c r="BYQ26" s="19"/>
      <c r="BYR26" s="19"/>
      <c r="BYS26" s="19"/>
      <c r="BYT26" s="19"/>
      <c r="BYU26" s="19"/>
      <c r="BYV26" s="19"/>
      <c r="BYW26" s="19"/>
      <c r="BYX26" s="19"/>
      <c r="BYY26" s="19"/>
      <c r="BYZ26" s="19"/>
      <c r="BZA26" s="19"/>
      <c r="BZB26" s="19"/>
      <c r="BZC26" s="19"/>
      <c r="BZD26" s="19"/>
      <c r="BZE26" s="19"/>
      <c r="BZF26" s="19"/>
      <c r="BZG26" s="19"/>
      <c r="BZH26" s="19"/>
      <c r="BZI26" s="19"/>
      <c r="BZJ26" s="19"/>
      <c r="BZK26" s="19"/>
      <c r="BZL26" s="19"/>
      <c r="BZM26" s="19"/>
      <c r="BZN26" s="19"/>
      <c r="BZO26" s="19"/>
      <c r="BZP26" s="19"/>
      <c r="BZQ26" s="19"/>
      <c r="BZR26" s="19"/>
      <c r="BZS26" s="19"/>
      <c r="BZT26" s="19"/>
      <c r="BZU26" s="19"/>
      <c r="BZV26" s="19"/>
      <c r="BZW26" s="19"/>
      <c r="BZX26" s="19"/>
      <c r="BZY26" s="19"/>
      <c r="BZZ26" s="19"/>
      <c r="CAA26" s="19"/>
      <c r="CAB26" s="19"/>
      <c r="CAC26" s="19"/>
      <c r="CAD26" s="19"/>
      <c r="CAE26" s="19"/>
      <c r="CAF26" s="19"/>
      <c r="CAG26" s="19"/>
      <c r="CAH26" s="19"/>
      <c r="CAI26" s="19"/>
      <c r="CAJ26" s="19"/>
      <c r="CAK26" s="19"/>
      <c r="CAL26" s="19"/>
      <c r="CAM26" s="19"/>
      <c r="CAN26" s="19"/>
      <c r="CAO26" s="19"/>
      <c r="CAP26" s="19"/>
      <c r="CAQ26" s="19"/>
      <c r="CAR26" s="19"/>
      <c r="CAS26" s="19"/>
      <c r="CAT26" s="19"/>
      <c r="CAU26" s="19"/>
      <c r="CAV26" s="19"/>
      <c r="CAW26" s="19"/>
      <c r="CAX26" s="19"/>
      <c r="CAY26" s="19"/>
      <c r="CAZ26" s="19"/>
      <c r="CBA26" s="19"/>
      <c r="CBB26" s="19"/>
      <c r="CBC26" s="19"/>
      <c r="CBD26" s="19"/>
      <c r="CBE26" s="19"/>
      <c r="CBF26" s="19"/>
      <c r="CBG26" s="19"/>
      <c r="CBH26" s="19"/>
      <c r="CBI26" s="19"/>
      <c r="CBJ26" s="19"/>
      <c r="CBK26" s="19"/>
      <c r="CBL26" s="19"/>
      <c r="CBM26" s="19"/>
      <c r="CBN26" s="19"/>
      <c r="CBO26" s="19"/>
      <c r="CBP26" s="19"/>
      <c r="CBQ26" s="19"/>
      <c r="CBR26" s="19"/>
      <c r="CBS26" s="19"/>
      <c r="CBT26" s="19"/>
      <c r="CBU26" s="19"/>
      <c r="CBV26" s="19"/>
      <c r="CBW26" s="19"/>
      <c r="CBX26" s="19"/>
      <c r="CBY26" s="19"/>
      <c r="CBZ26" s="19"/>
      <c r="CCA26" s="19"/>
      <c r="CCB26" s="19"/>
      <c r="CCC26" s="19"/>
      <c r="CCD26" s="19"/>
      <c r="CCE26" s="19"/>
      <c r="CCF26" s="19"/>
      <c r="CCG26" s="19"/>
      <c r="CCH26" s="19"/>
      <c r="CCI26" s="19"/>
      <c r="CCJ26" s="19"/>
      <c r="CCK26" s="19"/>
      <c r="CCL26" s="19"/>
      <c r="CCM26" s="19"/>
      <c r="CCN26" s="19"/>
      <c r="CCO26" s="19"/>
      <c r="CCP26" s="19"/>
      <c r="CCQ26" s="19"/>
      <c r="CCR26" s="19"/>
      <c r="CCS26" s="19"/>
      <c r="CCT26" s="19"/>
      <c r="CCU26" s="19"/>
      <c r="CCV26" s="19"/>
      <c r="CCW26" s="19"/>
      <c r="CCX26" s="19"/>
      <c r="CCY26" s="19"/>
      <c r="CCZ26" s="19"/>
      <c r="CDA26" s="19"/>
      <c r="CDB26" s="19"/>
      <c r="CDC26" s="19"/>
      <c r="CDD26" s="19"/>
      <c r="CDE26" s="19"/>
      <c r="CDF26" s="19"/>
      <c r="CDG26" s="19"/>
      <c r="CDH26" s="19"/>
      <c r="CDI26" s="19"/>
      <c r="CDJ26" s="19"/>
      <c r="CDK26" s="19"/>
      <c r="CDL26" s="19"/>
      <c r="CDM26" s="19"/>
      <c r="CDN26" s="19"/>
      <c r="CDO26" s="19"/>
      <c r="CDP26" s="19"/>
      <c r="CDQ26" s="19"/>
      <c r="CDR26" s="19"/>
      <c r="CDS26" s="19"/>
      <c r="CDT26" s="19"/>
      <c r="CDU26" s="19"/>
      <c r="CDV26" s="19"/>
      <c r="CDW26" s="19"/>
      <c r="CDX26" s="19"/>
      <c r="CDY26" s="19"/>
      <c r="CDZ26" s="19"/>
      <c r="CEA26" s="19"/>
      <c r="CEB26" s="19"/>
      <c r="CEC26" s="19"/>
      <c r="CED26" s="19"/>
      <c r="CEE26" s="19"/>
      <c r="CEF26" s="19"/>
      <c r="CEG26" s="19"/>
      <c r="CEH26" s="19"/>
      <c r="CEI26" s="19"/>
      <c r="CEJ26" s="19"/>
      <c r="CEK26" s="19"/>
      <c r="CEL26" s="19"/>
      <c r="CEM26" s="19"/>
      <c r="CEN26" s="19"/>
      <c r="CEO26" s="19"/>
      <c r="CEP26" s="19"/>
      <c r="CEQ26" s="19"/>
      <c r="CER26" s="19"/>
      <c r="CES26" s="19"/>
      <c r="CET26" s="19"/>
      <c r="CEU26" s="19"/>
      <c r="CEV26" s="19"/>
      <c r="CEW26" s="19"/>
      <c r="CEX26" s="19"/>
      <c r="CEY26" s="19"/>
      <c r="CEZ26" s="19"/>
      <c r="CFA26" s="19"/>
      <c r="CFB26" s="19"/>
      <c r="CFC26" s="19"/>
      <c r="CFD26" s="19"/>
      <c r="CFE26" s="19"/>
      <c r="CFF26" s="19"/>
      <c r="CFG26" s="19"/>
      <c r="CFH26" s="19"/>
      <c r="CFI26" s="19"/>
      <c r="CFJ26" s="19"/>
      <c r="CFK26" s="19"/>
      <c r="CFL26" s="19"/>
      <c r="CFM26" s="19"/>
      <c r="CFN26" s="19"/>
      <c r="CFO26" s="19"/>
      <c r="CFP26" s="19"/>
      <c r="CFQ26" s="19"/>
      <c r="CFR26" s="19"/>
      <c r="CFS26" s="19"/>
      <c r="CFT26" s="19"/>
      <c r="CFU26" s="19"/>
      <c r="CFV26" s="19"/>
      <c r="CFW26" s="19"/>
      <c r="CFX26" s="19"/>
      <c r="CFY26" s="19"/>
      <c r="CFZ26" s="19"/>
      <c r="CGA26" s="19"/>
      <c r="CGB26" s="19"/>
      <c r="CGC26" s="19"/>
      <c r="CGD26" s="19"/>
      <c r="CGE26" s="19"/>
      <c r="CGF26" s="19"/>
      <c r="CGG26" s="19"/>
      <c r="CGH26" s="19"/>
      <c r="CGI26" s="19"/>
      <c r="CGJ26" s="19"/>
      <c r="CGK26" s="19"/>
      <c r="CGL26" s="19"/>
      <c r="CGM26" s="19"/>
      <c r="CGN26" s="19"/>
      <c r="CGO26" s="19"/>
      <c r="CGP26" s="19"/>
      <c r="CGQ26" s="19"/>
      <c r="CGR26" s="19"/>
      <c r="CGS26" s="19"/>
      <c r="CGT26" s="19"/>
      <c r="CGU26" s="19"/>
      <c r="CGV26" s="19"/>
      <c r="CGW26" s="19"/>
      <c r="CGX26" s="19"/>
      <c r="CGY26" s="19"/>
      <c r="CGZ26" s="19"/>
      <c r="CHA26" s="19"/>
      <c r="CHB26" s="19"/>
      <c r="CHC26" s="19"/>
      <c r="CHD26" s="19"/>
      <c r="CHE26" s="19"/>
      <c r="CHF26" s="19"/>
      <c r="CHG26" s="19"/>
      <c r="CHH26" s="19"/>
      <c r="CHI26" s="19"/>
      <c r="CHJ26" s="19"/>
      <c r="CHK26" s="19"/>
      <c r="CHL26" s="19"/>
      <c r="CHM26" s="19"/>
      <c r="CHN26" s="19"/>
      <c r="CHO26" s="19"/>
      <c r="CHP26" s="19"/>
      <c r="CHQ26" s="19"/>
      <c r="CHR26" s="19"/>
      <c r="CHS26" s="19"/>
      <c r="CHT26" s="19"/>
      <c r="CHU26" s="19"/>
      <c r="CHV26" s="19"/>
      <c r="CHW26" s="19"/>
      <c r="CHX26" s="19"/>
      <c r="CHY26" s="19"/>
      <c r="CHZ26" s="19"/>
      <c r="CIA26" s="19"/>
      <c r="CIB26" s="19"/>
      <c r="CIC26" s="19"/>
      <c r="CID26" s="19"/>
      <c r="CIE26" s="19"/>
      <c r="CIF26" s="19"/>
      <c r="CIG26" s="19"/>
      <c r="CIH26" s="19"/>
      <c r="CII26" s="19"/>
      <c r="CIJ26" s="19"/>
      <c r="CIK26" s="19"/>
      <c r="CIL26" s="19"/>
      <c r="CIM26" s="19"/>
      <c r="CIN26" s="19"/>
      <c r="CIO26" s="19"/>
      <c r="CIP26" s="19"/>
      <c r="CIQ26" s="19"/>
      <c r="CIR26" s="19"/>
      <c r="CIS26" s="19"/>
      <c r="CIT26" s="19"/>
      <c r="CIU26" s="19"/>
      <c r="CIV26" s="19"/>
      <c r="CIW26" s="19"/>
      <c r="CIX26" s="19"/>
      <c r="CIY26" s="19"/>
      <c r="CIZ26" s="19"/>
      <c r="CJA26" s="19"/>
      <c r="CJB26" s="19"/>
      <c r="CJC26" s="19"/>
      <c r="CJD26" s="19"/>
      <c r="CJE26" s="19"/>
      <c r="CJF26" s="19"/>
      <c r="CJG26" s="19"/>
      <c r="CJH26" s="19"/>
      <c r="CJI26" s="19"/>
      <c r="CJJ26" s="19"/>
      <c r="CJK26" s="19"/>
      <c r="CJL26" s="19"/>
      <c r="CJM26" s="19"/>
      <c r="CJN26" s="19"/>
      <c r="CJO26" s="19"/>
      <c r="CJP26" s="19"/>
      <c r="CJQ26" s="19"/>
      <c r="CJR26" s="19"/>
      <c r="CJS26" s="19"/>
      <c r="CJT26" s="19"/>
      <c r="CJU26" s="19"/>
      <c r="CJV26" s="19"/>
      <c r="CJW26" s="19"/>
      <c r="CJX26" s="19"/>
      <c r="CJY26" s="19"/>
      <c r="CJZ26" s="19"/>
      <c r="CKA26" s="19"/>
      <c r="CKB26" s="19"/>
      <c r="CKC26" s="19"/>
      <c r="CKD26" s="19"/>
      <c r="CKE26" s="19"/>
      <c r="CKF26" s="19"/>
      <c r="CKG26" s="19"/>
      <c r="CKH26" s="19"/>
      <c r="CKI26" s="19"/>
      <c r="CKJ26" s="19"/>
      <c r="CKK26" s="19"/>
      <c r="CKL26" s="19"/>
      <c r="CKM26" s="19"/>
      <c r="CKN26" s="19"/>
      <c r="CKO26" s="19"/>
      <c r="CKP26" s="19"/>
      <c r="CKQ26" s="19"/>
      <c r="CKR26" s="19"/>
      <c r="CKS26" s="19"/>
      <c r="CKT26" s="19"/>
      <c r="CKU26" s="19"/>
      <c r="CKV26" s="19"/>
      <c r="CKW26" s="19"/>
      <c r="CKX26" s="19"/>
      <c r="CKY26" s="19"/>
      <c r="CKZ26" s="19"/>
      <c r="CLA26" s="19"/>
      <c r="CLB26" s="19"/>
      <c r="CLC26" s="19"/>
      <c r="CLD26" s="19"/>
      <c r="CLE26" s="19"/>
      <c r="CLF26" s="19"/>
      <c r="CLG26" s="19"/>
      <c r="CLH26" s="19"/>
      <c r="CLI26" s="19"/>
      <c r="CLJ26" s="19"/>
      <c r="CLK26" s="19"/>
      <c r="CLL26" s="19"/>
      <c r="CLM26" s="19"/>
      <c r="CLN26" s="19"/>
      <c r="CLO26" s="19"/>
      <c r="CLP26" s="19"/>
      <c r="CLQ26" s="19"/>
      <c r="CLR26" s="19"/>
      <c r="CLS26" s="19"/>
      <c r="CLT26" s="19"/>
      <c r="CLU26" s="19"/>
      <c r="CLV26" s="19"/>
      <c r="CLW26" s="19"/>
      <c r="CLX26" s="19"/>
      <c r="CLY26" s="19"/>
      <c r="CLZ26" s="19"/>
      <c r="CMA26" s="19"/>
      <c r="CMB26" s="19"/>
      <c r="CMC26" s="19"/>
      <c r="CMD26" s="19"/>
      <c r="CME26" s="19"/>
      <c r="CMF26" s="19"/>
      <c r="CMG26" s="19"/>
      <c r="CMH26" s="19"/>
      <c r="CMI26" s="19"/>
      <c r="CMJ26" s="19"/>
      <c r="CMK26" s="19"/>
      <c r="CML26" s="19"/>
      <c r="CMM26" s="19"/>
      <c r="CMN26" s="19"/>
      <c r="CMO26" s="19"/>
      <c r="CMP26" s="19"/>
      <c r="CMQ26" s="19"/>
      <c r="CMR26" s="19"/>
      <c r="CMS26" s="19"/>
      <c r="CMT26" s="19"/>
      <c r="CMU26" s="19"/>
      <c r="CMV26" s="19"/>
      <c r="CMW26" s="19"/>
      <c r="CMX26" s="19"/>
      <c r="CMY26" s="19"/>
      <c r="CMZ26" s="19"/>
      <c r="CNA26" s="19"/>
      <c r="CNB26" s="19"/>
      <c r="CNC26" s="19"/>
      <c r="CND26" s="19"/>
      <c r="CNE26" s="19"/>
      <c r="CNF26" s="19"/>
      <c r="CNG26" s="19"/>
      <c r="CNH26" s="19"/>
      <c r="CNI26" s="19"/>
      <c r="CNJ26" s="19"/>
      <c r="CNK26" s="19"/>
      <c r="CNL26" s="19"/>
      <c r="CNM26" s="19"/>
      <c r="CNN26" s="19"/>
      <c r="CNO26" s="19"/>
      <c r="CNP26" s="19"/>
      <c r="CNQ26" s="19"/>
      <c r="CNR26" s="19"/>
      <c r="CNS26" s="19"/>
      <c r="CNT26" s="19"/>
      <c r="CNU26" s="19"/>
      <c r="CNV26" s="19"/>
      <c r="CNW26" s="19"/>
      <c r="CNX26" s="19"/>
      <c r="CNY26" s="19"/>
      <c r="CNZ26" s="19"/>
      <c r="COA26" s="19"/>
      <c r="COB26" s="19"/>
      <c r="COC26" s="19"/>
      <c r="COD26" s="19"/>
      <c r="COE26" s="19"/>
      <c r="COF26" s="19"/>
      <c r="COG26" s="19"/>
      <c r="COH26" s="19"/>
      <c r="COI26" s="19"/>
      <c r="COJ26" s="19"/>
      <c r="COK26" s="19"/>
      <c r="COL26" s="19"/>
      <c r="COM26" s="19"/>
      <c r="CON26" s="19"/>
      <c r="COO26" s="19"/>
      <c r="COP26" s="19"/>
      <c r="COQ26" s="19"/>
      <c r="COR26" s="19"/>
      <c r="COS26" s="19"/>
      <c r="COT26" s="19"/>
      <c r="COU26" s="19"/>
      <c r="COV26" s="19"/>
      <c r="COW26" s="19"/>
      <c r="COX26" s="19"/>
      <c r="COY26" s="19"/>
      <c r="COZ26" s="19"/>
      <c r="CPA26" s="19"/>
      <c r="CPB26" s="19"/>
      <c r="CPC26" s="19"/>
      <c r="CPD26" s="19"/>
      <c r="CPE26" s="19"/>
      <c r="CPF26" s="19"/>
      <c r="CPG26" s="19"/>
      <c r="CPH26" s="19"/>
      <c r="CPI26" s="19"/>
      <c r="CPJ26" s="19"/>
      <c r="CPK26" s="19"/>
      <c r="CPL26" s="19"/>
      <c r="CPM26" s="19"/>
      <c r="CPN26" s="19"/>
      <c r="CPO26" s="19"/>
      <c r="CPP26" s="19"/>
      <c r="CPQ26" s="19"/>
      <c r="CPR26" s="19"/>
      <c r="CPS26" s="19"/>
      <c r="CPT26" s="19"/>
      <c r="CPU26" s="19"/>
      <c r="CPV26" s="19"/>
      <c r="CPW26" s="19"/>
      <c r="CPX26" s="19"/>
      <c r="CPY26" s="19"/>
      <c r="CPZ26" s="19"/>
      <c r="CQA26" s="19"/>
      <c r="CQB26" s="19"/>
      <c r="CQC26" s="19"/>
      <c r="CQD26" s="19"/>
      <c r="CQE26" s="19"/>
      <c r="CQF26" s="19"/>
      <c r="CQG26" s="19"/>
      <c r="CQH26" s="19"/>
      <c r="CQI26" s="19"/>
      <c r="CQJ26" s="19"/>
      <c r="CQK26" s="19"/>
      <c r="CQL26" s="19"/>
      <c r="CQM26" s="19"/>
      <c r="CQN26" s="19"/>
      <c r="CQO26" s="19"/>
      <c r="CQP26" s="19"/>
      <c r="CQQ26" s="19"/>
      <c r="CQR26" s="19"/>
      <c r="CQS26" s="19"/>
      <c r="CQT26" s="19"/>
      <c r="CQU26" s="19"/>
      <c r="CQV26" s="19"/>
      <c r="CQW26" s="19"/>
      <c r="CQX26" s="19"/>
      <c r="CQY26" s="19"/>
      <c r="CQZ26" s="19"/>
      <c r="CRA26" s="19"/>
      <c r="CRB26" s="19"/>
      <c r="CRC26" s="19"/>
      <c r="CRD26" s="19"/>
      <c r="CRE26" s="19"/>
      <c r="CRF26" s="19"/>
      <c r="CRG26" s="19"/>
      <c r="CRH26" s="19"/>
      <c r="CRI26" s="19"/>
      <c r="CRJ26" s="19"/>
      <c r="CRK26" s="19"/>
      <c r="CRL26" s="19"/>
      <c r="CRM26" s="19"/>
      <c r="CRN26" s="19"/>
      <c r="CRO26" s="19"/>
      <c r="CRP26" s="19"/>
      <c r="CRQ26" s="19"/>
      <c r="CRR26" s="19"/>
      <c r="CRS26" s="19"/>
      <c r="CRT26" s="19"/>
      <c r="CRU26" s="19"/>
      <c r="CRV26" s="19"/>
      <c r="CRW26" s="19"/>
      <c r="CRX26" s="19"/>
      <c r="CRY26" s="19"/>
      <c r="CRZ26" s="19"/>
      <c r="CSA26" s="19"/>
      <c r="CSB26" s="19"/>
      <c r="CSC26" s="19"/>
      <c r="CSD26" s="19"/>
      <c r="CSE26" s="19"/>
      <c r="CSF26" s="19"/>
      <c r="CSG26" s="19"/>
      <c r="CSH26" s="19"/>
      <c r="CSI26" s="19"/>
      <c r="CSJ26" s="19"/>
      <c r="CSK26" s="19"/>
      <c r="CSL26" s="19"/>
      <c r="CSM26" s="19"/>
      <c r="CSN26" s="19"/>
      <c r="CSO26" s="19"/>
      <c r="CSP26" s="19"/>
      <c r="CSQ26" s="19"/>
      <c r="CSR26" s="19"/>
      <c r="CSS26" s="19"/>
      <c r="CST26" s="19"/>
      <c r="CSU26" s="19"/>
      <c r="CSV26" s="19"/>
      <c r="CSW26" s="19"/>
      <c r="CSX26" s="19"/>
      <c r="CSY26" s="19"/>
      <c r="CSZ26" s="19"/>
      <c r="CTA26" s="19"/>
      <c r="CTB26" s="19"/>
      <c r="CTC26" s="19"/>
      <c r="CTD26" s="19"/>
      <c r="CTE26" s="19"/>
      <c r="CTF26" s="19"/>
      <c r="CTG26" s="19"/>
      <c r="CTH26" s="19"/>
      <c r="CTI26" s="19"/>
      <c r="CTJ26" s="19"/>
      <c r="CTK26" s="19"/>
      <c r="CTL26" s="19"/>
      <c r="CTM26" s="19"/>
      <c r="CTN26" s="19"/>
      <c r="CTO26" s="19"/>
      <c r="CTP26" s="19"/>
      <c r="CTQ26" s="19"/>
      <c r="CTR26" s="19"/>
      <c r="CTS26" s="19"/>
      <c r="CTT26" s="19"/>
      <c r="CTU26" s="19"/>
      <c r="CTV26" s="19"/>
      <c r="CTW26" s="19"/>
      <c r="CTX26" s="19"/>
      <c r="CTY26" s="19"/>
      <c r="CTZ26" s="19"/>
      <c r="CUA26" s="19"/>
      <c r="CUB26" s="19"/>
      <c r="CUC26" s="19"/>
      <c r="CUD26" s="19"/>
      <c r="CUE26" s="19"/>
      <c r="CUF26" s="19"/>
      <c r="CUG26" s="19"/>
      <c r="CUH26" s="19"/>
      <c r="CUI26" s="19"/>
      <c r="CUJ26" s="19"/>
      <c r="CUK26" s="19"/>
      <c r="CUL26" s="19"/>
      <c r="CUM26" s="19"/>
      <c r="CUN26" s="19"/>
      <c r="CUO26" s="19"/>
      <c r="CUP26" s="19"/>
      <c r="CUQ26" s="19"/>
      <c r="CUR26" s="19"/>
      <c r="CUS26" s="19"/>
      <c r="CUT26" s="19"/>
      <c r="CUU26" s="19"/>
      <c r="CUV26" s="19"/>
      <c r="CUW26" s="19"/>
      <c r="CUX26" s="19"/>
      <c r="CUY26" s="19"/>
      <c r="CUZ26" s="19"/>
      <c r="CVA26" s="19"/>
      <c r="CVB26" s="19"/>
      <c r="CVC26" s="19"/>
      <c r="CVD26" s="19"/>
      <c r="CVE26" s="19"/>
      <c r="CVF26" s="19"/>
      <c r="CVG26" s="19"/>
      <c r="CVH26" s="19"/>
      <c r="CVI26" s="19"/>
      <c r="CVJ26" s="19"/>
      <c r="CVK26" s="19"/>
      <c r="CVL26" s="19"/>
      <c r="CVM26" s="19"/>
      <c r="CVN26" s="19"/>
      <c r="CVO26" s="19"/>
      <c r="CVP26" s="19"/>
      <c r="CVQ26" s="19"/>
      <c r="CVR26" s="19"/>
      <c r="CVS26" s="19"/>
      <c r="CVT26" s="19"/>
      <c r="CVU26" s="19"/>
      <c r="CVV26" s="19"/>
      <c r="CVW26" s="19"/>
      <c r="CVX26" s="19"/>
      <c r="CVY26" s="19"/>
      <c r="CVZ26" s="19"/>
      <c r="CWA26" s="19"/>
      <c r="CWB26" s="19"/>
      <c r="CWC26" s="19"/>
      <c r="CWD26" s="19"/>
      <c r="CWE26" s="19"/>
      <c r="CWF26" s="19"/>
      <c r="CWG26" s="19"/>
      <c r="CWH26" s="19"/>
      <c r="CWI26" s="19"/>
      <c r="CWJ26" s="19"/>
      <c r="CWK26" s="19"/>
      <c r="CWL26" s="19"/>
      <c r="CWM26" s="19"/>
      <c r="CWN26" s="19"/>
      <c r="CWO26" s="19"/>
      <c r="CWP26" s="19"/>
      <c r="CWQ26" s="19"/>
      <c r="CWR26" s="19"/>
      <c r="CWS26" s="19"/>
      <c r="CWT26" s="19"/>
      <c r="CWU26" s="19"/>
      <c r="CWV26" s="19"/>
      <c r="CWW26" s="19"/>
      <c r="CWX26" s="19"/>
      <c r="CWY26" s="19"/>
      <c r="CWZ26" s="19"/>
      <c r="CXA26" s="19"/>
      <c r="CXB26" s="19"/>
      <c r="CXC26" s="19"/>
      <c r="CXD26" s="19"/>
      <c r="CXE26" s="19"/>
      <c r="CXF26" s="19"/>
      <c r="CXG26" s="19"/>
      <c r="CXH26" s="19"/>
      <c r="CXI26" s="19"/>
      <c r="CXJ26" s="19"/>
      <c r="CXK26" s="19"/>
      <c r="CXL26" s="19"/>
      <c r="CXM26" s="19"/>
      <c r="CXN26" s="19"/>
      <c r="CXO26" s="19"/>
      <c r="CXP26" s="19"/>
      <c r="CXQ26" s="19"/>
      <c r="CXR26" s="19"/>
      <c r="CXS26" s="19"/>
      <c r="CXT26" s="19"/>
      <c r="CXU26" s="19"/>
      <c r="CXV26" s="19"/>
      <c r="CXW26" s="19"/>
      <c r="CXX26" s="19"/>
      <c r="CXY26" s="19"/>
      <c r="CXZ26" s="19"/>
      <c r="CYA26" s="19"/>
      <c r="CYB26" s="19"/>
      <c r="CYC26" s="19"/>
      <c r="CYD26" s="19"/>
      <c r="CYE26" s="19"/>
      <c r="CYF26" s="19"/>
      <c r="CYG26" s="19"/>
      <c r="CYH26" s="19"/>
      <c r="CYI26" s="19"/>
      <c r="CYJ26" s="19"/>
      <c r="CYK26" s="19"/>
      <c r="CYL26" s="19"/>
      <c r="CYM26" s="19"/>
      <c r="CYN26" s="19"/>
      <c r="CYO26" s="19"/>
      <c r="CYP26" s="19"/>
      <c r="CYQ26" s="19"/>
      <c r="CYR26" s="19"/>
      <c r="CYS26" s="19"/>
      <c r="CYT26" s="19"/>
      <c r="CYU26" s="19"/>
      <c r="CYV26" s="19"/>
      <c r="CYW26" s="19"/>
      <c r="CYX26" s="19"/>
      <c r="CYY26" s="19"/>
      <c r="CYZ26" s="19"/>
      <c r="CZA26" s="19"/>
      <c r="CZB26" s="19"/>
      <c r="CZC26" s="19"/>
      <c r="CZD26" s="19"/>
      <c r="CZE26" s="19"/>
      <c r="CZF26" s="19"/>
      <c r="CZG26" s="19"/>
      <c r="CZH26" s="19"/>
      <c r="CZI26" s="19"/>
      <c r="CZJ26" s="19"/>
      <c r="CZK26" s="19"/>
      <c r="CZL26" s="19"/>
      <c r="CZM26" s="19"/>
      <c r="CZN26" s="19"/>
      <c r="CZO26" s="19"/>
      <c r="CZP26" s="19"/>
      <c r="CZQ26" s="19"/>
      <c r="CZR26" s="19"/>
      <c r="CZS26" s="19"/>
      <c r="CZT26" s="19"/>
      <c r="CZU26" s="19"/>
      <c r="CZV26" s="19"/>
      <c r="CZW26" s="19"/>
      <c r="CZX26" s="19"/>
      <c r="CZY26" s="19"/>
      <c r="CZZ26" s="19"/>
      <c r="DAA26" s="19"/>
      <c r="DAB26" s="19"/>
      <c r="DAC26" s="19"/>
      <c r="DAD26" s="19"/>
      <c r="DAE26" s="19"/>
      <c r="DAF26" s="19"/>
      <c r="DAG26" s="19"/>
      <c r="DAH26" s="19"/>
      <c r="DAI26" s="19"/>
      <c r="DAJ26" s="19"/>
      <c r="DAK26" s="19"/>
      <c r="DAL26" s="19"/>
      <c r="DAM26" s="19"/>
      <c r="DAN26" s="19"/>
      <c r="DAO26" s="19"/>
      <c r="DAP26" s="19"/>
      <c r="DAQ26" s="19"/>
      <c r="DAR26" s="19"/>
      <c r="DAS26" s="19"/>
      <c r="DAT26" s="19"/>
      <c r="DAU26" s="19"/>
      <c r="DAV26" s="19"/>
      <c r="DAW26" s="19"/>
      <c r="DAX26" s="19"/>
      <c r="DAY26" s="19"/>
      <c r="DAZ26" s="19"/>
      <c r="DBA26" s="19"/>
      <c r="DBB26" s="19"/>
      <c r="DBC26" s="19"/>
      <c r="DBD26" s="19"/>
      <c r="DBE26" s="19"/>
      <c r="DBF26" s="19"/>
      <c r="DBG26" s="19"/>
      <c r="DBH26" s="19"/>
      <c r="DBI26" s="19"/>
      <c r="DBJ26" s="19"/>
      <c r="DBK26" s="19"/>
      <c r="DBL26" s="19"/>
      <c r="DBM26" s="19"/>
      <c r="DBN26" s="19"/>
      <c r="DBO26" s="19"/>
      <c r="DBP26" s="19"/>
      <c r="DBQ26" s="19"/>
      <c r="DBR26" s="19"/>
      <c r="DBS26" s="19"/>
      <c r="DBT26" s="19"/>
      <c r="DBU26" s="19"/>
      <c r="DBV26" s="19"/>
      <c r="DBW26" s="19"/>
      <c r="DBX26" s="19"/>
      <c r="DBY26" s="19"/>
      <c r="DBZ26" s="19"/>
      <c r="DCA26" s="19"/>
      <c r="DCB26" s="19"/>
      <c r="DCC26" s="19"/>
      <c r="DCD26" s="19"/>
      <c r="DCE26" s="19"/>
      <c r="DCF26" s="19"/>
      <c r="DCG26" s="19"/>
      <c r="DCH26" s="19"/>
      <c r="DCI26" s="19"/>
      <c r="DCJ26" s="19"/>
      <c r="DCK26" s="19"/>
      <c r="DCL26" s="19"/>
      <c r="DCM26" s="19"/>
      <c r="DCN26" s="19"/>
      <c r="DCO26" s="19"/>
      <c r="DCP26" s="19"/>
      <c r="DCQ26" s="19"/>
      <c r="DCR26" s="19"/>
      <c r="DCS26" s="19"/>
      <c r="DCT26" s="19"/>
      <c r="DCU26" s="19"/>
      <c r="DCV26" s="19"/>
      <c r="DCW26" s="19"/>
      <c r="DCX26" s="19"/>
      <c r="DCY26" s="19"/>
      <c r="DCZ26" s="19"/>
      <c r="DDA26" s="19"/>
      <c r="DDB26" s="19"/>
      <c r="DDC26" s="19"/>
      <c r="DDD26" s="19"/>
      <c r="DDE26" s="19"/>
      <c r="DDF26" s="19"/>
      <c r="DDG26" s="19"/>
      <c r="DDH26" s="19"/>
      <c r="DDI26" s="19"/>
      <c r="DDJ26" s="19"/>
      <c r="DDK26" s="19"/>
      <c r="DDL26" s="19"/>
      <c r="DDM26" s="19"/>
      <c r="DDN26" s="19"/>
      <c r="DDO26" s="19"/>
      <c r="DDP26" s="19"/>
      <c r="DDQ26" s="19"/>
      <c r="DDR26" s="19"/>
      <c r="DDS26" s="19"/>
      <c r="DDT26" s="19"/>
      <c r="DDU26" s="19"/>
      <c r="DDV26" s="19"/>
      <c r="DDW26" s="19"/>
      <c r="DDX26" s="19"/>
      <c r="DDY26" s="19"/>
      <c r="DDZ26" s="19"/>
      <c r="DEA26" s="19"/>
      <c r="DEB26" s="19"/>
      <c r="DEC26" s="19"/>
      <c r="DED26" s="19"/>
      <c r="DEE26" s="19"/>
      <c r="DEF26" s="19"/>
      <c r="DEG26" s="19"/>
      <c r="DEH26" s="19"/>
      <c r="DEI26" s="19"/>
      <c r="DEJ26" s="19"/>
      <c r="DEK26" s="19"/>
      <c r="DEL26" s="19"/>
      <c r="DEM26" s="19"/>
      <c r="DEN26" s="19"/>
      <c r="DEO26" s="19"/>
      <c r="DEP26" s="19"/>
      <c r="DEQ26" s="19"/>
      <c r="DER26" s="19"/>
      <c r="DES26" s="19"/>
      <c r="DET26" s="19"/>
      <c r="DEU26" s="19"/>
      <c r="DEV26" s="19"/>
      <c r="DEW26" s="19"/>
      <c r="DEX26" s="19"/>
      <c r="DEY26" s="19"/>
      <c r="DEZ26" s="19"/>
      <c r="DFA26" s="19"/>
      <c r="DFB26" s="19"/>
      <c r="DFC26" s="19"/>
      <c r="DFD26" s="19"/>
      <c r="DFE26" s="19"/>
      <c r="DFF26" s="19"/>
      <c r="DFG26" s="19"/>
      <c r="DFH26" s="19"/>
      <c r="DFI26" s="19"/>
      <c r="DFJ26" s="19"/>
      <c r="DFK26" s="19"/>
      <c r="DFL26" s="19"/>
      <c r="DFM26" s="19"/>
      <c r="DFN26" s="19"/>
      <c r="DFO26" s="19"/>
      <c r="DFP26" s="19"/>
      <c r="DFQ26" s="19"/>
      <c r="DFR26" s="19"/>
      <c r="DFS26" s="19"/>
      <c r="DFT26" s="19"/>
      <c r="DFU26" s="19"/>
      <c r="DFV26" s="19"/>
      <c r="DFW26" s="19"/>
      <c r="DFX26" s="19"/>
      <c r="DFY26" s="19"/>
      <c r="DFZ26" s="19"/>
      <c r="DGA26" s="19"/>
      <c r="DGB26" s="19"/>
      <c r="DGC26" s="19"/>
      <c r="DGD26" s="19"/>
      <c r="DGE26" s="19"/>
      <c r="DGF26" s="19"/>
      <c r="DGG26" s="19"/>
      <c r="DGH26" s="19"/>
      <c r="DGI26" s="19"/>
      <c r="DGJ26" s="19"/>
      <c r="DGK26" s="19"/>
      <c r="DGL26" s="19"/>
      <c r="DGM26" s="19"/>
      <c r="DGN26" s="19"/>
      <c r="DGO26" s="19"/>
      <c r="DGP26" s="19"/>
      <c r="DGQ26" s="19"/>
      <c r="DGR26" s="19"/>
      <c r="DGS26" s="19"/>
      <c r="DGT26" s="19"/>
      <c r="DGU26" s="19"/>
      <c r="DGV26" s="19"/>
      <c r="DGW26" s="19"/>
      <c r="DGX26" s="19"/>
      <c r="DGY26" s="19"/>
      <c r="DGZ26" s="19"/>
      <c r="DHA26" s="19"/>
      <c r="DHB26" s="19"/>
      <c r="DHC26" s="19"/>
      <c r="DHD26" s="19"/>
      <c r="DHE26" s="19"/>
      <c r="DHF26" s="19"/>
      <c r="DHG26" s="19"/>
      <c r="DHH26" s="19"/>
      <c r="DHI26" s="19"/>
      <c r="DHJ26" s="19"/>
      <c r="DHK26" s="19"/>
      <c r="DHL26" s="19"/>
      <c r="DHM26" s="19"/>
      <c r="DHN26" s="19"/>
      <c r="DHO26" s="19"/>
      <c r="DHP26" s="19"/>
      <c r="DHQ26" s="19"/>
      <c r="DHR26" s="19"/>
      <c r="DHS26" s="19"/>
      <c r="DHT26" s="19"/>
      <c r="DHU26" s="19"/>
      <c r="DHV26" s="19"/>
      <c r="DHW26" s="19"/>
      <c r="DHX26" s="19"/>
      <c r="DHY26" s="19"/>
      <c r="DHZ26" s="19"/>
      <c r="DIA26" s="19"/>
      <c r="DIB26" s="19"/>
      <c r="DIC26" s="19"/>
      <c r="DID26" s="19"/>
      <c r="DIE26" s="19"/>
      <c r="DIF26" s="19"/>
      <c r="DIG26" s="19"/>
      <c r="DIH26" s="19"/>
      <c r="DII26" s="19"/>
      <c r="DIJ26" s="19"/>
      <c r="DIK26" s="19"/>
      <c r="DIL26" s="19"/>
      <c r="DIM26" s="19"/>
      <c r="DIN26" s="19"/>
      <c r="DIO26" s="19"/>
      <c r="DIP26" s="19"/>
      <c r="DIQ26" s="19"/>
      <c r="DIR26" s="19"/>
      <c r="DIS26" s="19"/>
      <c r="DIT26" s="19"/>
      <c r="DIU26" s="19"/>
      <c r="DIV26" s="19"/>
      <c r="DIW26" s="19"/>
      <c r="DIX26" s="19"/>
      <c r="DIY26" s="19"/>
      <c r="DIZ26" s="19"/>
      <c r="DJA26" s="19"/>
      <c r="DJB26" s="19"/>
      <c r="DJC26" s="19"/>
      <c r="DJD26" s="19"/>
      <c r="DJE26" s="19"/>
      <c r="DJF26" s="19"/>
      <c r="DJG26" s="19"/>
      <c r="DJH26" s="19"/>
      <c r="DJI26" s="19"/>
      <c r="DJJ26" s="19"/>
      <c r="DJK26" s="19"/>
      <c r="DJL26" s="19"/>
      <c r="DJM26" s="19"/>
      <c r="DJN26" s="19"/>
      <c r="DJO26" s="19"/>
      <c r="DJP26" s="19"/>
      <c r="DJQ26" s="19"/>
      <c r="DJR26" s="19"/>
      <c r="DJS26" s="19"/>
      <c r="DJT26" s="19"/>
      <c r="DJU26" s="19"/>
      <c r="DJV26" s="19"/>
      <c r="DJW26" s="19"/>
      <c r="DJX26" s="19"/>
      <c r="DJY26" s="19"/>
      <c r="DJZ26" s="19"/>
      <c r="DKA26" s="19"/>
      <c r="DKB26" s="19"/>
      <c r="DKC26" s="19"/>
      <c r="DKD26" s="19"/>
      <c r="DKE26" s="19"/>
      <c r="DKF26" s="19"/>
      <c r="DKG26" s="19"/>
      <c r="DKH26" s="19"/>
      <c r="DKI26" s="19"/>
      <c r="DKJ26" s="19"/>
      <c r="DKK26" s="19"/>
      <c r="DKL26" s="19"/>
      <c r="DKM26" s="19"/>
      <c r="DKN26" s="19"/>
      <c r="DKO26" s="19"/>
      <c r="DKP26" s="19"/>
      <c r="DKQ26" s="19"/>
      <c r="DKR26" s="19"/>
      <c r="DKS26" s="19"/>
      <c r="DKT26" s="19"/>
      <c r="DKU26" s="19"/>
      <c r="DKV26" s="19"/>
      <c r="DKW26" s="19"/>
      <c r="DKX26" s="19"/>
      <c r="DKY26" s="19"/>
      <c r="DKZ26" s="19"/>
      <c r="DLA26" s="19"/>
      <c r="DLB26" s="19"/>
      <c r="DLC26" s="19"/>
      <c r="DLD26" s="19"/>
      <c r="DLE26" s="19"/>
      <c r="DLF26" s="19"/>
      <c r="DLG26" s="19"/>
      <c r="DLH26" s="19"/>
      <c r="DLI26" s="19"/>
      <c r="DLJ26" s="19"/>
      <c r="DLK26" s="19"/>
      <c r="DLL26" s="19"/>
      <c r="DLM26" s="19"/>
      <c r="DLN26" s="19"/>
      <c r="DLO26" s="19"/>
      <c r="DLP26" s="19"/>
      <c r="DLQ26" s="19"/>
      <c r="DLR26" s="19"/>
      <c r="DLS26" s="19"/>
      <c r="DLT26" s="19"/>
      <c r="DLU26" s="19"/>
      <c r="DLV26" s="19"/>
      <c r="DLW26" s="19"/>
      <c r="DLX26" s="19"/>
      <c r="DLY26" s="19"/>
      <c r="DLZ26" s="19"/>
      <c r="DMA26" s="19"/>
      <c r="DMB26" s="19"/>
      <c r="DMC26" s="19"/>
      <c r="DMD26" s="19"/>
      <c r="DME26" s="19"/>
      <c r="DMF26" s="19"/>
      <c r="DMG26" s="19"/>
      <c r="DMH26" s="19"/>
      <c r="DMI26" s="19"/>
      <c r="DMJ26" s="19"/>
      <c r="DMK26" s="19"/>
      <c r="DML26" s="19"/>
      <c r="DMM26" s="19"/>
      <c r="DMN26" s="19"/>
      <c r="DMO26" s="19"/>
      <c r="DMP26" s="19"/>
      <c r="DMQ26" s="19"/>
      <c r="DMR26" s="19"/>
      <c r="DMS26" s="19"/>
      <c r="DMT26" s="19"/>
      <c r="DMU26" s="19"/>
      <c r="DMV26" s="19"/>
      <c r="DMW26" s="19"/>
      <c r="DMX26" s="19"/>
      <c r="DMY26" s="19"/>
      <c r="DMZ26" s="19"/>
      <c r="DNA26" s="19"/>
      <c r="DNB26" s="19"/>
      <c r="DNC26" s="19"/>
      <c r="DND26" s="19"/>
      <c r="DNE26" s="19"/>
      <c r="DNF26" s="19"/>
      <c r="DNG26" s="19"/>
      <c r="DNH26" s="19"/>
      <c r="DNI26" s="19"/>
      <c r="DNJ26" s="19"/>
      <c r="DNK26" s="19"/>
      <c r="DNL26" s="19"/>
      <c r="DNM26" s="19"/>
      <c r="DNN26" s="19"/>
      <c r="DNO26" s="19"/>
      <c r="DNP26" s="19"/>
      <c r="DNQ26" s="19"/>
      <c r="DNR26" s="19"/>
      <c r="DNS26" s="19"/>
      <c r="DNT26" s="19"/>
      <c r="DNU26" s="19"/>
      <c r="DNV26" s="19"/>
      <c r="DNW26" s="19"/>
      <c r="DNX26" s="19"/>
      <c r="DNY26" s="19"/>
      <c r="DNZ26" s="19"/>
      <c r="DOA26" s="19"/>
      <c r="DOB26" s="19"/>
      <c r="DOC26" s="19"/>
      <c r="DOD26" s="19"/>
      <c r="DOE26" s="19"/>
      <c r="DOF26" s="19"/>
      <c r="DOG26" s="19"/>
      <c r="DOH26" s="19"/>
      <c r="DOI26" s="19"/>
      <c r="DOJ26" s="19"/>
      <c r="DOK26" s="19"/>
      <c r="DOL26" s="19"/>
      <c r="DOM26" s="19"/>
      <c r="DON26" s="19"/>
      <c r="DOO26" s="19"/>
      <c r="DOP26" s="19"/>
      <c r="DOQ26" s="19"/>
      <c r="DOR26" s="19"/>
      <c r="DOS26" s="19"/>
      <c r="DOT26" s="19"/>
      <c r="DOU26" s="19"/>
      <c r="DOV26" s="19"/>
      <c r="DOW26" s="19"/>
      <c r="DOX26" s="19"/>
      <c r="DOY26" s="19"/>
      <c r="DOZ26" s="19"/>
      <c r="DPA26" s="19"/>
      <c r="DPB26" s="19"/>
      <c r="DPC26" s="19"/>
      <c r="DPD26" s="19"/>
      <c r="DPE26" s="19"/>
      <c r="DPF26" s="19"/>
      <c r="DPG26" s="19"/>
      <c r="DPH26" s="19"/>
      <c r="DPI26" s="19"/>
      <c r="DPJ26" s="19"/>
      <c r="DPK26" s="19"/>
      <c r="DPL26" s="19"/>
      <c r="DPM26" s="19"/>
      <c r="DPN26" s="19"/>
      <c r="DPO26" s="19"/>
      <c r="DPP26" s="19"/>
      <c r="DPQ26" s="19"/>
      <c r="DPR26" s="19"/>
      <c r="DPS26" s="19"/>
      <c r="DPT26" s="19"/>
      <c r="DPU26" s="19"/>
      <c r="DPV26" s="19"/>
      <c r="DPW26" s="19"/>
      <c r="DPX26" s="19"/>
      <c r="DPY26" s="19"/>
      <c r="DPZ26" s="19"/>
      <c r="DQA26" s="19"/>
      <c r="DQB26" s="19"/>
      <c r="DQC26" s="19"/>
      <c r="DQD26" s="19"/>
      <c r="DQE26" s="19"/>
      <c r="DQF26" s="19"/>
      <c r="DQG26" s="19"/>
      <c r="DQH26" s="19"/>
      <c r="DQI26" s="19"/>
      <c r="DQJ26" s="19"/>
      <c r="DQK26" s="19"/>
      <c r="DQL26" s="19"/>
      <c r="DQM26" s="19"/>
      <c r="DQN26" s="19"/>
      <c r="DQO26" s="19"/>
      <c r="DQP26" s="19"/>
      <c r="DQQ26" s="19"/>
      <c r="DQR26" s="19"/>
      <c r="DQS26" s="19"/>
      <c r="DQT26" s="19"/>
      <c r="DQU26" s="19"/>
      <c r="DQV26" s="19"/>
      <c r="DQW26" s="19"/>
      <c r="DQX26" s="19"/>
      <c r="DQY26" s="19"/>
      <c r="DQZ26" s="19"/>
      <c r="DRA26" s="19"/>
      <c r="DRB26" s="19"/>
      <c r="DRC26" s="19"/>
      <c r="DRD26" s="19"/>
      <c r="DRE26" s="19"/>
      <c r="DRF26" s="19"/>
      <c r="DRG26" s="19"/>
      <c r="DRH26" s="19"/>
      <c r="DRI26" s="19"/>
      <c r="DRJ26" s="19"/>
      <c r="DRK26" s="19"/>
      <c r="DRL26" s="19"/>
      <c r="DRM26" s="19"/>
      <c r="DRN26" s="19"/>
      <c r="DRO26" s="19"/>
      <c r="DRP26" s="19"/>
      <c r="DRQ26" s="19"/>
      <c r="DRR26" s="19"/>
      <c r="DRS26" s="19"/>
      <c r="DRT26" s="19"/>
      <c r="DRU26" s="19"/>
      <c r="DRV26" s="19"/>
      <c r="DRW26" s="19"/>
      <c r="DRX26" s="19"/>
      <c r="DRY26" s="19"/>
      <c r="DRZ26" s="19"/>
      <c r="DSA26" s="19"/>
      <c r="DSB26" s="19"/>
      <c r="DSC26" s="19"/>
      <c r="DSD26" s="19"/>
      <c r="DSE26" s="19"/>
      <c r="DSF26" s="19"/>
      <c r="DSG26" s="19"/>
      <c r="DSH26" s="19"/>
      <c r="DSI26" s="19"/>
      <c r="DSJ26" s="19"/>
      <c r="DSK26" s="19"/>
      <c r="DSL26" s="19"/>
      <c r="DSM26" s="19"/>
      <c r="DSN26" s="19"/>
      <c r="DSO26" s="19"/>
      <c r="DSP26" s="19"/>
      <c r="DSQ26" s="19"/>
      <c r="DSR26" s="19"/>
      <c r="DSS26" s="19"/>
      <c r="DST26" s="19"/>
      <c r="DSU26" s="19"/>
      <c r="DSV26" s="19"/>
      <c r="DSW26" s="19"/>
      <c r="DSX26" s="19"/>
      <c r="DSY26" s="19"/>
      <c r="DSZ26" s="19"/>
      <c r="DTA26" s="19"/>
      <c r="DTB26" s="19"/>
      <c r="DTC26" s="19"/>
      <c r="DTD26" s="19"/>
      <c r="DTE26" s="19"/>
      <c r="DTF26" s="19"/>
      <c r="DTG26" s="19"/>
      <c r="DTH26" s="19"/>
      <c r="DTI26" s="19"/>
      <c r="DTJ26" s="19"/>
      <c r="DTK26" s="19"/>
      <c r="DTL26" s="19"/>
      <c r="DTM26" s="19"/>
      <c r="DTN26" s="19"/>
      <c r="DTO26" s="19"/>
      <c r="DTP26" s="19"/>
      <c r="DTQ26" s="19"/>
      <c r="DTR26" s="19"/>
      <c r="DTS26" s="19"/>
      <c r="DTT26" s="19"/>
      <c r="DTU26" s="19"/>
      <c r="DTV26" s="19"/>
      <c r="DTW26" s="19"/>
      <c r="DTX26" s="19"/>
      <c r="DTY26" s="19"/>
      <c r="DTZ26" s="19"/>
      <c r="DUA26" s="19"/>
      <c r="DUB26" s="19"/>
      <c r="DUC26" s="19"/>
      <c r="DUD26" s="19"/>
      <c r="DUE26" s="19"/>
      <c r="DUF26" s="19"/>
      <c r="DUG26" s="19"/>
      <c r="DUH26" s="19"/>
      <c r="DUI26" s="19"/>
      <c r="DUJ26" s="19"/>
      <c r="DUK26" s="19"/>
      <c r="DUL26" s="19"/>
      <c r="DUM26" s="19"/>
      <c r="DUN26" s="19"/>
      <c r="DUO26" s="19"/>
      <c r="DUP26" s="19"/>
      <c r="DUQ26" s="19"/>
      <c r="DUR26" s="19"/>
      <c r="DUS26" s="19"/>
      <c r="DUT26" s="19"/>
      <c r="DUU26" s="19"/>
      <c r="DUV26" s="19"/>
      <c r="DUW26" s="19"/>
      <c r="DUX26" s="19"/>
      <c r="DUY26" s="19"/>
      <c r="DUZ26" s="19"/>
      <c r="DVA26" s="19"/>
      <c r="DVB26" s="19"/>
      <c r="DVC26" s="19"/>
      <c r="DVD26" s="19"/>
      <c r="DVE26" s="19"/>
      <c r="DVF26" s="19"/>
      <c r="DVG26" s="19"/>
      <c r="DVH26" s="19"/>
      <c r="DVI26" s="19"/>
      <c r="DVJ26" s="19"/>
      <c r="DVK26" s="19"/>
      <c r="DVL26" s="19"/>
      <c r="DVM26" s="19"/>
      <c r="DVN26" s="19"/>
      <c r="DVO26" s="19"/>
      <c r="DVP26" s="19"/>
      <c r="DVQ26" s="19"/>
      <c r="DVR26" s="19"/>
      <c r="DVS26" s="19"/>
      <c r="DVT26" s="19"/>
      <c r="DVU26" s="19"/>
      <c r="DVV26" s="19"/>
      <c r="DVW26" s="19"/>
      <c r="DVX26" s="19"/>
      <c r="DVY26" s="19"/>
      <c r="DVZ26" s="19"/>
      <c r="DWA26" s="19"/>
      <c r="DWB26" s="19"/>
      <c r="DWC26" s="19"/>
      <c r="DWD26" s="19"/>
      <c r="DWE26" s="19"/>
      <c r="DWF26" s="19"/>
      <c r="DWG26" s="19"/>
      <c r="DWH26" s="19"/>
      <c r="DWI26" s="19"/>
      <c r="DWJ26" s="19"/>
      <c r="DWK26" s="19"/>
      <c r="DWL26" s="19"/>
      <c r="DWM26" s="19"/>
      <c r="DWN26" s="19"/>
      <c r="DWO26" s="19"/>
      <c r="DWP26" s="19"/>
      <c r="DWQ26" s="19"/>
      <c r="DWR26" s="19"/>
      <c r="DWS26" s="19"/>
      <c r="DWT26" s="19"/>
      <c r="DWU26" s="19"/>
      <c r="DWV26" s="19"/>
      <c r="DWW26" s="19"/>
      <c r="DWX26" s="19"/>
      <c r="DWY26" s="19"/>
      <c r="DWZ26" s="19"/>
      <c r="DXA26" s="19"/>
      <c r="DXB26" s="19"/>
      <c r="DXC26" s="19"/>
      <c r="DXD26" s="19"/>
      <c r="DXE26" s="19"/>
      <c r="DXF26" s="19"/>
      <c r="DXG26" s="19"/>
      <c r="DXH26" s="19"/>
      <c r="DXI26" s="19"/>
      <c r="DXJ26" s="19"/>
      <c r="DXK26" s="19"/>
      <c r="DXL26" s="19"/>
      <c r="DXM26" s="19"/>
      <c r="DXN26" s="19"/>
      <c r="DXO26" s="19"/>
      <c r="DXP26" s="19"/>
      <c r="DXQ26" s="19"/>
      <c r="DXR26" s="19"/>
      <c r="DXS26" s="19"/>
      <c r="DXT26" s="19"/>
      <c r="DXU26" s="19"/>
      <c r="DXV26" s="19"/>
      <c r="DXW26" s="19"/>
      <c r="DXX26" s="19"/>
      <c r="DXY26" s="19"/>
      <c r="DXZ26" s="19"/>
      <c r="DYA26" s="19"/>
      <c r="DYB26" s="19"/>
      <c r="DYC26" s="19"/>
      <c r="DYD26" s="19"/>
      <c r="DYE26" s="19"/>
      <c r="DYF26" s="19"/>
      <c r="DYG26" s="19"/>
      <c r="DYH26" s="19"/>
      <c r="DYI26" s="19"/>
      <c r="DYJ26" s="19"/>
      <c r="DYK26" s="19"/>
      <c r="DYL26" s="19"/>
      <c r="DYM26" s="19"/>
      <c r="DYN26" s="19"/>
      <c r="DYO26" s="19"/>
      <c r="DYP26" s="19"/>
      <c r="DYQ26" s="19"/>
      <c r="DYR26" s="19"/>
      <c r="DYS26" s="19"/>
      <c r="DYT26" s="19"/>
      <c r="DYU26" s="19"/>
      <c r="DYV26" s="19"/>
      <c r="DYW26" s="19"/>
      <c r="DYX26" s="19"/>
      <c r="DYY26" s="19"/>
      <c r="DYZ26" s="19"/>
      <c r="DZA26" s="19"/>
      <c r="DZB26" s="19"/>
      <c r="DZC26" s="19"/>
      <c r="DZD26" s="19"/>
      <c r="DZE26" s="19"/>
      <c r="DZF26" s="19"/>
      <c r="DZG26" s="19"/>
      <c r="DZH26" s="19"/>
      <c r="DZI26" s="19"/>
      <c r="DZJ26" s="19"/>
      <c r="DZK26" s="19"/>
      <c r="DZL26" s="19"/>
      <c r="DZM26" s="19"/>
      <c r="DZN26" s="19"/>
      <c r="DZO26" s="19"/>
      <c r="DZP26" s="19"/>
      <c r="DZQ26" s="19"/>
      <c r="DZR26" s="19"/>
      <c r="DZS26" s="19"/>
      <c r="DZT26" s="19"/>
      <c r="DZU26" s="19"/>
      <c r="DZV26" s="19"/>
      <c r="DZW26" s="19"/>
      <c r="DZX26" s="19"/>
      <c r="DZY26" s="19"/>
      <c r="DZZ26" s="19"/>
      <c r="EAA26" s="19"/>
      <c r="EAB26" s="19"/>
      <c r="EAC26" s="19"/>
      <c r="EAD26" s="19"/>
      <c r="EAE26" s="19"/>
      <c r="EAF26" s="19"/>
      <c r="EAG26" s="19"/>
      <c r="EAH26" s="19"/>
      <c r="EAI26" s="19"/>
      <c r="EAJ26" s="19"/>
      <c r="EAK26" s="19"/>
      <c r="EAL26" s="19"/>
      <c r="EAM26" s="19"/>
      <c r="EAN26" s="19"/>
      <c r="EAO26" s="19"/>
      <c r="EAP26" s="19"/>
      <c r="EAQ26" s="19"/>
      <c r="EAR26" s="19"/>
      <c r="EAS26" s="19"/>
      <c r="EAT26" s="19"/>
      <c r="EAU26" s="19"/>
      <c r="EAV26" s="19"/>
      <c r="EAW26" s="19"/>
      <c r="EAX26" s="19"/>
      <c r="EAY26" s="19"/>
      <c r="EAZ26" s="19"/>
      <c r="EBA26" s="19"/>
      <c r="EBB26" s="19"/>
      <c r="EBC26" s="19"/>
      <c r="EBD26" s="19"/>
      <c r="EBE26" s="19"/>
      <c r="EBF26" s="19"/>
      <c r="EBG26" s="19"/>
      <c r="EBH26" s="19"/>
      <c r="EBI26" s="19"/>
      <c r="EBJ26" s="19"/>
      <c r="EBK26" s="19"/>
      <c r="EBL26" s="19"/>
      <c r="EBM26" s="19"/>
      <c r="EBN26" s="19"/>
      <c r="EBO26" s="19"/>
      <c r="EBP26" s="19"/>
      <c r="EBQ26" s="19"/>
      <c r="EBR26" s="19"/>
      <c r="EBS26" s="19"/>
      <c r="EBT26" s="19"/>
      <c r="EBU26" s="19"/>
      <c r="EBV26" s="19"/>
      <c r="EBW26" s="19"/>
      <c r="EBX26" s="19"/>
      <c r="EBY26" s="19"/>
      <c r="EBZ26" s="19"/>
      <c r="ECA26" s="19"/>
      <c r="ECB26" s="19"/>
      <c r="ECC26" s="19"/>
      <c r="ECD26" s="19"/>
      <c r="ECE26" s="19"/>
      <c r="ECF26" s="19"/>
      <c r="ECG26" s="19"/>
      <c r="ECH26" s="19"/>
      <c r="ECI26" s="19"/>
      <c r="ECJ26" s="19"/>
      <c r="ECK26" s="19"/>
      <c r="ECL26" s="19"/>
      <c r="ECM26" s="19"/>
      <c r="ECN26" s="19"/>
      <c r="ECO26" s="19"/>
      <c r="ECP26" s="19"/>
      <c r="ECQ26" s="19"/>
      <c r="ECR26" s="19"/>
      <c r="ECS26" s="19"/>
      <c r="ECT26" s="19"/>
      <c r="ECU26" s="19"/>
      <c r="ECV26" s="19"/>
      <c r="ECW26" s="19"/>
      <c r="ECX26" s="19"/>
      <c r="ECY26" s="19"/>
      <c r="ECZ26" s="19"/>
      <c r="EDA26" s="19"/>
      <c r="EDB26" s="19"/>
      <c r="EDC26" s="19"/>
      <c r="EDD26" s="19"/>
      <c r="EDE26" s="19"/>
      <c r="EDF26" s="19"/>
      <c r="EDG26" s="19"/>
      <c r="EDH26" s="19"/>
      <c r="EDI26" s="19"/>
      <c r="EDJ26" s="19"/>
      <c r="EDK26" s="19"/>
      <c r="EDL26" s="19"/>
      <c r="EDM26" s="19"/>
      <c r="EDN26" s="19"/>
      <c r="EDO26" s="19"/>
      <c r="EDP26" s="19"/>
      <c r="EDQ26" s="19"/>
      <c r="EDR26" s="19"/>
      <c r="EDS26" s="19"/>
      <c r="EDT26" s="19"/>
      <c r="EDU26" s="19"/>
      <c r="EDV26" s="19"/>
      <c r="EDW26" s="19"/>
      <c r="EDX26" s="19"/>
      <c r="EDY26" s="19"/>
      <c r="EDZ26" s="19"/>
      <c r="EEA26" s="19"/>
      <c r="EEB26" s="19"/>
      <c r="EEC26" s="19"/>
      <c r="EED26" s="19"/>
      <c r="EEE26" s="19"/>
      <c r="EEF26" s="19"/>
      <c r="EEG26" s="19"/>
      <c r="EEH26" s="19"/>
      <c r="EEI26" s="19"/>
      <c r="EEJ26" s="19"/>
      <c r="EEK26" s="19"/>
      <c r="EEL26" s="19"/>
      <c r="EEM26" s="19"/>
      <c r="EEN26" s="19"/>
      <c r="EEO26" s="19"/>
      <c r="EEP26" s="19"/>
      <c r="EEQ26" s="19"/>
      <c r="EER26" s="19"/>
      <c r="EES26" s="19"/>
      <c r="EET26" s="19"/>
      <c r="EEU26" s="19"/>
      <c r="EEV26" s="19"/>
      <c r="EEW26" s="19"/>
      <c r="EEX26" s="19"/>
      <c r="EEY26" s="19"/>
      <c r="EEZ26" s="19"/>
      <c r="EFA26" s="19"/>
      <c r="EFB26" s="19"/>
      <c r="EFC26" s="19"/>
      <c r="EFD26" s="19"/>
      <c r="EFE26" s="19"/>
      <c r="EFF26" s="19"/>
      <c r="EFG26" s="19"/>
      <c r="EFH26" s="19"/>
      <c r="EFI26" s="19"/>
      <c r="EFJ26" s="19"/>
      <c r="EFK26" s="19"/>
      <c r="EFL26" s="19"/>
      <c r="EFM26" s="19"/>
      <c r="EFN26" s="19"/>
      <c r="EFO26" s="19"/>
      <c r="EFP26" s="19"/>
      <c r="EFQ26" s="19"/>
      <c r="EFR26" s="19"/>
      <c r="EFS26" s="19"/>
      <c r="EFT26" s="19"/>
      <c r="EFU26" s="19"/>
      <c r="EFV26" s="19"/>
      <c r="EFW26" s="19"/>
      <c r="EFX26" s="19"/>
      <c r="EFY26" s="19"/>
      <c r="EFZ26" s="19"/>
      <c r="EGA26" s="19"/>
      <c r="EGB26" s="19"/>
      <c r="EGC26" s="19"/>
      <c r="EGD26" s="19"/>
      <c r="EGE26" s="19"/>
      <c r="EGF26" s="19"/>
      <c r="EGG26" s="19"/>
      <c r="EGH26" s="19"/>
      <c r="EGI26" s="19"/>
      <c r="EGJ26" s="19"/>
      <c r="EGK26" s="19"/>
      <c r="EGL26" s="19"/>
      <c r="EGM26" s="19"/>
      <c r="EGN26" s="19"/>
      <c r="EGO26" s="19"/>
      <c r="EGP26" s="19"/>
      <c r="EGQ26" s="19"/>
      <c r="EGR26" s="19"/>
      <c r="EGS26" s="19"/>
      <c r="EGT26" s="19"/>
      <c r="EGU26" s="19"/>
      <c r="EGV26" s="19"/>
      <c r="EGW26" s="19"/>
      <c r="EGX26" s="19"/>
      <c r="EGY26" s="19"/>
      <c r="EGZ26" s="19"/>
      <c r="EHA26" s="19"/>
      <c r="EHB26" s="19"/>
      <c r="EHC26" s="19"/>
      <c r="EHD26" s="19"/>
      <c r="EHE26" s="19"/>
      <c r="EHF26" s="19"/>
      <c r="EHG26" s="19"/>
      <c r="EHH26" s="19"/>
      <c r="EHI26" s="19"/>
      <c r="EHJ26" s="19"/>
      <c r="EHK26" s="19"/>
      <c r="EHL26" s="19"/>
      <c r="EHM26" s="19"/>
      <c r="EHN26" s="19"/>
      <c r="EHO26" s="19"/>
      <c r="EHP26" s="19"/>
      <c r="EHQ26" s="19"/>
      <c r="EHR26" s="19"/>
      <c r="EHS26" s="19"/>
      <c r="EHT26" s="19"/>
      <c r="EHU26" s="19"/>
      <c r="EHV26" s="19"/>
      <c r="EHW26" s="19"/>
      <c r="EHX26" s="19"/>
      <c r="EHY26" s="19"/>
      <c r="EHZ26" s="19"/>
      <c r="EIA26" s="19"/>
      <c r="EIB26" s="19"/>
      <c r="EIC26" s="19"/>
      <c r="EID26" s="19"/>
      <c r="EIE26" s="19"/>
      <c r="EIF26" s="19"/>
      <c r="EIG26" s="19"/>
      <c r="EIH26" s="19"/>
      <c r="EII26" s="19"/>
      <c r="EIJ26" s="19"/>
      <c r="EIK26" s="19"/>
      <c r="EIL26" s="19"/>
      <c r="EIM26" s="19"/>
      <c r="EIN26" s="19"/>
      <c r="EIO26" s="19"/>
      <c r="EIP26" s="19"/>
      <c r="EIQ26" s="19"/>
      <c r="EIR26" s="19"/>
      <c r="EIS26" s="19"/>
      <c r="EIT26" s="19"/>
      <c r="EIU26" s="19"/>
      <c r="EIV26" s="19"/>
      <c r="EIW26" s="19"/>
      <c r="EIX26" s="19"/>
      <c r="EIY26" s="19"/>
      <c r="EIZ26" s="19"/>
      <c r="EJA26" s="19"/>
      <c r="EJB26" s="19"/>
      <c r="EJC26" s="19"/>
      <c r="EJD26" s="19"/>
      <c r="EJE26" s="19"/>
      <c r="EJF26" s="19"/>
      <c r="EJG26" s="19"/>
      <c r="EJH26" s="19"/>
      <c r="EJI26" s="19"/>
      <c r="EJJ26" s="19"/>
      <c r="EJK26" s="19"/>
      <c r="EJL26" s="19"/>
      <c r="EJM26" s="19"/>
      <c r="EJN26" s="19"/>
      <c r="EJO26" s="19"/>
      <c r="EJP26" s="19"/>
      <c r="EJQ26" s="19"/>
      <c r="EJR26" s="19"/>
      <c r="EJS26" s="19"/>
      <c r="EJT26" s="19"/>
      <c r="EJU26" s="19"/>
      <c r="EJV26" s="19"/>
      <c r="EJW26" s="19"/>
      <c r="EJX26" s="19"/>
      <c r="EJY26" s="19"/>
      <c r="EJZ26" s="19"/>
      <c r="EKA26" s="19"/>
      <c r="EKB26" s="19"/>
      <c r="EKC26" s="19"/>
      <c r="EKD26" s="19"/>
      <c r="EKE26" s="19"/>
      <c r="EKF26" s="19"/>
      <c r="EKG26" s="19"/>
      <c r="EKH26" s="19"/>
      <c r="EKI26" s="19"/>
      <c r="EKJ26" s="19"/>
      <c r="EKK26" s="19"/>
      <c r="EKL26" s="19"/>
      <c r="EKM26" s="19"/>
      <c r="EKN26" s="19"/>
      <c r="EKO26" s="19"/>
      <c r="EKP26" s="19"/>
      <c r="EKQ26" s="19"/>
      <c r="EKR26" s="19"/>
      <c r="EKS26" s="19"/>
      <c r="EKT26" s="19"/>
      <c r="EKU26" s="19"/>
      <c r="EKV26" s="19"/>
      <c r="EKW26" s="19"/>
      <c r="EKX26" s="19"/>
      <c r="EKY26" s="19"/>
      <c r="EKZ26" s="19"/>
      <c r="ELA26" s="19"/>
      <c r="ELB26" s="19"/>
      <c r="ELC26" s="19"/>
      <c r="ELD26" s="19"/>
      <c r="ELE26" s="19"/>
      <c r="ELF26" s="19"/>
      <c r="ELG26" s="19"/>
      <c r="ELH26" s="19"/>
      <c r="ELI26" s="19"/>
      <c r="ELJ26" s="19"/>
      <c r="ELK26" s="19"/>
      <c r="ELL26" s="19"/>
      <c r="ELM26" s="19"/>
      <c r="ELN26" s="19"/>
      <c r="ELO26" s="19"/>
      <c r="ELP26" s="19"/>
      <c r="ELQ26" s="19"/>
      <c r="ELR26" s="19"/>
      <c r="ELS26" s="19"/>
      <c r="ELT26" s="19"/>
      <c r="ELU26" s="19"/>
      <c r="ELV26" s="19"/>
      <c r="ELW26" s="19"/>
      <c r="ELX26" s="19"/>
      <c r="ELY26" s="19"/>
      <c r="ELZ26" s="19"/>
      <c r="EMA26" s="19"/>
      <c r="EMB26" s="19"/>
      <c r="EMC26" s="19"/>
      <c r="EMD26" s="19"/>
      <c r="EME26" s="19"/>
      <c r="EMF26" s="19"/>
      <c r="EMG26" s="19"/>
      <c r="EMH26" s="19"/>
      <c r="EMI26" s="19"/>
      <c r="EMJ26" s="19"/>
      <c r="EMK26" s="19"/>
      <c r="EML26" s="19"/>
      <c r="EMM26" s="19"/>
      <c r="EMN26" s="19"/>
      <c r="EMO26" s="19"/>
      <c r="EMP26" s="19"/>
      <c r="EMQ26" s="19"/>
      <c r="EMR26" s="19"/>
      <c r="EMS26" s="19"/>
      <c r="EMT26" s="19"/>
      <c r="EMU26" s="19"/>
      <c r="EMV26" s="19"/>
      <c r="EMW26" s="19"/>
      <c r="EMX26" s="19"/>
      <c r="EMY26" s="19"/>
      <c r="EMZ26" s="19"/>
      <c r="ENA26" s="19"/>
      <c r="ENB26" s="19"/>
      <c r="ENC26" s="19"/>
      <c r="END26" s="19"/>
      <c r="ENE26" s="19"/>
      <c r="ENF26" s="19"/>
      <c r="ENG26" s="19"/>
      <c r="ENH26" s="19"/>
      <c r="ENI26" s="19"/>
      <c r="ENJ26" s="19"/>
      <c r="ENK26" s="19"/>
      <c r="ENL26" s="19"/>
      <c r="ENM26" s="19"/>
      <c r="ENN26" s="19"/>
      <c r="ENO26" s="19"/>
      <c r="ENP26" s="19"/>
      <c r="ENQ26" s="19"/>
      <c r="ENR26" s="19"/>
      <c r="ENS26" s="19"/>
      <c r="ENT26" s="19"/>
      <c r="ENU26" s="19"/>
      <c r="ENV26" s="19"/>
      <c r="ENW26" s="19"/>
      <c r="ENX26" s="19"/>
      <c r="ENY26" s="19"/>
      <c r="ENZ26" s="19"/>
      <c r="EOA26" s="19"/>
      <c r="EOB26" s="19"/>
      <c r="EOC26" s="19"/>
      <c r="EOD26" s="19"/>
      <c r="EOE26" s="19"/>
      <c r="EOF26" s="19"/>
      <c r="EOG26" s="19"/>
      <c r="EOH26" s="19"/>
      <c r="EOI26" s="19"/>
      <c r="EOJ26" s="19"/>
      <c r="EOK26" s="19"/>
      <c r="EOL26" s="19"/>
      <c r="EOM26" s="19"/>
      <c r="EON26" s="19"/>
      <c r="EOO26" s="19"/>
      <c r="EOP26" s="19"/>
      <c r="EOQ26" s="19"/>
      <c r="EOR26" s="19"/>
      <c r="EOS26" s="19"/>
      <c r="EOT26" s="19"/>
      <c r="EOU26" s="19"/>
      <c r="EOV26" s="19"/>
      <c r="EOW26" s="19"/>
      <c r="EOX26" s="19"/>
      <c r="EOY26" s="19"/>
      <c r="EOZ26" s="19"/>
      <c r="EPA26" s="19"/>
      <c r="EPB26" s="19"/>
      <c r="EPC26" s="19"/>
      <c r="EPD26" s="19"/>
      <c r="EPE26" s="19"/>
      <c r="EPF26" s="19"/>
      <c r="EPG26" s="19"/>
      <c r="EPH26" s="19"/>
      <c r="EPI26" s="19"/>
      <c r="EPJ26" s="19"/>
      <c r="EPK26" s="19"/>
      <c r="EPL26" s="19"/>
      <c r="EPM26" s="19"/>
      <c r="EPN26" s="19"/>
      <c r="EPO26" s="19"/>
      <c r="EPP26" s="19"/>
      <c r="EPQ26" s="19"/>
      <c r="EPR26" s="19"/>
      <c r="EPS26" s="19"/>
      <c r="EPT26" s="19"/>
      <c r="EPU26" s="19"/>
      <c r="EPV26" s="19"/>
      <c r="EPW26" s="19"/>
      <c r="EPX26" s="19"/>
      <c r="EPY26" s="19"/>
      <c r="EPZ26" s="19"/>
      <c r="EQA26" s="19"/>
      <c r="EQB26" s="19"/>
      <c r="EQC26" s="19"/>
      <c r="EQD26" s="19"/>
      <c r="EQE26" s="19"/>
      <c r="EQF26" s="19"/>
      <c r="EQG26" s="19"/>
      <c r="EQH26" s="19"/>
      <c r="EQI26" s="19"/>
      <c r="EQJ26" s="19"/>
      <c r="EQK26" s="19"/>
      <c r="EQL26" s="19"/>
      <c r="EQM26" s="19"/>
      <c r="EQN26" s="19"/>
      <c r="EQO26" s="19"/>
      <c r="EQP26" s="19"/>
      <c r="EQQ26" s="19"/>
      <c r="EQR26" s="19"/>
      <c r="EQS26" s="19"/>
      <c r="EQT26" s="19"/>
      <c r="EQU26" s="19"/>
      <c r="EQV26" s="19"/>
      <c r="EQW26" s="19"/>
      <c r="EQX26" s="19"/>
      <c r="EQY26" s="19"/>
      <c r="EQZ26" s="19"/>
      <c r="ERA26" s="19"/>
      <c r="ERB26" s="19"/>
      <c r="ERC26" s="19"/>
      <c r="ERD26" s="19"/>
      <c r="ERE26" s="19"/>
      <c r="ERF26" s="19"/>
      <c r="ERG26" s="19"/>
      <c r="ERH26" s="19"/>
      <c r="ERI26" s="19"/>
      <c r="ERJ26" s="19"/>
      <c r="ERK26" s="19"/>
      <c r="ERL26" s="19"/>
      <c r="ERM26" s="19"/>
      <c r="ERN26" s="19"/>
      <c r="ERO26" s="19"/>
      <c r="ERP26" s="19"/>
      <c r="ERQ26" s="19"/>
      <c r="ERR26" s="19"/>
      <c r="ERS26" s="19"/>
      <c r="ERT26" s="19"/>
      <c r="ERU26" s="19"/>
      <c r="ERV26" s="19"/>
      <c r="ERW26" s="19"/>
      <c r="ERX26" s="19"/>
      <c r="ERY26" s="19"/>
      <c r="ERZ26" s="19"/>
      <c r="ESA26" s="19"/>
      <c r="ESB26" s="19"/>
      <c r="ESC26" s="19"/>
      <c r="ESD26" s="19"/>
      <c r="ESE26" s="19"/>
      <c r="ESF26" s="19"/>
      <c r="ESG26" s="19"/>
      <c r="ESH26" s="19"/>
      <c r="ESI26" s="19"/>
      <c r="ESJ26" s="19"/>
      <c r="ESK26" s="19"/>
      <c r="ESL26" s="19"/>
      <c r="ESM26" s="19"/>
      <c r="ESN26" s="19"/>
      <c r="ESO26" s="19"/>
      <c r="ESP26" s="19"/>
      <c r="ESQ26" s="19"/>
      <c r="ESR26" s="19"/>
      <c r="ESS26" s="19"/>
      <c r="EST26" s="19"/>
      <c r="ESU26" s="19"/>
      <c r="ESV26" s="19"/>
      <c r="ESW26" s="19"/>
      <c r="ESX26" s="19"/>
      <c r="ESY26" s="19"/>
      <c r="ESZ26" s="19"/>
      <c r="ETA26" s="19"/>
      <c r="ETB26" s="19"/>
      <c r="ETC26" s="19"/>
      <c r="ETD26" s="19"/>
      <c r="ETE26" s="19"/>
      <c r="ETF26" s="19"/>
      <c r="ETG26" s="19"/>
      <c r="ETH26" s="19"/>
      <c r="ETI26" s="19"/>
      <c r="ETJ26" s="19"/>
      <c r="ETK26" s="19"/>
      <c r="ETL26" s="19"/>
      <c r="ETM26" s="19"/>
      <c r="ETN26" s="19"/>
      <c r="ETO26" s="19"/>
      <c r="ETP26" s="19"/>
      <c r="ETQ26" s="19"/>
      <c r="ETR26" s="19"/>
      <c r="ETS26" s="19"/>
      <c r="ETT26" s="19"/>
      <c r="ETU26" s="19"/>
      <c r="ETV26" s="19"/>
      <c r="ETW26" s="19"/>
      <c r="ETX26" s="19"/>
      <c r="ETY26" s="19"/>
      <c r="ETZ26" s="19"/>
      <c r="EUA26" s="19"/>
      <c r="EUB26" s="19"/>
      <c r="EUC26" s="19"/>
      <c r="EUD26" s="19"/>
      <c r="EUE26" s="19"/>
      <c r="EUF26" s="19"/>
      <c r="EUG26" s="19"/>
      <c r="EUH26" s="19"/>
      <c r="EUI26" s="19"/>
      <c r="EUJ26" s="19"/>
      <c r="EUK26" s="19"/>
      <c r="EUL26" s="19"/>
      <c r="EUM26" s="19"/>
      <c r="EUN26" s="19"/>
      <c r="EUO26" s="19"/>
      <c r="EUP26" s="19"/>
      <c r="EUQ26" s="19"/>
      <c r="EUR26" s="19"/>
      <c r="EUS26" s="19"/>
      <c r="EUT26" s="19"/>
      <c r="EUU26" s="19"/>
      <c r="EUV26" s="19"/>
      <c r="EUW26" s="19"/>
      <c r="EUX26" s="19"/>
      <c r="EUY26" s="19"/>
      <c r="EUZ26" s="19"/>
      <c r="EVA26" s="19"/>
      <c r="EVB26" s="19"/>
      <c r="EVC26" s="19"/>
      <c r="EVD26" s="19"/>
      <c r="EVE26" s="19"/>
      <c r="EVF26" s="19"/>
      <c r="EVG26" s="19"/>
      <c r="EVH26" s="19"/>
      <c r="EVI26" s="19"/>
      <c r="EVJ26" s="19"/>
      <c r="EVK26" s="19"/>
      <c r="EVL26" s="19"/>
      <c r="EVM26" s="19"/>
      <c r="EVN26" s="19"/>
      <c r="EVO26" s="19"/>
      <c r="EVP26" s="19"/>
      <c r="EVQ26" s="19"/>
      <c r="EVR26" s="19"/>
      <c r="EVS26" s="19"/>
      <c r="EVT26" s="19"/>
      <c r="EVU26" s="19"/>
      <c r="EVV26" s="19"/>
      <c r="EVW26" s="19"/>
      <c r="EVX26" s="19"/>
      <c r="EVY26" s="19"/>
      <c r="EVZ26" s="19"/>
      <c r="EWA26" s="19"/>
      <c r="EWB26" s="19"/>
      <c r="EWC26" s="19"/>
      <c r="EWD26" s="19"/>
      <c r="EWE26" s="19"/>
      <c r="EWF26" s="19"/>
      <c r="EWG26" s="19"/>
      <c r="EWH26" s="19"/>
      <c r="EWI26" s="19"/>
      <c r="EWJ26" s="19"/>
      <c r="EWK26" s="19"/>
      <c r="EWL26" s="19"/>
      <c r="EWM26" s="19"/>
      <c r="EWN26" s="19"/>
      <c r="EWO26" s="19"/>
      <c r="EWP26" s="19"/>
      <c r="EWQ26" s="19"/>
      <c r="EWR26" s="19"/>
      <c r="EWS26" s="19"/>
      <c r="EWT26" s="19"/>
      <c r="EWU26" s="19"/>
      <c r="EWV26" s="19"/>
      <c r="EWW26" s="19"/>
      <c r="EWX26" s="19"/>
      <c r="EWY26" s="19"/>
      <c r="EWZ26" s="19"/>
      <c r="EXA26" s="19"/>
      <c r="EXB26" s="19"/>
      <c r="EXC26" s="19"/>
      <c r="EXD26" s="19"/>
      <c r="EXE26" s="19"/>
      <c r="EXF26" s="19"/>
      <c r="EXG26" s="19"/>
      <c r="EXH26" s="19"/>
      <c r="EXI26" s="19"/>
      <c r="EXJ26" s="19"/>
      <c r="EXK26" s="19"/>
      <c r="EXL26" s="19"/>
      <c r="EXM26" s="19"/>
      <c r="EXN26" s="19"/>
      <c r="EXO26" s="19"/>
      <c r="EXP26" s="19"/>
      <c r="EXQ26" s="19"/>
      <c r="EXR26" s="19"/>
      <c r="EXS26" s="19"/>
      <c r="EXT26" s="19"/>
      <c r="EXU26" s="19"/>
      <c r="EXV26" s="19"/>
      <c r="EXW26" s="19"/>
      <c r="EXX26" s="19"/>
      <c r="EXY26" s="19"/>
      <c r="EXZ26" s="19"/>
      <c r="EYA26" s="19"/>
      <c r="EYB26" s="19"/>
      <c r="EYC26" s="19"/>
      <c r="EYD26" s="19"/>
      <c r="EYE26" s="19"/>
      <c r="EYF26" s="19"/>
      <c r="EYG26" s="19"/>
      <c r="EYH26" s="19"/>
      <c r="EYI26" s="19"/>
      <c r="EYJ26" s="19"/>
      <c r="EYK26" s="19"/>
      <c r="EYL26" s="19"/>
      <c r="EYM26" s="19"/>
      <c r="EYN26" s="19"/>
      <c r="EYO26" s="19"/>
      <c r="EYP26" s="19"/>
      <c r="EYQ26" s="19"/>
      <c r="EYR26" s="19"/>
      <c r="EYS26" s="19"/>
      <c r="EYT26" s="19"/>
      <c r="EYU26" s="19"/>
      <c r="EYV26" s="19"/>
      <c r="EYW26" s="19"/>
      <c r="EYX26" s="19"/>
      <c r="EYY26" s="19"/>
      <c r="EYZ26" s="19"/>
      <c r="EZA26" s="19"/>
      <c r="EZB26" s="19"/>
      <c r="EZC26" s="19"/>
      <c r="EZD26" s="19"/>
      <c r="EZE26" s="19"/>
      <c r="EZF26" s="19"/>
      <c r="EZG26" s="19"/>
      <c r="EZH26" s="19"/>
      <c r="EZI26" s="19"/>
      <c r="EZJ26" s="19"/>
      <c r="EZK26" s="19"/>
      <c r="EZL26" s="19"/>
      <c r="EZM26" s="19"/>
      <c r="EZN26" s="19"/>
      <c r="EZO26" s="19"/>
      <c r="EZP26" s="19"/>
      <c r="EZQ26" s="19"/>
      <c r="EZR26" s="19"/>
      <c r="EZS26" s="19"/>
      <c r="EZT26" s="19"/>
      <c r="EZU26" s="19"/>
      <c r="EZV26" s="19"/>
      <c r="EZW26" s="19"/>
      <c r="EZX26" s="19"/>
      <c r="EZY26" s="19"/>
      <c r="EZZ26" s="19"/>
      <c r="FAA26" s="19"/>
      <c r="FAB26" s="19"/>
      <c r="FAC26" s="19"/>
      <c r="FAD26" s="19"/>
      <c r="FAE26" s="19"/>
      <c r="FAF26" s="19"/>
      <c r="FAG26" s="19"/>
      <c r="FAH26" s="19"/>
      <c r="FAI26" s="19"/>
      <c r="FAJ26" s="19"/>
      <c r="FAK26" s="19"/>
      <c r="FAL26" s="19"/>
      <c r="FAM26" s="19"/>
      <c r="FAN26" s="19"/>
      <c r="FAO26" s="19"/>
      <c r="FAP26" s="19"/>
      <c r="FAQ26" s="19"/>
      <c r="FAR26" s="19"/>
      <c r="FAS26" s="19"/>
      <c r="FAT26" s="19"/>
      <c r="FAU26" s="19"/>
      <c r="FAV26" s="19"/>
      <c r="FAW26" s="19"/>
      <c r="FAX26" s="19"/>
      <c r="FAY26" s="19"/>
      <c r="FAZ26" s="19"/>
      <c r="FBA26" s="19"/>
      <c r="FBB26" s="19"/>
      <c r="FBC26" s="19"/>
      <c r="FBD26" s="19"/>
      <c r="FBE26" s="19"/>
      <c r="FBF26" s="19"/>
      <c r="FBG26" s="19"/>
      <c r="FBH26" s="19"/>
      <c r="FBI26" s="19"/>
      <c r="FBJ26" s="19"/>
      <c r="FBK26" s="19"/>
      <c r="FBL26" s="19"/>
      <c r="FBM26" s="19"/>
      <c r="FBN26" s="19"/>
      <c r="FBO26" s="19"/>
      <c r="FBP26" s="19"/>
      <c r="FBQ26" s="19"/>
      <c r="FBR26" s="19"/>
      <c r="FBS26" s="19"/>
      <c r="FBT26" s="19"/>
      <c r="FBU26" s="19"/>
      <c r="FBV26" s="19"/>
      <c r="FBW26" s="19"/>
      <c r="FBX26" s="19"/>
      <c r="FBY26" s="19"/>
      <c r="FBZ26" s="19"/>
      <c r="FCA26" s="19"/>
      <c r="FCB26" s="19"/>
      <c r="FCC26" s="19"/>
      <c r="FCD26" s="19"/>
      <c r="FCE26" s="19"/>
      <c r="FCF26" s="19"/>
      <c r="FCG26" s="19"/>
      <c r="FCH26" s="19"/>
      <c r="FCI26" s="19"/>
      <c r="FCJ26" s="19"/>
      <c r="FCK26" s="19"/>
      <c r="FCL26" s="19"/>
      <c r="FCM26" s="19"/>
      <c r="FCN26" s="19"/>
      <c r="FCO26" s="19"/>
      <c r="FCP26" s="19"/>
      <c r="FCQ26" s="19"/>
      <c r="FCR26" s="19"/>
      <c r="FCS26" s="19"/>
      <c r="FCT26" s="19"/>
      <c r="FCU26" s="19"/>
      <c r="FCV26" s="19"/>
      <c r="FCW26" s="19"/>
      <c r="FCX26" s="19"/>
      <c r="FCY26" s="19"/>
      <c r="FCZ26" s="19"/>
      <c r="FDA26" s="19"/>
      <c r="FDB26" s="19"/>
      <c r="FDC26" s="19"/>
      <c r="FDD26" s="19"/>
      <c r="FDE26" s="19"/>
      <c r="FDF26" s="19"/>
      <c r="FDG26" s="19"/>
      <c r="FDH26" s="19"/>
      <c r="FDI26" s="19"/>
      <c r="FDJ26" s="19"/>
      <c r="FDK26" s="19"/>
      <c r="FDL26" s="19"/>
      <c r="FDM26" s="19"/>
      <c r="FDN26" s="19"/>
      <c r="FDO26" s="19"/>
      <c r="FDP26" s="19"/>
      <c r="FDQ26" s="19"/>
      <c r="FDR26" s="19"/>
      <c r="FDS26" s="19"/>
      <c r="FDT26" s="19"/>
      <c r="FDU26" s="19"/>
      <c r="FDV26" s="19"/>
      <c r="FDW26" s="19"/>
      <c r="FDX26" s="19"/>
      <c r="FDY26" s="19"/>
      <c r="FDZ26" s="19"/>
      <c r="FEA26" s="19"/>
      <c r="FEB26" s="19"/>
      <c r="FEC26" s="19"/>
      <c r="FED26" s="19"/>
      <c r="FEE26" s="19"/>
      <c r="FEF26" s="19"/>
      <c r="FEG26" s="19"/>
      <c r="FEH26" s="19"/>
      <c r="FEI26" s="19"/>
      <c r="FEJ26" s="19"/>
      <c r="FEK26" s="19"/>
      <c r="FEL26" s="19"/>
      <c r="FEM26" s="19"/>
      <c r="FEN26" s="19"/>
      <c r="FEO26" s="19"/>
      <c r="FEP26" s="19"/>
      <c r="FEQ26" s="19"/>
      <c r="FER26" s="19"/>
      <c r="FES26" s="19"/>
      <c r="FET26" s="19"/>
      <c r="FEU26" s="19"/>
      <c r="FEV26" s="19"/>
      <c r="FEW26" s="19"/>
      <c r="FEX26" s="19"/>
      <c r="FEY26" s="19"/>
      <c r="FEZ26" s="19"/>
      <c r="FFA26" s="19"/>
      <c r="FFB26" s="19"/>
      <c r="FFC26" s="19"/>
      <c r="FFD26" s="19"/>
      <c r="FFE26" s="19"/>
      <c r="FFF26" s="19"/>
      <c r="FFG26" s="19"/>
      <c r="FFH26" s="19"/>
      <c r="FFI26" s="19"/>
      <c r="FFJ26" s="19"/>
      <c r="FFK26" s="19"/>
      <c r="FFL26" s="19"/>
      <c r="FFM26" s="19"/>
      <c r="FFN26" s="19"/>
      <c r="FFO26" s="19"/>
      <c r="FFP26" s="19"/>
      <c r="FFQ26" s="19"/>
      <c r="FFR26" s="19"/>
      <c r="FFS26" s="19"/>
      <c r="FFT26" s="19"/>
      <c r="FFU26" s="19"/>
      <c r="FFV26" s="19"/>
      <c r="FFW26" s="19"/>
      <c r="FFX26" s="19"/>
      <c r="FFY26" s="19"/>
      <c r="FFZ26" s="19"/>
      <c r="FGA26" s="19"/>
      <c r="FGB26" s="19"/>
      <c r="FGC26" s="19"/>
      <c r="FGD26" s="19"/>
      <c r="FGE26" s="19"/>
      <c r="FGF26" s="19"/>
      <c r="FGG26" s="19"/>
      <c r="FGH26" s="19"/>
      <c r="FGI26" s="19"/>
      <c r="FGJ26" s="19"/>
      <c r="FGK26" s="19"/>
      <c r="FGL26" s="19"/>
      <c r="FGM26" s="19"/>
      <c r="FGN26" s="19"/>
      <c r="FGO26" s="19"/>
      <c r="FGP26" s="19"/>
      <c r="FGQ26" s="19"/>
      <c r="FGR26" s="19"/>
      <c r="FGS26" s="19"/>
      <c r="FGT26" s="19"/>
      <c r="FGU26" s="19"/>
      <c r="FGV26" s="19"/>
      <c r="FGW26" s="19"/>
      <c r="FGX26" s="19"/>
      <c r="FGY26" s="19"/>
      <c r="FGZ26" s="19"/>
      <c r="FHA26" s="19"/>
      <c r="FHB26" s="19"/>
      <c r="FHC26" s="19"/>
      <c r="FHD26" s="19"/>
      <c r="FHE26" s="19"/>
      <c r="FHF26" s="19"/>
      <c r="FHG26" s="19"/>
      <c r="FHH26" s="19"/>
      <c r="FHI26" s="19"/>
      <c r="FHJ26" s="19"/>
      <c r="FHK26" s="19"/>
      <c r="FHL26" s="19"/>
      <c r="FHM26" s="19"/>
      <c r="FHN26" s="19"/>
      <c r="FHO26" s="19"/>
      <c r="FHP26" s="19"/>
      <c r="FHQ26" s="19"/>
      <c r="FHR26" s="19"/>
      <c r="FHS26" s="19"/>
      <c r="FHT26" s="19"/>
      <c r="FHU26" s="19"/>
      <c r="FHV26" s="19"/>
      <c r="FHW26" s="19"/>
      <c r="FHX26" s="19"/>
      <c r="FHY26" s="19"/>
      <c r="FHZ26" s="19"/>
      <c r="FIA26" s="19"/>
      <c r="FIB26" s="19"/>
      <c r="FIC26" s="19"/>
      <c r="FID26" s="19"/>
      <c r="FIE26" s="19"/>
      <c r="FIF26" s="19"/>
      <c r="FIG26" s="19"/>
      <c r="FIH26" s="19"/>
      <c r="FII26" s="19"/>
      <c r="FIJ26" s="19"/>
      <c r="FIK26" s="19"/>
      <c r="FIL26" s="19"/>
      <c r="FIM26" s="19"/>
      <c r="FIN26" s="19"/>
      <c r="FIO26" s="19"/>
      <c r="FIP26" s="19"/>
      <c r="FIQ26" s="19"/>
      <c r="FIR26" s="19"/>
      <c r="FIS26" s="19"/>
      <c r="FIT26" s="19"/>
      <c r="FIU26" s="19"/>
      <c r="FIV26" s="19"/>
      <c r="FIW26" s="19"/>
      <c r="FIX26" s="19"/>
      <c r="FIY26" s="19"/>
      <c r="FIZ26" s="19"/>
      <c r="FJA26" s="19"/>
      <c r="FJB26" s="19"/>
      <c r="FJC26" s="19"/>
      <c r="FJD26" s="19"/>
      <c r="FJE26" s="19"/>
      <c r="FJF26" s="19"/>
      <c r="FJG26" s="19"/>
      <c r="FJH26" s="19"/>
      <c r="FJI26" s="19"/>
      <c r="FJJ26" s="19"/>
      <c r="FJK26" s="19"/>
      <c r="FJL26" s="19"/>
      <c r="FJM26" s="19"/>
      <c r="FJN26" s="19"/>
      <c r="FJO26" s="19"/>
      <c r="FJP26" s="19"/>
      <c r="FJQ26" s="19"/>
      <c r="FJR26" s="19"/>
      <c r="FJS26" s="19"/>
      <c r="FJT26" s="19"/>
      <c r="FJU26" s="19"/>
      <c r="FJV26" s="19"/>
      <c r="FJW26" s="19"/>
      <c r="FJX26" s="19"/>
      <c r="FJY26" s="19"/>
      <c r="FJZ26" s="19"/>
      <c r="FKA26" s="19"/>
      <c r="FKB26" s="19"/>
      <c r="FKC26" s="19"/>
      <c r="FKD26" s="19"/>
      <c r="FKE26" s="19"/>
      <c r="FKF26" s="19"/>
      <c r="FKG26" s="19"/>
      <c r="FKH26" s="19"/>
      <c r="FKI26" s="19"/>
      <c r="FKJ26" s="19"/>
      <c r="FKK26" s="19"/>
      <c r="FKL26" s="19"/>
      <c r="FKM26" s="19"/>
      <c r="FKN26" s="19"/>
      <c r="FKO26" s="19"/>
      <c r="FKP26" s="19"/>
      <c r="FKQ26" s="19"/>
      <c r="FKR26" s="19"/>
      <c r="FKS26" s="19"/>
      <c r="FKT26" s="19"/>
      <c r="FKU26" s="19"/>
      <c r="FKV26" s="19"/>
      <c r="FKW26" s="19"/>
      <c r="FKX26" s="19"/>
      <c r="FKY26" s="19"/>
      <c r="FKZ26" s="19"/>
      <c r="FLA26" s="19"/>
      <c r="FLB26" s="19"/>
      <c r="FLC26" s="19"/>
      <c r="FLD26" s="19"/>
      <c r="FLE26" s="19"/>
      <c r="FLF26" s="19"/>
      <c r="FLG26" s="19"/>
      <c r="FLH26" s="19"/>
      <c r="FLI26" s="19"/>
      <c r="FLJ26" s="19"/>
      <c r="FLK26" s="19"/>
      <c r="FLL26" s="19"/>
      <c r="FLM26" s="19"/>
      <c r="FLN26" s="19"/>
      <c r="FLO26" s="19"/>
      <c r="FLP26" s="19"/>
      <c r="FLQ26" s="19"/>
      <c r="FLR26" s="19"/>
      <c r="FLS26" s="19"/>
      <c r="FLT26" s="19"/>
      <c r="FLU26" s="19"/>
      <c r="FLV26" s="19"/>
      <c r="FLW26" s="19"/>
      <c r="FLX26" s="19"/>
      <c r="FLY26" s="19"/>
      <c r="FLZ26" s="19"/>
      <c r="FMA26" s="19"/>
      <c r="FMB26" s="19"/>
      <c r="FMC26" s="19"/>
      <c r="FMD26" s="19"/>
      <c r="FME26" s="19"/>
      <c r="FMF26" s="19"/>
      <c r="FMG26" s="19"/>
      <c r="FMH26" s="19"/>
      <c r="FMI26" s="19"/>
      <c r="FMJ26" s="19"/>
      <c r="FMK26" s="19"/>
      <c r="FML26" s="19"/>
      <c r="FMM26" s="19"/>
      <c r="FMN26" s="19"/>
      <c r="FMO26" s="19"/>
      <c r="FMP26" s="19"/>
      <c r="FMQ26" s="19"/>
      <c r="FMR26" s="19"/>
      <c r="FMS26" s="19"/>
      <c r="FMT26" s="19"/>
      <c r="FMU26" s="19"/>
      <c r="FMV26" s="19"/>
      <c r="FMW26" s="19"/>
      <c r="FMX26" s="19"/>
      <c r="FMY26" s="19"/>
      <c r="FMZ26" s="19"/>
      <c r="FNA26" s="19"/>
      <c r="FNB26" s="19"/>
      <c r="FNC26" s="19"/>
      <c r="FND26" s="19"/>
      <c r="FNE26" s="19"/>
      <c r="FNF26" s="19"/>
      <c r="FNG26" s="19"/>
      <c r="FNH26" s="19"/>
      <c r="FNI26" s="19"/>
      <c r="FNJ26" s="19"/>
      <c r="FNK26" s="19"/>
      <c r="FNL26" s="19"/>
      <c r="FNM26" s="19"/>
      <c r="FNN26" s="19"/>
      <c r="FNO26" s="19"/>
      <c r="FNP26" s="19"/>
      <c r="FNQ26" s="19"/>
      <c r="FNR26" s="19"/>
      <c r="FNS26" s="19"/>
      <c r="FNT26" s="19"/>
      <c r="FNU26" s="19"/>
      <c r="FNV26" s="19"/>
      <c r="FNW26" s="19"/>
      <c r="FNX26" s="19"/>
      <c r="FNY26" s="19"/>
      <c r="FNZ26" s="19"/>
      <c r="FOA26" s="19"/>
      <c r="FOB26" s="19"/>
      <c r="FOC26" s="19"/>
      <c r="FOD26" s="19"/>
      <c r="FOE26" s="19"/>
      <c r="FOF26" s="19"/>
      <c r="FOG26" s="19"/>
      <c r="FOH26" s="19"/>
      <c r="FOI26" s="19"/>
      <c r="FOJ26" s="19"/>
      <c r="FOK26" s="19"/>
      <c r="FOL26" s="19"/>
      <c r="FOM26" s="19"/>
      <c r="FON26" s="19"/>
      <c r="FOO26" s="19"/>
      <c r="FOP26" s="19"/>
      <c r="FOQ26" s="19"/>
      <c r="FOR26" s="19"/>
      <c r="FOS26" s="19"/>
      <c r="FOT26" s="19"/>
      <c r="FOU26" s="19"/>
      <c r="FOV26" s="19"/>
      <c r="FOW26" s="19"/>
      <c r="FOX26" s="19"/>
      <c r="FOY26" s="19"/>
      <c r="FOZ26" s="19"/>
      <c r="FPA26" s="19"/>
      <c r="FPB26" s="19"/>
      <c r="FPC26" s="19"/>
      <c r="FPD26" s="19"/>
      <c r="FPE26" s="19"/>
      <c r="FPF26" s="19"/>
      <c r="FPG26" s="19"/>
      <c r="FPH26" s="19"/>
      <c r="FPI26" s="19"/>
      <c r="FPJ26" s="19"/>
      <c r="FPK26" s="19"/>
      <c r="FPL26" s="19"/>
      <c r="FPM26" s="19"/>
      <c r="FPN26" s="19"/>
      <c r="FPO26" s="19"/>
      <c r="FPP26" s="19"/>
      <c r="FPQ26" s="19"/>
      <c r="FPR26" s="19"/>
      <c r="FPS26" s="19"/>
      <c r="FPT26" s="19"/>
      <c r="FPU26" s="19"/>
      <c r="FPV26" s="19"/>
      <c r="FPW26" s="19"/>
      <c r="FPX26" s="19"/>
      <c r="FPY26" s="19"/>
      <c r="FPZ26" s="19"/>
      <c r="FQA26" s="19"/>
      <c r="FQB26" s="19"/>
      <c r="FQC26" s="19"/>
      <c r="FQD26" s="19"/>
      <c r="FQE26" s="19"/>
      <c r="FQF26" s="19"/>
      <c r="FQG26" s="19"/>
      <c r="FQH26" s="19"/>
      <c r="FQI26" s="19"/>
      <c r="FQJ26" s="19"/>
      <c r="FQK26" s="19"/>
      <c r="FQL26" s="19"/>
      <c r="FQM26" s="19"/>
      <c r="FQN26" s="19"/>
      <c r="FQO26" s="19"/>
      <c r="FQP26" s="19"/>
      <c r="FQQ26" s="19"/>
      <c r="FQR26" s="19"/>
      <c r="FQS26" s="19"/>
      <c r="FQT26" s="19"/>
      <c r="FQU26" s="19"/>
      <c r="FQV26" s="19"/>
      <c r="FQW26" s="19"/>
      <c r="FQX26" s="19"/>
      <c r="FQY26" s="19"/>
      <c r="FQZ26" s="19"/>
      <c r="FRA26" s="19"/>
      <c r="FRB26" s="19"/>
      <c r="FRC26" s="19"/>
      <c r="FRD26" s="19"/>
      <c r="FRE26" s="19"/>
      <c r="FRF26" s="19"/>
      <c r="FRG26" s="19"/>
      <c r="FRH26" s="19"/>
      <c r="FRI26" s="19"/>
      <c r="FRJ26" s="19"/>
      <c r="FRK26" s="19"/>
      <c r="FRL26" s="19"/>
      <c r="FRM26" s="19"/>
      <c r="FRN26" s="19"/>
      <c r="FRO26" s="19"/>
      <c r="FRP26" s="19"/>
      <c r="FRQ26" s="19"/>
      <c r="FRR26" s="19"/>
      <c r="FRS26" s="19"/>
      <c r="FRT26" s="19"/>
      <c r="FRU26" s="19"/>
      <c r="FRV26" s="19"/>
      <c r="FRW26" s="19"/>
      <c r="FRX26" s="19"/>
      <c r="FRY26" s="19"/>
      <c r="FRZ26" s="19"/>
      <c r="FSA26" s="19"/>
      <c r="FSB26" s="19"/>
      <c r="FSC26" s="19"/>
      <c r="FSD26" s="19"/>
      <c r="FSE26" s="19"/>
      <c r="FSF26" s="19"/>
      <c r="FSG26" s="19"/>
      <c r="FSH26" s="19"/>
      <c r="FSI26" s="19"/>
      <c r="FSJ26" s="19"/>
      <c r="FSK26" s="19"/>
      <c r="FSL26" s="19"/>
      <c r="FSM26" s="19"/>
      <c r="FSN26" s="19"/>
      <c r="FSO26" s="19"/>
      <c r="FSP26" s="19"/>
      <c r="FSQ26" s="19"/>
      <c r="FSR26" s="19"/>
      <c r="FSS26" s="19"/>
      <c r="FST26" s="19"/>
      <c r="FSU26" s="19"/>
      <c r="FSV26" s="19"/>
      <c r="FSW26" s="19"/>
      <c r="FSX26" s="19"/>
      <c r="FSY26" s="19"/>
      <c r="FSZ26" s="19"/>
      <c r="FTA26" s="19"/>
      <c r="FTB26" s="19"/>
      <c r="FTC26" s="19"/>
      <c r="FTD26" s="19"/>
      <c r="FTE26" s="19"/>
      <c r="FTF26" s="19"/>
      <c r="FTG26" s="19"/>
      <c r="FTH26" s="19"/>
      <c r="FTI26" s="19"/>
      <c r="FTJ26" s="19"/>
      <c r="FTK26" s="19"/>
      <c r="FTL26" s="19"/>
      <c r="FTM26" s="19"/>
      <c r="FTN26" s="19"/>
      <c r="FTO26" s="19"/>
      <c r="FTP26" s="19"/>
      <c r="FTQ26" s="19"/>
      <c r="FTR26" s="19"/>
      <c r="FTS26" s="19"/>
      <c r="FTT26" s="19"/>
      <c r="FTU26" s="19"/>
      <c r="FTV26" s="19"/>
      <c r="FTW26" s="19"/>
      <c r="FTX26" s="19"/>
      <c r="FTY26" s="19"/>
      <c r="FTZ26" s="19"/>
      <c r="FUA26" s="19"/>
      <c r="FUB26" s="19"/>
      <c r="FUC26" s="19"/>
      <c r="FUD26" s="19"/>
      <c r="FUE26" s="19"/>
      <c r="FUF26" s="19"/>
      <c r="FUG26" s="19"/>
      <c r="FUH26" s="19"/>
      <c r="FUI26" s="19"/>
      <c r="FUJ26" s="19"/>
      <c r="FUK26" s="19"/>
      <c r="FUL26" s="19"/>
      <c r="FUM26" s="19"/>
      <c r="FUN26" s="19"/>
      <c r="FUO26" s="19"/>
      <c r="FUP26" s="19"/>
      <c r="FUQ26" s="19"/>
      <c r="FUR26" s="19"/>
      <c r="FUS26" s="19"/>
      <c r="FUT26" s="19"/>
      <c r="FUU26" s="19"/>
      <c r="FUV26" s="19"/>
      <c r="FUW26" s="19"/>
      <c r="FUX26" s="19"/>
      <c r="FUY26" s="19"/>
      <c r="FUZ26" s="19"/>
      <c r="FVA26" s="19"/>
      <c r="FVB26" s="19"/>
      <c r="FVC26" s="19"/>
      <c r="FVD26" s="19"/>
      <c r="FVE26" s="19"/>
      <c r="FVF26" s="19"/>
      <c r="FVG26" s="19"/>
      <c r="FVH26" s="19"/>
      <c r="FVI26" s="19"/>
      <c r="FVJ26" s="19"/>
      <c r="FVK26" s="19"/>
      <c r="FVL26" s="19"/>
      <c r="FVM26" s="19"/>
      <c r="FVN26" s="19"/>
      <c r="FVO26" s="19"/>
      <c r="FVP26" s="19"/>
      <c r="FVQ26" s="19"/>
      <c r="FVR26" s="19"/>
      <c r="FVS26" s="19"/>
      <c r="FVT26" s="19"/>
      <c r="FVU26" s="19"/>
      <c r="FVV26" s="19"/>
      <c r="FVW26" s="19"/>
      <c r="FVX26" s="19"/>
      <c r="FVY26" s="19"/>
      <c r="FVZ26" s="19"/>
      <c r="FWA26" s="19"/>
      <c r="FWB26" s="19"/>
      <c r="FWC26" s="19"/>
      <c r="FWD26" s="19"/>
      <c r="FWE26" s="19"/>
      <c r="FWF26" s="19"/>
      <c r="FWG26" s="19"/>
      <c r="FWH26" s="19"/>
      <c r="FWI26" s="19"/>
      <c r="FWJ26" s="19"/>
      <c r="FWK26" s="19"/>
      <c r="FWL26" s="19"/>
      <c r="FWM26" s="19"/>
      <c r="FWN26" s="19"/>
      <c r="FWO26" s="19"/>
      <c r="FWP26" s="19"/>
      <c r="FWQ26" s="19"/>
      <c r="FWR26" s="19"/>
      <c r="FWS26" s="19"/>
      <c r="FWT26" s="19"/>
      <c r="FWU26" s="19"/>
      <c r="FWV26" s="19"/>
      <c r="FWW26" s="19"/>
      <c r="FWX26" s="19"/>
      <c r="FWY26" s="19"/>
      <c r="FWZ26" s="19"/>
      <c r="FXA26" s="19"/>
      <c r="FXB26" s="19"/>
      <c r="FXC26" s="19"/>
      <c r="FXD26" s="19"/>
      <c r="FXE26" s="19"/>
      <c r="FXF26" s="19"/>
      <c r="FXG26" s="19"/>
      <c r="FXH26" s="19"/>
      <c r="FXI26" s="19"/>
      <c r="FXJ26" s="19"/>
      <c r="FXK26" s="19"/>
      <c r="FXL26" s="19"/>
      <c r="FXM26" s="19"/>
      <c r="FXN26" s="19"/>
      <c r="FXO26" s="19"/>
      <c r="FXP26" s="19"/>
      <c r="FXQ26" s="19"/>
      <c r="FXR26" s="19"/>
      <c r="FXS26" s="19"/>
      <c r="FXT26" s="19"/>
      <c r="FXU26" s="19"/>
      <c r="FXV26" s="19"/>
      <c r="FXW26" s="19"/>
      <c r="FXX26" s="19"/>
      <c r="FXY26" s="19"/>
      <c r="FXZ26" s="19"/>
      <c r="FYA26" s="19"/>
      <c r="FYB26" s="19"/>
      <c r="FYC26" s="19"/>
      <c r="FYD26" s="19"/>
      <c r="FYE26" s="19"/>
      <c r="FYF26" s="19"/>
      <c r="FYG26" s="19"/>
      <c r="FYH26" s="19"/>
      <c r="FYI26" s="19"/>
      <c r="FYJ26" s="19"/>
      <c r="FYK26" s="19"/>
      <c r="FYL26" s="19"/>
      <c r="FYM26" s="19"/>
      <c r="FYN26" s="19"/>
      <c r="FYO26" s="19"/>
      <c r="FYP26" s="19"/>
      <c r="FYQ26" s="19"/>
      <c r="FYR26" s="19"/>
      <c r="FYS26" s="19"/>
      <c r="FYT26" s="19"/>
      <c r="FYU26" s="19"/>
      <c r="FYV26" s="19"/>
      <c r="FYW26" s="19"/>
      <c r="FYX26" s="19"/>
      <c r="FYY26" s="19"/>
      <c r="FYZ26" s="19"/>
      <c r="FZA26" s="19"/>
      <c r="FZB26" s="19"/>
      <c r="FZC26" s="19"/>
      <c r="FZD26" s="19"/>
      <c r="FZE26" s="19"/>
      <c r="FZF26" s="19"/>
      <c r="FZG26" s="19"/>
      <c r="FZH26" s="19"/>
      <c r="FZI26" s="19"/>
      <c r="FZJ26" s="19"/>
      <c r="FZK26" s="19"/>
      <c r="FZL26" s="19"/>
      <c r="FZM26" s="19"/>
      <c r="FZN26" s="19"/>
      <c r="FZO26" s="19"/>
      <c r="FZP26" s="19"/>
      <c r="FZQ26" s="19"/>
      <c r="FZR26" s="19"/>
      <c r="FZS26" s="19"/>
      <c r="FZT26" s="19"/>
      <c r="FZU26" s="19"/>
      <c r="FZV26" s="19"/>
      <c r="FZW26" s="19"/>
      <c r="FZX26" s="19"/>
      <c r="FZY26" s="19"/>
      <c r="FZZ26" s="19"/>
      <c r="GAA26" s="19"/>
      <c r="GAB26" s="19"/>
      <c r="GAC26" s="19"/>
      <c r="GAD26" s="19"/>
      <c r="GAE26" s="19"/>
      <c r="GAF26" s="19"/>
      <c r="GAG26" s="19"/>
      <c r="GAH26" s="19"/>
      <c r="GAI26" s="19"/>
      <c r="GAJ26" s="19"/>
      <c r="GAK26" s="19"/>
      <c r="GAL26" s="19"/>
      <c r="GAM26" s="19"/>
      <c r="GAN26" s="19"/>
      <c r="GAO26" s="19"/>
      <c r="GAP26" s="19"/>
      <c r="GAQ26" s="19"/>
      <c r="GAR26" s="19"/>
      <c r="GAS26" s="19"/>
      <c r="GAT26" s="19"/>
      <c r="GAU26" s="19"/>
      <c r="GAV26" s="19"/>
      <c r="GAW26" s="19"/>
      <c r="GAX26" s="19"/>
      <c r="GAY26" s="19"/>
      <c r="GAZ26" s="19"/>
      <c r="GBA26" s="19"/>
      <c r="GBB26" s="19"/>
      <c r="GBC26" s="19"/>
      <c r="GBD26" s="19"/>
      <c r="GBE26" s="19"/>
      <c r="GBF26" s="19"/>
      <c r="GBG26" s="19"/>
      <c r="GBH26" s="19"/>
      <c r="GBI26" s="19"/>
      <c r="GBJ26" s="19"/>
      <c r="GBK26" s="19"/>
      <c r="GBL26" s="19"/>
      <c r="GBM26" s="19"/>
      <c r="GBN26" s="19"/>
      <c r="GBO26" s="19"/>
      <c r="GBP26" s="19"/>
      <c r="GBQ26" s="19"/>
      <c r="GBR26" s="19"/>
      <c r="GBS26" s="19"/>
      <c r="GBT26" s="19"/>
      <c r="GBU26" s="19"/>
      <c r="GBV26" s="19"/>
      <c r="GBW26" s="19"/>
      <c r="GBX26" s="19"/>
      <c r="GBY26" s="19"/>
      <c r="GBZ26" s="19"/>
      <c r="GCA26" s="19"/>
      <c r="GCB26" s="19"/>
      <c r="GCC26" s="19"/>
      <c r="GCD26" s="19"/>
      <c r="GCE26" s="19"/>
      <c r="GCF26" s="19"/>
      <c r="GCG26" s="19"/>
      <c r="GCH26" s="19"/>
      <c r="GCI26" s="19"/>
      <c r="GCJ26" s="19"/>
      <c r="GCK26" s="19"/>
      <c r="GCL26" s="19"/>
      <c r="GCM26" s="19"/>
      <c r="GCN26" s="19"/>
      <c r="GCO26" s="19"/>
      <c r="GCP26" s="19"/>
      <c r="GCQ26" s="19"/>
      <c r="GCR26" s="19"/>
      <c r="GCS26" s="19"/>
      <c r="GCT26" s="19"/>
      <c r="GCU26" s="19"/>
      <c r="GCV26" s="19"/>
      <c r="GCW26" s="19"/>
      <c r="GCX26" s="19"/>
      <c r="GCY26" s="19"/>
      <c r="GCZ26" s="19"/>
      <c r="GDA26" s="19"/>
      <c r="GDB26" s="19"/>
      <c r="GDC26" s="19"/>
      <c r="GDD26" s="19"/>
      <c r="GDE26" s="19"/>
      <c r="GDF26" s="19"/>
      <c r="GDG26" s="19"/>
      <c r="GDH26" s="19"/>
      <c r="GDI26" s="19"/>
      <c r="GDJ26" s="19"/>
      <c r="GDK26" s="19"/>
      <c r="GDL26" s="19"/>
      <c r="GDM26" s="19"/>
      <c r="GDN26" s="19"/>
      <c r="GDO26" s="19"/>
      <c r="GDP26" s="19"/>
      <c r="GDQ26" s="19"/>
      <c r="GDR26" s="19"/>
      <c r="GDS26" s="19"/>
      <c r="GDT26" s="19"/>
      <c r="GDU26" s="19"/>
      <c r="GDV26" s="19"/>
      <c r="GDW26" s="19"/>
      <c r="GDX26" s="19"/>
      <c r="GDY26" s="19"/>
      <c r="GDZ26" s="19"/>
      <c r="GEA26" s="19"/>
      <c r="GEB26" s="19"/>
      <c r="GEC26" s="19"/>
      <c r="GED26" s="19"/>
      <c r="GEE26" s="19"/>
      <c r="GEF26" s="19"/>
      <c r="GEG26" s="19"/>
      <c r="GEH26" s="19"/>
      <c r="GEI26" s="19"/>
      <c r="GEJ26" s="19"/>
      <c r="GEK26" s="19"/>
      <c r="GEL26" s="19"/>
      <c r="GEM26" s="19"/>
      <c r="GEN26" s="19"/>
      <c r="GEO26" s="19"/>
      <c r="GEP26" s="19"/>
      <c r="GEQ26" s="19"/>
      <c r="GER26" s="19"/>
      <c r="GES26" s="19"/>
      <c r="GET26" s="19"/>
      <c r="GEU26" s="19"/>
      <c r="GEV26" s="19"/>
      <c r="GEW26" s="19"/>
      <c r="GEX26" s="19"/>
      <c r="GEY26" s="19"/>
      <c r="GEZ26" s="19"/>
      <c r="GFA26" s="19"/>
      <c r="GFB26" s="19"/>
      <c r="GFC26" s="19"/>
      <c r="GFD26" s="19"/>
      <c r="GFE26" s="19"/>
      <c r="GFF26" s="19"/>
      <c r="GFG26" s="19"/>
      <c r="GFH26" s="19"/>
      <c r="GFI26" s="19"/>
      <c r="GFJ26" s="19"/>
      <c r="GFK26" s="19"/>
      <c r="GFL26" s="19"/>
      <c r="GFM26" s="19"/>
      <c r="GFN26" s="19"/>
      <c r="GFO26" s="19"/>
      <c r="GFP26" s="19"/>
      <c r="GFQ26" s="19"/>
      <c r="GFR26" s="19"/>
      <c r="GFS26" s="19"/>
      <c r="GFT26" s="19"/>
      <c r="GFU26" s="19"/>
      <c r="GFV26" s="19"/>
      <c r="GFW26" s="19"/>
      <c r="GFX26" s="19"/>
      <c r="GFY26" s="19"/>
      <c r="GFZ26" s="19"/>
      <c r="GGA26" s="19"/>
      <c r="GGB26" s="19"/>
      <c r="GGC26" s="19"/>
      <c r="GGD26" s="19"/>
      <c r="GGE26" s="19"/>
      <c r="GGF26" s="19"/>
      <c r="GGG26" s="19"/>
      <c r="GGH26" s="19"/>
      <c r="GGI26" s="19"/>
      <c r="GGJ26" s="19"/>
      <c r="GGK26" s="19"/>
      <c r="GGL26" s="19"/>
      <c r="GGM26" s="19"/>
      <c r="GGN26" s="19"/>
      <c r="GGO26" s="19"/>
      <c r="GGP26" s="19"/>
      <c r="GGQ26" s="19"/>
      <c r="GGR26" s="19"/>
      <c r="GGS26" s="19"/>
      <c r="GGT26" s="19"/>
      <c r="GGU26" s="19"/>
      <c r="GGV26" s="19"/>
      <c r="GGW26" s="19"/>
      <c r="GGX26" s="19"/>
      <c r="GGY26" s="19"/>
      <c r="GGZ26" s="19"/>
      <c r="GHA26" s="19"/>
      <c r="GHB26" s="19"/>
      <c r="GHC26" s="19"/>
      <c r="GHD26" s="19"/>
      <c r="GHE26" s="19"/>
      <c r="GHF26" s="19"/>
      <c r="GHG26" s="19"/>
      <c r="GHH26" s="19"/>
      <c r="GHI26" s="19"/>
      <c r="GHJ26" s="19"/>
      <c r="GHK26" s="19"/>
      <c r="GHL26" s="19"/>
      <c r="GHM26" s="19"/>
      <c r="GHN26" s="19"/>
      <c r="GHO26" s="19"/>
      <c r="GHP26" s="19"/>
      <c r="GHQ26" s="19"/>
      <c r="GHR26" s="19"/>
      <c r="GHS26" s="19"/>
      <c r="GHT26" s="19"/>
      <c r="GHU26" s="19"/>
      <c r="GHV26" s="19"/>
      <c r="GHW26" s="19"/>
      <c r="GHX26" s="19"/>
      <c r="GHY26" s="19"/>
      <c r="GHZ26" s="19"/>
      <c r="GIA26" s="19"/>
      <c r="GIB26" s="19"/>
      <c r="GIC26" s="19"/>
      <c r="GID26" s="19"/>
      <c r="GIE26" s="19"/>
      <c r="GIF26" s="19"/>
      <c r="GIG26" s="19"/>
      <c r="GIH26" s="19"/>
      <c r="GII26" s="19"/>
      <c r="GIJ26" s="19"/>
      <c r="GIK26" s="19"/>
      <c r="GIL26" s="19"/>
      <c r="GIM26" s="19"/>
      <c r="GIN26" s="19"/>
      <c r="GIO26" s="19"/>
      <c r="GIP26" s="19"/>
      <c r="GIQ26" s="19"/>
      <c r="GIR26" s="19"/>
      <c r="GIS26" s="19"/>
      <c r="GIT26" s="19"/>
      <c r="GIU26" s="19"/>
      <c r="GIV26" s="19"/>
      <c r="GIW26" s="19"/>
      <c r="GIX26" s="19"/>
      <c r="GIY26" s="19"/>
      <c r="GIZ26" s="19"/>
      <c r="GJA26" s="19"/>
      <c r="GJB26" s="19"/>
      <c r="GJC26" s="19"/>
      <c r="GJD26" s="19"/>
      <c r="GJE26" s="19"/>
      <c r="GJF26" s="19"/>
      <c r="GJG26" s="19"/>
      <c r="GJH26" s="19"/>
      <c r="GJI26" s="19"/>
      <c r="GJJ26" s="19"/>
      <c r="GJK26" s="19"/>
      <c r="GJL26" s="19"/>
      <c r="GJM26" s="19"/>
      <c r="GJN26" s="19"/>
      <c r="GJO26" s="19"/>
      <c r="GJP26" s="19"/>
      <c r="GJQ26" s="19"/>
      <c r="GJR26" s="19"/>
      <c r="GJS26" s="19"/>
      <c r="GJT26" s="19"/>
      <c r="GJU26" s="19"/>
      <c r="GJV26" s="19"/>
      <c r="GJW26" s="19"/>
      <c r="GJX26" s="19"/>
      <c r="GJY26" s="19"/>
      <c r="GJZ26" s="19"/>
      <c r="GKA26" s="19"/>
      <c r="GKB26" s="19"/>
      <c r="GKC26" s="19"/>
      <c r="GKD26" s="19"/>
      <c r="GKE26" s="19"/>
      <c r="GKF26" s="19"/>
      <c r="GKG26" s="19"/>
      <c r="GKH26" s="19"/>
      <c r="GKI26" s="19"/>
      <c r="GKJ26" s="19"/>
      <c r="GKK26" s="19"/>
      <c r="GKL26" s="19"/>
      <c r="GKM26" s="19"/>
      <c r="GKN26" s="19"/>
      <c r="GKO26" s="19"/>
      <c r="GKP26" s="19"/>
      <c r="GKQ26" s="19"/>
      <c r="GKR26" s="19"/>
      <c r="GKS26" s="19"/>
      <c r="GKT26" s="19"/>
      <c r="GKU26" s="19"/>
      <c r="GKV26" s="19"/>
      <c r="GKW26" s="19"/>
      <c r="GKX26" s="19"/>
      <c r="GKY26" s="19"/>
      <c r="GKZ26" s="19"/>
      <c r="GLA26" s="19"/>
      <c r="GLB26" s="19"/>
      <c r="GLC26" s="19"/>
      <c r="GLD26" s="19"/>
      <c r="GLE26" s="19"/>
      <c r="GLF26" s="19"/>
      <c r="GLG26" s="19"/>
      <c r="GLH26" s="19"/>
      <c r="GLI26" s="19"/>
      <c r="GLJ26" s="19"/>
      <c r="GLK26" s="19"/>
      <c r="GLL26" s="19"/>
      <c r="GLM26" s="19"/>
      <c r="GLN26" s="19"/>
      <c r="GLO26" s="19"/>
      <c r="GLP26" s="19"/>
      <c r="GLQ26" s="19"/>
      <c r="GLR26" s="19"/>
      <c r="GLS26" s="19"/>
      <c r="GLT26" s="19"/>
      <c r="GLU26" s="19"/>
      <c r="GLV26" s="19"/>
      <c r="GLW26" s="19"/>
      <c r="GLX26" s="19"/>
      <c r="GLY26" s="19"/>
      <c r="GLZ26" s="19"/>
      <c r="GMA26" s="19"/>
      <c r="GMB26" s="19"/>
      <c r="GMC26" s="19"/>
      <c r="GMD26" s="19"/>
      <c r="GME26" s="19"/>
      <c r="GMF26" s="19"/>
      <c r="GMG26" s="19"/>
      <c r="GMH26" s="19"/>
      <c r="GMI26" s="19"/>
      <c r="GMJ26" s="19"/>
      <c r="GMK26" s="19"/>
      <c r="GML26" s="19"/>
      <c r="GMM26" s="19"/>
      <c r="GMN26" s="19"/>
      <c r="GMO26" s="19"/>
      <c r="GMP26" s="19"/>
      <c r="GMQ26" s="19"/>
      <c r="GMR26" s="19"/>
      <c r="GMS26" s="19"/>
      <c r="GMT26" s="19"/>
      <c r="GMU26" s="19"/>
      <c r="GMV26" s="19"/>
      <c r="GMW26" s="19"/>
      <c r="GMX26" s="19"/>
      <c r="GMY26" s="19"/>
      <c r="GMZ26" s="19"/>
      <c r="GNA26" s="19"/>
      <c r="GNB26" s="19"/>
      <c r="GNC26" s="19"/>
      <c r="GND26" s="19"/>
      <c r="GNE26" s="19"/>
      <c r="GNF26" s="19"/>
      <c r="GNG26" s="19"/>
      <c r="GNH26" s="19"/>
      <c r="GNI26" s="19"/>
      <c r="GNJ26" s="19"/>
      <c r="GNK26" s="19"/>
      <c r="GNL26" s="19"/>
      <c r="GNM26" s="19"/>
      <c r="GNN26" s="19"/>
      <c r="GNO26" s="19"/>
      <c r="GNP26" s="19"/>
      <c r="GNQ26" s="19"/>
      <c r="GNR26" s="19"/>
      <c r="GNS26" s="19"/>
      <c r="GNT26" s="19"/>
      <c r="GNU26" s="19"/>
      <c r="GNV26" s="19"/>
      <c r="GNW26" s="19"/>
      <c r="GNX26" s="19"/>
      <c r="GNY26" s="19"/>
      <c r="GNZ26" s="19"/>
      <c r="GOA26" s="19"/>
      <c r="GOB26" s="19"/>
      <c r="GOC26" s="19"/>
      <c r="GOD26" s="19"/>
      <c r="GOE26" s="19"/>
      <c r="GOF26" s="19"/>
      <c r="GOG26" s="19"/>
      <c r="GOH26" s="19"/>
      <c r="GOI26" s="19"/>
      <c r="GOJ26" s="19"/>
      <c r="GOK26" s="19"/>
      <c r="GOL26" s="19"/>
      <c r="GOM26" s="19"/>
      <c r="GON26" s="19"/>
      <c r="GOO26" s="19"/>
      <c r="GOP26" s="19"/>
      <c r="GOQ26" s="19"/>
      <c r="GOR26" s="19"/>
      <c r="GOS26" s="19"/>
      <c r="GOT26" s="19"/>
      <c r="GOU26" s="19"/>
      <c r="GOV26" s="19"/>
      <c r="GOW26" s="19"/>
      <c r="GOX26" s="19"/>
      <c r="GOY26" s="19"/>
      <c r="GOZ26" s="19"/>
      <c r="GPA26" s="19"/>
      <c r="GPB26" s="19"/>
      <c r="GPC26" s="19"/>
      <c r="GPD26" s="19"/>
      <c r="GPE26" s="19"/>
      <c r="GPF26" s="19"/>
      <c r="GPG26" s="19"/>
      <c r="GPH26" s="19"/>
      <c r="GPI26" s="19"/>
      <c r="GPJ26" s="19"/>
      <c r="GPK26" s="19"/>
      <c r="GPL26" s="19"/>
      <c r="GPM26" s="19"/>
      <c r="GPN26" s="19"/>
      <c r="GPO26" s="19"/>
      <c r="GPP26" s="19"/>
      <c r="GPQ26" s="19"/>
      <c r="GPR26" s="19"/>
      <c r="GPS26" s="19"/>
      <c r="GPT26" s="19"/>
      <c r="GPU26" s="19"/>
      <c r="GPV26" s="19"/>
      <c r="GPW26" s="19"/>
      <c r="GPX26" s="19"/>
      <c r="GPY26" s="19"/>
      <c r="GPZ26" s="19"/>
      <c r="GQA26" s="19"/>
      <c r="GQB26" s="19"/>
      <c r="GQC26" s="19"/>
      <c r="GQD26" s="19"/>
      <c r="GQE26" s="19"/>
      <c r="GQF26" s="19"/>
      <c r="GQG26" s="19"/>
      <c r="GQH26" s="19"/>
      <c r="GQI26" s="19"/>
      <c r="GQJ26" s="19"/>
      <c r="GQK26" s="19"/>
      <c r="GQL26" s="19"/>
      <c r="GQM26" s="19"/>
      <c r="GQN26" s="19"/>
      <c r="GQO26" s="19"/>
      <c r="GQP26" s="19"/>
      <c r="GQQ26" s="19"/>
      <c r="GQR26" s="19"/>
      <c r="GQS26" s="19"/>
      <c r="GQT26" s="19"/>
      <c r="GQU26" s="19"/>
      <c r="GQV26" s="19"/>
      <c r="GQW26" s="19"/>
      <c r="GQX26" s="19"/>
      <c r="GQY26" s="19"/>
      <c r="GQZ26" s="19"/>
      <c r="GRA26" s="19"/>
      <c r="GRB26" s="19"/>
      <c r="GRC26" s="19"/>
      <c r="GRD26" s="19"/>
      <c r="GRE26" s="19"/>
      <c r="GRF26" s="19"/>
      <c r="GRG26" s="19"/>
      <c r="GRH26" s="19"/>
      <c r="GRI26" s="19"/>
      <c r="GRJ26" s="19"/>
      <c r="GRK26" s="19"/>
      <c r="GRL26" s="19"/>
      <c r="GRM26" s="19"/>
      <c r="GRN26" s="19"/>
      <c r="GRO26" s="19"/>
      <c r="GRP26" s="19"/>
      <c r="GRQ26" s="19"/>
      <c r="GRR26" s="19"/>
      <c r="GRS26" s="19"/>
      <c r="GRT26" s="19"/>
      <c r="GRU26" s="19"/>
      <c r="GRV26" s="19"/>
      <c r="GRW26" s="19"/>
      <c r="GRX26" s="19"/>
      <c r="GRY26" s="19"/>
      <c r="GRZ26" s="19"/>
      <c r="GSA26" s="19"/>
      <c r="GSB26" s="19"/>
      <c r="GSC26" s="19"/>
      <c r="GSD26" s="19"/>
      <c r="GSE26" s="19"/>
      <c r="GSF26" s="19"/>
      <c r="GSG26" s="19"/>
      <c r="GSH26" s="19"/>
      <c r="GSI26" s="19"/>
      <c r="GSJ26" s="19"/>
      <c r="GSK26" s="19"/>
      <c r="GSL26" s="19"/>
      <c r="GSM26" s="19"/>
      <c r="GSN26" s="19"/>
      <c r="GSO26" s="19"/>
      <c r="GSP26" s="19"/>
      <c r="GSQ26" s="19"/>
      <c r="GSR26" s="19"/>
      <c r="GSS26" s="19"/>
      <c r="GST26" s="19"/>
      <c r="GSU26" s="19"/>
      <c r="GSV26" s="19"/>
      <c r="GSW26" s="19"/>
      <c r="GSX26" s="19"/>
      <c r="GSY26" s="19"/>
      <c r="GSZ26" s="19"/>
      <c r="GTA26" s="19"/>
      <c r="GTB26" s="19"/>
      <c r="GTC26" s="19"/>
      <c r="GTD26" s="19"/>
      <c r="GTE26" s="19"/>
      <c r="GTF26" s="19"/>
      <c r="GTG26" s="19"/>
      <c r="GTH26" s="19"/>
      <c r="GTI26" s="19"/>
      <c r="GTJ26" s="19"/>
      <c r="GTK26" s="19"/>
      <c r="GTL26" s="19"/>
      <c r="GTM26" s="19"/>
      <c r="GTN26" s="19"/>
      <c r="GTO26" s="19"/>
      <c r="GTP26" s="19"/>
      <c r="GTQ26" s="19"/>
      <c r="GTR26" s="19"/>
      <c r="GTS26" s="19"/>
      <c r="GTT26" s="19"/>
      <c r="GTU26" s="19"/>
      <c r="GTV26" s="19"/>
      <c r="GTW26" s="19"/>
      <c r="GTX26" s="19"/>
      <c r="GTY26" s="19"/>
      <c r="GTZ26" s="19"/>
      <c r="GUA26" s="19"/>
      <c r="GUB26" s="19"/>
      <c r="GUC26" s="19"/>
      <c r="GUD26" s="19"/>
      <c r="GUE26" s="19"/>
      <c r="GUF26" s="19"/>
      <c r="GUG26" s="19"/>
      <c r="GUH26" s="19"/>
      <c r="GUI26" s="19"/>
      <c r="GUJ26" s="19"/>
      <c r="GUK26" s="19"/>
      <c r="GUL26" s="19"/>
      <c r="GUM26" s="19"/>
      <c r="GUN26" s="19"/>
      <c r="GUO26" s="19"/>
      <c r="GUP26" s="19"/>
      <c r="GUQ26" s="19"/>
      <c r="GUR26" s="19"/>
      <c r="GUS26" s="19"/>
      <c r="GUT26" s="19"/>
      <c r="GUU26" s="19"/>
      <c r="GUV26" s="19"/>
      <c r="GUW26" s="19"/>
      <c r="GUX26" s="19"/>
      <c r="GUY26" s="19"/>
      <c r="GUZ26" s="19"/>
      <c r="GVA26" s="19"/>
      <c r="GVB26" s="19"/>
      <c r="GVC26" s="19"/>
      <c r="GVD26" s="19"/>
      <c r="GVE26" s="19"/>
      <c r="GVF26" s="19"/>
      <c r="GVG26" s="19"/>
      <c r="GVH26" s="19"/>
      <c r="GVI26" s="19"/>
      <c r="GVJ26" s="19"/>
      <c r="GVK26" s="19"/>
      <c r="GVL26" s="19"/>
      <c r="GVM26" s="19"/>
      <c r="GVN26" s="19"/>
      <c r="GVO26" s="19"/>
      <c r="GVP26" s="19"/>
      <c r="GVQ26" s="19"/>
      <c r="GVR26" s="19"/>
      <c r="GVS26" s="19"/>
      <c r="GVT26" s="19"/>
      <c r="GVU26" s="19"/>
      <c r="GVV26" s="19"/>
      <c r="GVW26" s="19"/>
      <c r="GVX26" s="19"/>
      <c r="GVY26" s="19"/>
      <c r="GVZ26" s="19"/>
      <c r="GWA26" s="19"/>
      <c r="GWB26" s="19"/>
      <c r="GWC26" s="19"/>
      <c r="GWD26" s="19"/>
      <c r="GWE26" s="19"/>
      <c r="GWF26" s="19"/>
      <c r="GWG26" s="19"/>
      <c r="GWH26" s="19"/>
      <c r="GWI26" s="19"/>
      <c r="GWJ26" s="19"/>
      <c r="GWK26" s="19"/>
      <c r="GWL26" s="19"/>
      <c r="GWM26" s="19"/>
      <c r="GWN26" s="19"/>
      <c r="GWO26" s="19"/>
      <c r="GWP26" s="19"/>
      <c r="GWQ26" s="19"/>
      <c r="GWR26" s="19"/>
      <c r="GWS26" s="19"/>
      <c r="GWT26" s="19"/>
      <c r="GWU26" s="19"/>
      <c r="GWV26" s="19"/>
      <c r="GWW26" s="19"/>
      <c r="GWX26" s="19"/>
      <c r="GWY26" s="19"/>
      <c r="GWZ26" s="19"/>
      <c r="GXA26" s="19"/>
      <c r="GXB26" s="19"/>
      <c r="GXC26" s="19"/>
      <c r="GXD26" s="19"/>
      <c r="GXE26" s="19"/>
      <c r="GXF26" s="19"/>
      <c r="GXG26" s="19"/>
      <c r="GXH26" s="19"/>
      <c r="GXI26" s="19"/>
      <c r="GXJ26" s="19"/>
      <c r="GXK26" s="19"/>
      <c r="GXL26" s="19"/>
      <c r="GXM26" s="19"/>
      <c r="GXN26" s="19"/>
      <c r="GXO26" s="19"/>
      <c r="GXP26" s="19"/>
      <c r="GXQ26" s="19"/>
      <c r="GXR26" s="19"/>
      <c r="GXS26" s="19"/>
      <c r="GXT26" s="19"/>
      <c r="GXU26" s="19"/>
      <c r="GXV26" s="19"/>
      <c r="GXW26" s="19"/>
      <c r="GXX26" s="19"/>
      <c r="GXY26" s="19"/>
      <c r="GXZ26" s="19"/>
      <c r="GYA26" s="19"/>
      <c r="GYB26" s="19"/>
      <c r="GYC26" s="19"/>
      <c r="GYD26" s="19"/>
      <c r="GYE26" s="19"/>
      <c r="GYF26" s="19"/>
      <c r="GYG26" s="19"/>
      <c r="GYH26" s="19"/>
      <c r="GYI26" s="19"/>
      <c r="GYJ26" s="19"/>
      <c r="GYK26" s="19"/>
      <c r="GYL26" s="19"/>
      <c r="GYM26" s="19"/>
      <c r="GYN26" s="19"/>
      <c r="GYO26" s="19"/>
      <c r="GYP26" s="19"/>
      <c r="GYQ26" s="19"/>
      <c r="GYR26" s="19"/>
      <c r="GYS26" s="19"/>
      <c r="GYT26" s="19"/>
      <c r="GYU26" s="19"/>
      <c r="GYV26" s="19"/>
      <c r="GYW26" s="19"/>
      <c r="GYX26" s="19"/>
      <c r="GYY26" s="19"/>
      <c r="GYZ26" s="19"/>
      <c r="GZA26" s="19"/>
      <c r="GZB26" s="19"/>
      <c r="GZC26" s="19"/>
      <c r="GZD26" s="19"/>
      <c r="GZE26" s="19"/>
      <c r="GZF26" s="19"/>
      <c r="GZG26" s="19"/>
      <c r="GZH26" s="19"/>
      <c r="GZI26" s="19"/>
      <c r="GZJ26" s="19"/>
      <c r="GZK26" s="19"/>
      <c r="GZL26" s="19"/>
      <c r="GZM26" s="19"/>
      <c r="GZN26" s="19"/>
      <c r="GZO26" s="19"/>
      <c r="GZP26" s="19"/>
      <c r="GZQ26" s="19"/>
      <c r="GZR26" s="19"/>
      <c r="GZS26" s="19"/>
      <c r="GZT26" s="19"/>
      <c r="GZU26" s="19"/>
      <c r="GZV26" s="19"/>
      <c r="GZW26" s="19"/>
      <c r="GZX26" s="19"/>
      <c r="GZY26" s="19"/>
      <c r="GZZ26" s="19"/>
      <c r="HAA26" s="19"/>
      <c r="HAB26" s="19"/>
      <c r="HAC26" s="19"/>
      <c r="HAD26" s="19"/>
      <c r="HAE26" s="19"/>
      <c r="HAF26" s="19"/>
      <c r="HAG26" s="19"/>
      <c r="HAH26" s="19"/>
      <c r="HAI26" s="19"/>
      <c r="HAJ26" s="19"/>
      <c r="HAK26" s="19"/>
      <c r="HAL26" s="19"/>
      <c r="HAM26" s="19"/>
      <c r="HAN26" s="19"/>
      <c r="HAO26" s="19"/>
      <c r="HAP26" s="19"/>
      <c r="HAQ26" s="19"/>
      <c r="HAR26" s="19"/>
      <c r="HAS26" s="19"/>
      <c r="HAT26" s="19"/>
      <c r="HAU26" s="19"/>
      <c r="HAV26" s="19"/>
      <c r="HAW26" s="19"/>
      <c r="HAX26" s="19"/>
      <c r="HAY26" s="19"/>
      <c r="HAZ26" s="19"/>
      <c r="HBA26" s="19"/>
      <c r="HBB26" s="19"/>
      <c r="HBC26" s="19"/>
      <c r="HBD26" s="19"/>
      <c r="HBE26" s="19"/>
      <c r="HBF26" s="19"/>
      <c r="HBG26" s="19"/>
      <c r="HBH26" s="19"/>
      <c r="HBI26" s="19"/>
      <c r="HBJ26" s="19"/>
      <c r="HBK26" s="19"/>
      <c r="HBL26" s="19"/>
      <c r="HBM26" s="19"/>
      <c r="HBN26" s="19"/>
      <c r="HBO26" s="19"/>
      <c r="HBP26" s="19"/>
      <c r="HBQ26" s="19"/>
      <c r="HBR26" s="19"/>
      <c r="HBS26" s="19"/>
      <c r="HBT26" s="19"/>
      <c r="HBU26" s="19"/>
      <c r="HBV26" s="19"/>
      <c r="HBW26" s="19"/>
      <c r="HBX26" s="19"/>
      <c r="HBY26" s="19"/>
      <c r="HBZ26" s="19"/>
      <c r="HCA26" s="19"/>
      <c r="HCB26" s="19"/>
      <c r="HCC26" s="19"/>
      <c r="HCD26" s="19"/>
      <c r="HCE26" s="19"/>
      <c r="HCF26" s="19"/>
      <c r="HCG26" s="19"/>
      <c r="HCH26" s="19"/>
      <c r="HCI26" s="19"/>
      <c r="HCJ26" s="19"/>
      <c r="HCK26" s="19"/>
      <c r="HCL26" s="19"/>
      <c r="HCM26" s="19"/>
      <c r="HCN26" s="19"/>
      <c r="HCO26" s="19"/>
      <c r="HCP26" s="19"/>
      <c r="HCQ26" s="19"/>
      <c r="HCR26" s="19"/>
      <c r="HCS26" s="19"/>
      <c r="HCT26" s="19"/>
      <c r="HCU26" s="19"/>
      <c r="HCV26" s="19"/>
      <c r="HCW26" s="19"/>
      <c r="HCX26" s="19"/>
      <c r="HCY26" s="19"/>
      <c r="HCZ26" s="19"/>
      <c r="HDA26" s="19"/>
      <c r="HDB26" s="19"/>
      <c r="HDC26" s="19"/>
      <c r="HDD26" s="19"/>
      <c r="HDE26" s="19"/>
      <c r="HDF26" s="19"/>
      <c r="HDG26" s="19"/>
      <c r="HDH26" s="19"/>
      <c r="HDI26" s="19"/>
      <c r="HDJ26" s="19"/>
      <c r="HDK26" s="19"/>
      <c r="HDL26" s="19"/>
      <c r="HDM26" s="19"/>
      <c r="HDN26" s="19"/>
      <c r="HDO26" s="19"/>
      <c r="HDP26" s="19"/>
      <c r="HDQ26" s="19"/>
      <c r="HDR26" s="19"/>
      <c r="HDS26" s="19"/>
      <c r="HDT26" s="19"/>
      <c r="HDU26" s="19"/>
      <c r="HDV26" s="19"/>
      <c r="HDW26" s="19"/>
      <c r="HDX26" s="19"/>
      <c r="HDY26" s="19"/>
      <c r="HDZ26" s="19"/>
      <c r="HEA26" s="19"/>
      <c r="HEB26" s="19"/>
      <c r="HEC26" s="19"/>
      <c r="HED26" s="19"/>
      <c r="HEE26" s="19"/>
      <c r="HEF26" s="19"/>
      <c r="HEG26" s="19"/>
      <c r="HEH26" s="19"/>
      <c r="HEI26" s="19"/>
      <c r="HEJ26" s="19"/>
      <c r="HEK26" s="19"/>
      <c r="HEL26" s="19"/>
      <c r="HEM26" s="19"/>
      <c r="HEN26" s="19"/>
      <c r="HEO26" s="19"/>
      <c r="HEP26" s="19"/>
      <c r="HEQ26" s="19"/>
      <c r="HER26" s="19"/>
      <c r="HES26" s="19"/>
      <c r="HET26" s="19"/>
      <c r="HEU26" s="19"/>
      <c r="HEV26" s="19"/>
      <c r="HEW26" s="19"/>
      <c r="HEX26" s="19"/>
      <c r="HEY26" s="19"/>
      <c r="HEZ26" s="19"/>
      <c r="HFA26" s="19"/>
      <c r="HFB26" s="19"/>
      <c r="HFC26" s="19"/>
      <c r="HFD26" s="19"/>
      <c r="HFE26" s="19"/>
      <c r="HFF26" s="19"/>
      <c r="HFG26" s="19"/>
      <c r="HFH26" s="19"/>
      <c r="HFI26" s="19"/>
      <c r="HFJ26" s="19"/>
      <c r="HFK26" s="19"/>
      <c r="HFL26" s="19"/>
      <c r="HFM26" s="19"/>
      <c r="HFN26" s="19"/>
      <c r="HFO26" s="19"/>
      <c r="HFP26" s="19"/>
      <c r="HFQ26" s="19"/>
      <c r="HFR26" s="19"/>
      <c r="HFS26" s="19"/>
      <c r="HFT26" s="19"/>
      <c r="HFU26" s="19"/>
      <c r="HFV26" s="19"/>
      <c r="HFW26" s="19"/>
      <c r="HFX26" s="19"/>
      <c r="HFY26" s="19"/>
      <c r="HFZ26" s="19"/>
      <c r="HGA26" s="19"/>
      <c r="HGB26" s="19"/>
      <c r="HGC26" s="19"/>
      <c r="HGD26" s="19"/>
      <c r="HGE26" s="19"/>
      <c r="HGF26" s="19"/>
      <c r="HGG26" s="19"/>
      <c r="HGH26" s="19"/>
      <c r="HGI26" s="19"/>
      <c r="HGJ26" s="19"/>
      <c r="HGK26" s="19"/>
      <c r="HGL26" s="19"/>
      <c r="HGM26" s="19"/>
      <c r="HGN26" s="19"/>
      <c r="HGO26" s="19"/>
      <c r="HGP26" s="19"/>
      <c r="HGQ26" s="19"/>
      <c r="HGR26" s="19"/>
      <c r="HGS26" s="19"/>
      <c r="HGT26" s="19"/>
      <c r="HGU26" s="19"/>
      <c r="HGV26" s="19"/>
      <c r="HGW26" s="19"/>
      <c r="HGX26" s="19"/>
      <c r="HGY26" s="19"/>
      <c r="HGZ26" s="19"/>
      <c r="HHA26" s="19"/>
      <c r="HHB26" s="19"/>
      <c r="HHC26" s="19"/>
      <c r="HHD26" s="19"/>
      <c r="HHE26" s="19"/>
      <c r="HHF26" s="19"/>
      <c r="HHG26" s="19"/>
      <c r="HHH26" s="19"/>
      <c r="HHI26" s="19"/>
      <c r="HHJ26" s="19"/>
      <c r="HHK26" s="19"/>
      <c r="HHL26" s="19"/>
      <c r="HHM26" s="19"/>
      <c r="HHN26" s="19"/>
      <c r="HHO26" s="19"/>
      <c r="HHP26" s="19"/>
      <c r="HHQ26" s="19"/>
      <c r="HHR26" s="19"/>
      <c r="HHS26" s="19"/>
      <c r="HHT26" s="19"/>
      <c r="HHU26" s="19"/>
      <c r="HHV26" s="19"/>
      <c r="HHW26" s="19"/>
      <c r="HHX26" s="19"/>
      <c r="HHY26" s="19"/>
      <c r="HHZ26" s="19"/>
      <c r="HIA26" s="19"/>
      <c r="HIB26" s="19"/>
      <c r="HIC26" s="19"/>
      <c r="HID26" s="19"/>
      <c r="HIE26" s="19"/>
      <c r="HIF26" s="19"/>
      <c r="HIG26" s="19"/>
      <c r="HIH26" s="19"/>
      <c r="HII26" s="19"/>
      <c r="HIJ26" s="19"/>
      <c r="HIK26" s="19"/>
      <c r="HIL26" s="19"/>
      <c r="HIM26" s="19"/>
      <c r="HIN26" s="19"/>
      <c r="HIO26" s="19"/>
      <c r="HIP26" s="19"/>
      <c r="HIQ26" s="19"/>
      <c r="HIR26" s="19"/>
      <c r="HIS26" s="19"/>
      <c r="HIT26" s="19"/>
      <c r="HIU26" s="19"/>
      <c r="HIV26" s="19"/>
      <c r="HIW26" s="19"/>
      <c r="HIX26" s="19"/>
      <c r="HIY26" s="19"/>
      <c r="HIZ26" s="19"/>
      <c r="HJA26" s="19"/>
      <c r="HJB26" s="19"/>
      <c r="HJC26" s="19"/>
      <c r="HJD26" s="19"/>
      <c r="HJE26" s="19"/>
      <c r="HJF26" s="19"/>
      <c r="HJG26" s="19"/>
      <c r="HJH26" s="19"/>
      <c r="HJI26" s="19"/>
      <c r="HJJ26" s="19"/>
      <c r="HJK26" s="19"/>
      <c r="HJL26" s="19"/>
      <c r="HJM26" s="19"/>
      <c r="HJN26" s="19"/>
      <c r="HJO26" s="19"/>
      <c r="HJP26" s="19"/>
      <c r="HJQ26" s="19"/>
      <c r="HJR26" s="19"/>
      <c r="HJS26" s="19"/>
      <c r="HJT26" s="19"/>
      <c r="HJU26" s="19"/>
      <c r="HJV26" s="19"/>
      <c r="HJW26" s="19"/>
      <c r="HJX26" s="19"/>
      <c r="HJY26" s="19"/>
      <c r="HJZ26" s="19"/>
      <c r="HKA26" s="19"/>
      <c r="HKB26" s="19"/>
      <c r="HKC26" s="19"/>
      <c r="HKD26" s="19"/>
      <c r="HKE26" s="19"/>
      <c r="HKF26" s="19"/>
      <c r="HKG26" s="19"/>
      <c r="HKH26" s="19"/>
      <c r="HKI26" s="19"/>
      <c r="HKJ26" s="19"/>
      <c r="HKK26" s="19"/>
      <c r="HKL26" s="19"/>
      <c r="HKM26" s="19"/>
      <c r="HKN26" s="19"/>
      <c r="HKO26" s="19"/>
      <c r="HKP26" s="19"/>
      <c r="HKQ26" s="19"/>
      <c r="HKR26" s="19"/>
      <c r="HKS26" s="19"/>
      <c r="HKT26" s="19"/>
      <c r="HKU26" s="19"/>
      <c r="HKV26" s="19"/>
      <c r="HKW26" s="19"/>
      <c r="HKX26" s="19"/>
      <c r="HKY26" s="19"/>
      <c r="HKZ26" s="19"/>
      <c r="HLA26" s="19"/>
      <c r="HLB26" s="19"/>
      <c r="HLC26" s="19"/>
      <c r="HLD26" s="19"/>
      <c r="HLE26" s="19"/>
      <c r="HLF26" s="19"/>
      <c r="HLG26" s="19"/>
      <c r="HLH26" s="19"/>
      <c r="HLI26" s="19"/>
      <c r="HLJ26" s="19"/>
      <c r="HLK26" s="19"/>
      <c r="HLL26" s="19"/>
      <c r="HLM26" s="19"/>
      <c r="HLN26" s="19"/>
      <c r="HLO26" s="19"/>
      <c r="HLP26" s="19"/>
      <c r="HLQ26" s="19"/>
      <c r="HLR26" s="19"/>
      <c r="HLS26" s="19"/>
      <c r="HLT26" s="19"/>
      <c r="HLU26" s="19"/>
      <c r="HLV26" s="19"/>
      <c r="HLW26" s="19"/>
      <c r="HLX26" s="19"/>
      <c r="HLY26" s="19"/>
      <c r="HLZ26" s="19"/>
      <c r="HMA26" s="19"/>
      <c r="HMB26" s="19"/>
      <c r="HMC26" s="19"/>
      <c r="HMD26" s="19"/>
      <c r="HME26" s="19"/>
      <c r="HMF26" s="19"/>
      <c r="HMG26" s="19"/>
      <c r="HMH26" s="19"/>
      <c r="HMI26" s="19"/>
      <c r="HMJ26" s="19"/>
      <c r="HMK26" s="19"/>
      <c r="HML26" s="19"/>
      <c r="HMM26" s="19"/>
      <c r="HMN26" s="19"/>
      <c r="HMO26" s="19"/>
      <c r="HMP26" s="19"/>
      <c r="HMQ26" s="19"/>
      <c r="HMR26" s="19"/>
      <c r="HMS26" s="19"/>
      <c r="HMT26" s="19"/>
      <c r="HMU26" s="19"/>
      <c r="HMV26" s="19"/>
      <c r="HMW26" s="19"/>
      <c r="HMX26" s="19"/>
      <c r="HMY26" s="19"/>
      <c r="HMZ26" s="19"/>
      <c r="HNA26" s="19"/>
      <c r="HNB26" s="19"/>
      <c r="HNC26" s="19"/>
      <c r="HND26" s="19"/>
      <c r="HNE26" s="19"/>
      <c r="HNF26" s="19"/>
      <c r="HNG26" s="19"/>
      <c r="HNH26" s="19"/>
      <c r="HNI26" s="19"/>
      <c r="HNJ26" s="19"/>
      <c r="HNK26" s="19"/>
      <c r="HNL26" s="19"/>
      <c r="HNM26" s="19"/>
      <c r="HNN26" s="19"/>
      <c r="HNO26" s="19"/>
      <c r="HNP26" s="19"/>
      <c r="HNQ26" s="19"/>
      <c r="HNR26" s="19"/>
      <c r="HNS26" s="19"/>
      <c r="HNT26" s="19"/>
      <c r="HNU26" s="19"/>
      <c r="HNV26" s="19"/>
      <c r="HNW26" s="19"/>
      <c r="HNX26" s="19"/>
      <c r="HNY26" s="19"/>
      <c r="HNZ26" s="19"/>
      <c r="HOA26" s="19"/>
      <c r="HOB26" s="19"/>
      <c r="HOC26" s="19"/>
      <c r="HOD26" s="19"/>
      <c r="HOE26" s="19"/>
      <c r="HOF26" s="19"/>
      <c r="HOG26" s="19"/>
      <c r="HOH26" s="19"/>
      <c r="HOI26" s="19"/>
      <c r="HOJ26" s="19"/>
      <c r="HOK26" s="19"/>
      <c r="HOL26" s="19"/>
      <c r="HOM26" s="19"/>
      <c r="HON26" s="19"/>
      <c r="HOO26" s="19"/>
      <c r="HOP26" s="19"/>
      <c r="HOQ26" s="19"/>
      <c r="HOR26" s="19"/>
      <c r="HOS26" s="19"/>
      <c r="HOT26" s="19"/>
      <c r="HOU26" s="19"/>
      <c r="HOV26" s="19"/>
      <c r="HOW26" s="19"/>
      <c r="HOX26" s="19"/>
      <c r="HOY26" s="19"/>
      <c r="HOZ26" s="19"/>
      <c r="HPA26" s="19"/>
      <c r="HPB26" s="19"/>
      <c r="HPC26" s="19"/>
      <c r="HPD26" s="19"/>
      <c r="HPE26" s="19"/>
      <c r="HPF26" s="19"/>
      <c r="HPG26" s="19"/>
      <c r="HPH26" s="19"/>
      <c r="HPI26" s="19"/>
      <c r="HPJ26" s="19"/>
      <c r="HPK26" s="19"/>
      <c r="HPL26" s="19"/>
      <c r="HPM26" s="19"/>
      <c r="HPN26" s="19"/>
      <c r="HPO26" s="19"/>
      <c r="HPP26" s="19"/>
      <c r="HPQ26" s="19"/>
      <c r="HPR26" s="19"/>
      <c r="HPS26" s="19"/>
      <c r="HPT26" s="19"/>
      <c r="HPU26" s="19"/>
      <c r="HPV26" s="19"/>
      <c r="HPW26" s="19"/>
      <c r="HPX26" s="19"/>
      <c r="HPY26" s="19"/>
      <c r="HPZ26" s="19"/>
      <c r="HQA26" s="19"/>
      <c r="HQB26" s="19"/>
      <c r="HQC26" s="19"/>
      <c r="HQD26" s="19"/>
      <c r="HQE26" s="19"/>
      <c r="HQF26" s="19"/>
      <c r="HQG26" s="19"/>
      <c r="HQH26" s="19"/>
      <c r="HQI26" s="19"/>
      <c r="HQJ26" s="19"/>
      <c r="HQK26" s="19"/>
      <c r="HQL26" s="19"/>
      <c r="HQM26" s="19"/>
      <c r="HQN26" s="19"/>
      <c r="HQO26" s="19"/>
      <c r="HQP26" s="19"/>
      <c r="HQQ26" s="19"/>
      <c r="HQR26" s="19"/>
      <c r="HQS26" s="19"/>
      <c r="HQT26" s="19"/>
      <c r="HQU26" s="19"/>
      <c r="HQV26" s="19"/>
      <c r="HQW26" s="19"/>
      <c r="HQX26" s="19"/>
      <c r="HQY26" s="19"/>
      <c r="HQZ26" s="19"/>
      <c r="HRA26" s="19"/>
      <c r="HRB26" s="19"/>
      <c r="HRC26" s="19"/>
      <c r="HRD26" s="19"/>
      <c r="HRE26" s="19"/>
      <c r="HRF26" s="19"/>
      <c r="HRG26" s="19"/>
      <c r="HRH26" s="19"/>
      <c r="HRI26" s="19"/>
      <c r="HRJ26" s="19"/>
      <c r="HRK26" s="19"/>
      <c r="HRL26" s="19"/>
      <c r="HRM26" s="19"/>
      <c r="HRN26" s="19"/>
      <c r="HRO26" s="19"/>
      <c r="HRP26" s="19"/>
      <c r="HRQ26" s="19"/>
      <c r="HRR26" s="19"/>
      <c r="HRS26" s="19"/>
      <c r="HRT26" s="19"/>
      <c r="HRU26" s="19"/>
      <c r="HRV26" s="19"/>
      <c r="HRW26" s="19"/>
      <c r="HRX26" s="19"/>
      <c r="HRY26" s="19"/>
      <c r="HRZ26" s="19"/>
      <c r="HSA26" s="19"/>
      <c r="HSB26" s="19"/>
      <c r="HSC26" s="19"/>
      <c r="HSD26" s="19"/>
      <c r="HSE26" s="19"/>
      <c r="HSF26" s="19"/>
      <c r="HSG26" s="19"/>
      <c r="HSH26" s="19"/>
      <c r="HSI26" s="19"/>
      <c r="HSJ26" s="19"/>
      <c r="HSK26" s="19"/>
      <c r="HSL26" s="19"/>
      <c r="HSM26" s="19"/>
      <c r="HSN26" s="19"/>
      <c r="HSO26" s="19"/>
      <c r="HSP26" s="19"/>
      <c r="HSQ26" s="19"/>
      <c r="HSR26" s="19"/>
      <c r="HSS26" s="19"/>
      <c r="HST26" s="19"/>
      <c r="HSU26" s="19"/>
      <c r="HSV26" s="19"/>
      <c r="HSW26" s="19"/>
      <c r="HSX26" s="19"/>
      <c r="HSY26" s="19"/>
      <c r="HSZ26" s="19"/>
      <c r="HTA26" s="19"/>
      <c r="HTB26" s="19"/>
      <c r="HTC26" s="19"/>
      <c r="HTD26" s="19"/>
      <c r="HTE26" s="19"/>
      <c r="HTF26" s="19"/>
      <c r="HTG26" s="19"/>
      <c r="HTH26" s="19"/>
      <c r="HTI26" s="19"/>
      <c r="HTJ26" s="19"/>
      <c r="HTK26" s="19"/>
      <c r="HTL26" s="19"/>
      <c r="HTM26" s="19"/>
      <c r="HTN26" s="19"/>
      <c r="HTO26" s="19"/>
      <c r="HTP26" s="19"/>
      <c r="HTQ26" s="19"/>
      <c r="HTR26" s="19"/>
      <c r="HTS26" s="19"/>
      <c r="HTT26" s="19"/>
      <c r="HTU26" s="19"/>
      <c r="HTV26" s="19"/>
      <c r="HTW26" s="19"/>
      <c r="HTX26" s="19"/>
      <c r="HTY26" s="19"/>
      <c r="HTZ26" s="19"/>
      <c r="HUA26" s="19"/>
      <c r="HUB26" s="19"/>
      <c r="HUC26" s="19"/>
      <c r="HUD26" s="19"/>
      <c r="HUE26" s="19"/>
      <c r="HUF26" s="19"/>
      <c r="HUG26" s="19"/>
      <c r="HUH26" s="19"/>
      <c r="HUI26" s="19"/>
      <c r="HUJ26" s="19"/>
      <c r="HUK26" s="19"/>
      <c r="HUL26" s="19"/>
      <c r="HUM26" s="19"/>
      <c r="HUN26" s="19"/>
      <c r="HUO26" s="19"/>
      <c r="HUP26" s="19"/>
      <c r="HUQ26" s="19"/>
      <c r="HUR26" s="19"/>
      <c r="HUS26" s="19"/>
      <c r="HUT26" s="19"/>
      <c r="HUU26" s="19"/>
      <c r="HUV26" s="19"/>
      <c r="HUW26" s="19"/>
      <c r="HUX26" s="19"/>
      <c r="HUY26" s="19"/>
      <c r="HUZ26" s="19"/>
      <c r="HVA26" s="19"/>
      <c r="HVB26" s="19"/>
      <c r="HVC26" s="19"/>
      <c r="HVD26" s="19"/>
      <c r="HVE26" s="19"/>
      <c r="HVF26" s="19"/>
      <c r="HVG26" s="19"/>
      <c r="HVH26" s="19"/>
      <c r="HVI26" s="19"/>
      <c r="HVJ26" s="19"/>
      <c r="HVK26" s="19"/>
      <c r="HVL26" s="19"/>
      <c r="HVM26" s="19"/>
      <c r="HVN26" s="19"/>
      <c r="HVO26" s="19"/>
      <c r="HVP26" s="19"/>
      <c r="HVQ26" s="19"/>
      <c r="HVR26" s="19"/>
      <c r="HVS26" s="19"/>
      <c r="HVT26" s="19"/>
      <c r="HVU26" s="19"/>
      <c r="HVV26" s="19"/>
      <c r="HVW26" s="19"/>
      <c r="HVX26" s="19"/>
      <c r="HVY26" s="19"/>
      <c r="HVZ26" s="19"/>
      <c r="HWA26" s="19"/>
      <c r="HWB26" s="19"/>
      <c r="HWC26" s="19"/>
      <c r="HWD26" s="19"/>
      <c r="HWE26" s="19"/>
      <c r="HWF26" s="19"/>
      <c r="HWG26" s="19"/>
      <c r="HWH26" s="19"/>
      <c r="HWI26" s="19"/>
      <c r="HWJ26" s="19"/>
      <c r="HWK26" s="19"/>
      <c r="HWL26" s="19"/>
      <c r="HWM26" s="19"/>
      <c r="HWN26" s="19"/>
      <c r="HWO26" s="19"/>
      <c r="HWP26" s="19"/>
      <c r="HWQ26" s="19"/>
      <c r="HWR26" s="19"/>
      <c r="HWS26" s="19"/>
      <c r="HWT26" s="19"/>
      <c r="HWU26" s="19"/>
      <c r="HWV26" s="19"/>
      <c r="HWW26" s="19"/>
      <c r="HWX26" s="19"/>
      <c r="HWY26" s="19"/>
      <c r="HWZ26" s="19"/>
      <c r="HXA26" s="19"/>
      <c r="HXB26" s="19"/>
      <c r="HXC26" s="19"/>
      <c r="HXD26" s="19"/>
      <c r="HXE26" s="19"/>
      <c r="HXF26" s="19"/>
      <c r="HXG26" s="19"/>
      <c r="HXH26" s="19"/>
      <c r="HXI26" s="19"/>
      <c r="HXJ26" s="19"/>
      <c r="HXK26" s="19"/>
      <c r="HXL26" s="19"/>
      <c r="HXM26" s="19"/>
      <c r="HXN26" s="19"/>
      <c r="HXO26" s="19"/>
      <c r="HXP26" s="19"/>
      <c r="HXQ26" s="19"/>
      <c r="HXR26" s="19"/>
      <c r="HXS26" s="19"/>
      <c r="HXT26" s="19"/>
      <c r="HXU26" s="19"/>
      <c r="HXV26" s="19"/>
      <c r="HXW26" s="19"/>
      <c r="HXX26" s="19"/>
      <c r="HXY26" s="19"/>
      <c r="HXZ26" s="19"/>
      <c r="HYA26" s="19"/>
      <c r="HYB26" s="19"/>
      <c r="HYC26" s="19"/>
      <c r="HYD26" s="19"/>
      <c r="HYE26" s="19"/>
      <c r="HYF26" s="19"/>
      <c r="HYG26" s="19"/>
      <c r="HYH26" s="19"/>
      <c r="HYI26" s="19"/>
      <c r="HYJ26" s="19"/>
      <c r="HYK26" s="19"/>
      <c r="HYL26" s="19"/>
      <c r="HYM26" s="19"/>
      <c r="HYN26" s="19"/>
      <c r="HYO26" s="19"/>
      <c r="HYP26" s="19"/>
      <c r="HYQ26" s="19"/>
      <c r="HYR26" s="19"/>
      <c r="HYS26" s="19"/>
      <c r="HYT26" s="19"/>
      <c r="HYU26" s="19"/>
      <c r="HYV26" s="19"/>
      <c r="HYW26" s="19"/>
      <c r="HYX26" s="19"/>
      <c r="HYY26" s="19"/>
      <c r="HYZ26" s="19"/>
      <c r="HZA26" s="19"/>
      <c r="HZB26" s="19"/>
      <c r="HZC26" s="19"/>
      <c r="HZD26" s="19"/>
      <c r="HZE26" s="19"/>
      <c r="HZF26" s="19"/>
      <c r="HZG26" s="19"/>
      <c r="HZH26" s="19"/>
      <c r="HZI26" s="19"/>
      <c r="HZJ26" s="19"/>
      <c r="HZK26" s="19"/>
      <c r="HZL26" s="19"/>
      <c r="HZM26" s="19"/>
      <c r="HZN26" s="19"/>
      <c r="HZO26" s="19"/>
      <c r="HZP26" s="19"/>
      <c r="HZQ26" s="19"/>
      <c r="HZR26" s="19"/>
      <c r="HZS26" s="19"/>
      <c r="HZT26" s="19"/>
      <c r="HZU26" s="19"/>
      <c r="HZV26" s="19"/>
      <c r="HZW26" s="19"/>
      <c r="HZX26" s="19"/>
      <c r="HZY26" s="19"/>
      <c r="HZZ26" s="19"/>
      <c r="IAA26" s="19"/>
      <c r="IAB26" s="19"/>
      <c r="IAC26" s="19"/>
      <c r="IAD26" s="19"/>
      <c r="IAE26" s="19"/>
      <c r="IAF26" s="19"/>
      <c r="IAG26" s="19"/>
      <c r="IAH26" s="19"/>
      <c r="IAI26" s="19"/>
      <c r="IAJ26" s="19"/>
      <c r="IAK26" s="19"/>
      <c r="IAL26" s="19"/>
      <c r="IAM26" s="19"/>
      <c r="IAN26" s="19"/>
      <c r="IAO26" s="19"/>
      <c r="IAP26" s="19"/>
      <c r="IAQ26" s="19"/>
      <c r="IAR26" s="19"/>
      <c r="IAS26" s="19"/>
      <c r="IAT26" s="19"/>
      <c r="IAU26" s="19"/>
      <c r="IAV26" s="19"/>
      <c r="IAW26" s="19"/>
      <c r="IAX26" s="19"/>
      <c r="IAY26" s="19"/>
      <c r="IAZ26" s="19"/>
      <c r="IBA26" s="19"/>
      <c r="IBB26" s="19"/>
      <c r="IBC26" s="19"/>
      <c r="IBD26" s="19"/>
      <c r="IBE26" s="19"/>
      <c r="IBF26" s="19"/>
      <c r="IBG26" s="19"/>
      <c r="IBH26" s="19"/>
      <c r="IBI26" s="19"/>
      <c r="IBJ26" s="19"/>
      <c r="IBK26" s="19"/>
      <c r="IBL26" s="19"/>
      <c r="IBM26" s="19"/>
      <c r="IBN26" s="19"/>
      <c r="IBO26" s="19"/>
      <c r="IBP26" s="19"/>
      <c r="IBQ26" s="19"/>
      <c r="IBR26" s="19"/>
      <c r="IBS26" s="19"/>
      <c r="IBT26" s="19"/>
      <c r="IBU26" s="19"/>
      <c r="IBV26" s="19"/>
      <c r="IBW26" s="19"/>
      <c r="IBX26" s="19"/>
      <c r="IBY26" s="19"/>
      <c r="IBZ26" s="19"/>
      <c r="ICA26" s="19"/>
      <c r="ICB26" s="19"/>
      <c r="ICC26" s="19"/>
      <c r="ICD26" s="19"/>
      <c r="ICE26" s="19"/>
      <c r="ICF26" s="19"/>
      <c r="ICG26" s="19"/>
      <c r="ICH26" s="19"/>
      <c r="ICI26" s="19"/>
      <c r="ICJ26" s="19"/>
      <c r="ICK26" s="19"/>
      <c r="ICL26" s="19"/>
      <c r="ICM26" s="19"/>
      <c r="ICN26" s="19"/>
      <c r="ICO26" s="19"/>
      <c r="ICP26" s="19"/>
      <c r="ICQ26" s="19"/>
      <c r="ICR26" s="19"/>
      <c r="ICS26" s="19"/>
      <c r="ICT26" s="19"/>
      <c r="ICU26" s="19"/>
      <c r="ICV26" s="19"/>
      <c r="ICW26" s="19"/>
      <c r="ICX26" s="19"/>
      <c r="ICY26" s="19"/>
      <c r="ICZ26" s="19"/>
      <c r="IDA26" s="19"/>
      <c r="IDB26" s="19"/>
      <c r="IDC26" s="19"/>
      <c r="IDD26" s="19"/>
      <c r="IDE26" s="19"/>
      <c r="IDF26" s="19"/>
      <c r="IDG26" s="19"/>
      <c r="IDH26" s="19"/>
      <c r="IDI26" s="19"/>
      <c r="IDJ26" s="19"/>
      <c r="IDK26" s="19"/>
      <c r="IDL26" s="19"/>
      <c r="IDM26" s="19"/>
      <c r="IDN26" s="19"/>
      <c r="IDO26" s="19"/>
      <c r="IDP26" s="19"/>
      <c r="IDQ26" s="19"/>
      <c r="IDR26" s="19"/>
      <c r="IDS26" s="19"/>
      <c r="IDT26" s="19"/>
      <c r="IDU26" s="19"/>
      <c r="IDV26" s="19"/>
      <c r="IDW26" s="19"/>
      <c r="IDX26" s="19"/>
      <c r="IDY26" s="19"/>
      <c r="IDZ26" s="19"/>
      <c r="IEA26" s="19"/>
      <c r="IEB26" s="19"/>
      <c r="IEC26" s="19"/>
      <c r="IED26" s="19"/>
      <c r="IEE26" s="19"/>
      <c r="IEF26" s="19"/>
      <c r="IEG26" s="19"/>
      <c r="IEH26" s="19"/>
      <c r="IEI26" s="19"/>
      <c r="IEJ26" s="19"/>
      <c r="IEK26" s="19"/>
      <c r="IEL26" s="19"/>
      <c r="IEM26" s="19"/>
      <c r="IEN26" s="19"/>
      <c r="IEO26" s="19"/>
      <c r="IEP26" s="19"/>
      <c r="IEQ26" s="19"/>
      <c r="IER26" s="19"/>
      <c r="IES26" s="19"/>
      <c r="IET26" s="19"/>
      <c r="IEU26" s="19"/>
      <c r="IEV26" s="19"/>
      <c r="IEW26" s="19"/>
      <c r="IEX26" s="19"/>
      <c r="IEY26" s="19"/>
      <c r="IEZ26" s="19"/>
      <c r="IFA26" s="19"/>
      <c r="IFB26" s="19"/>
      <c r="IFC26" s="19"/>
      <c r="IFD26" s="19"/>
      <c r="IFE26" s="19"/>
      <c r="IFF26" s="19"/>
      <c r="IFG26" s="19"/>
      <c r="IFH26" s="19"/>
      <c r="IFI26" s="19"/>
      <c r="IFJ26" s="19"/>
      <c r="IFK26" s="19"/>
      <c r="IFL26" s="19"/>
      <c r="IFM26" s="19"/>
      <c r="IFN26" s="19"/>
      <c r="IFO26" s="19"/>
      <c r="IFP26" s="19"/>
      <c r="IFQ26" s="19"/>
      <c r="IFR26" s="19"/>
      <c r="IFS26" s="19"/>
      <c r="IFT26" s="19"/>
      <c r="IFU26" s="19"/>
      <c r="IFV26" s="19"/>
      <c r="IFW26" s="19"/>
      <c r="IFX26" s="19"/>
      <c r="IFY26" s="19"/>
      <c r="IFZ26" s="19"/>
      <c r="IGA26" s="19"/>
      <c r="IGB26" s="19"/>
      <c r="IGC26" s="19"/>
      <c r="IGD26" s="19"/>
      <c r="IGE26" s="19"/>
      <c r="IGF26" s="19"/>
      <c r="IGG26" s="19"/>
      <c r="IGH26" s="19"/>
      <c r="IGI26" s="19"/>
      <c r="IGJ26" s="19"/>
      <c r="IGK26" s="19"/>
      <c r="IGL26" s="19"/>
      <c r="IGM26" s="19"/>
      <c r="IGN26" s="19"/>
      <c r="IGO26" s="19"/>
      <c r="IGP26" s="19"/>
      <c r="IGQ26" s="19"/>
      <c r="IGR26" s="19"/>
      <c r="IGS26" s="19"/>
      <c r="IGT26" s="19"/>
      <c r="IGU26" s="19"/>
      <c r="IGV26" s="19"/>
      <c r="IGW26" s="19"/>
      <c r="IGX26" s="19"/>
      <c r="IGY26" s="19"/>
      <c r="IGZ26" s="19"/>
      <c r="IHA26" s="19"/>
      <c r="IHB26" s="19"/>
      <c r="IHC26" s="19"/>
      <c r="IHD26" s="19"/>
      <c r="IHE26" s="19"/>
      <c r="IHF26" s="19"/>
      <c r="IHG26" s="19"/>
      <c r="IHH26" s="19"/>
      <c r="IHI26" s="19"/>
      <c r="IHJ26" s="19"/>
      <c r="IHK26" s="19"/>
      <c r="IHL26" s="19"/>
      <c r="IHM26" s="19"/>
      <c r="IHN26" s="19"/>
      <c r="IHO26" s="19"/>
      <c r="IHP26" s="19"/>
      <c r="IHQ26" s="19"/>
      <c r="IHR26" s="19"/>
      <c r="IHS26" s="19"/>
      <c r="IHT26" s="19"/>
      <c r="IHU26" s="19"/>
      <c r="IHV26" s="19"/>
      <c r="IHW26" s="19"/>
      <c r="IHX26" s="19"/>
      <c r="IHY26" s="19"/>
      <c r="IHZ26" s="19"/>
      <c r="IIA26" s="19"/>
      <c r="IIB26" s="19"/>
      <c r="IIC26" s="19"/>
      <c r="IID26" s="19"/>
      <c r="IIE26" s="19"/>
      <c r="IIF26" s="19"/>
      <c r="IIG26" s="19"/>
      <c r="IIH26" s="19"/>
      <c r="III26" s="19"/>
      <c r="IIJ26" s="19"/>
      <c r="IIK26" s="19"/>
      <c r="IIL26" s="19"/>
      <c r="IIM26" s="19"/>
      <c r="IIN26" s="19"/>
      <c r="IIO26" s="19"/>
      <c r="IIP26" s="19"/>
      <c r="IIQ26" s="19"/>
      <c r="IIR26" s="19"/>
      <c r="IIS26" s="19"/>
      <c r="IIT26" s="19"/>
      <c r="IIU26" s="19"/>
      <c r="IIV26" s="19"/>
      <c r="IIW26" s="19"/>
      <c r="IIX26" s="19"/>
      <c r="IIY26" s="19"/>
      <c r="IIZ26" s="19"/>
      <c r="IJA26" s="19"/>
      <c r="IJB26" s="19"/>
      <c r="IJC26" s="19"/>
      <c r="IJD26" s="19"/>
      <c r="IJE26" s="19"/>
      <c r="IJF26" s="19"/>
      <c r="IJG26" s="19"/>
      <c r="IJH26" s="19"/>
      <c r="IJI26" s="19"/>
      <c r="IJJ26" s="19"/>
      <c r="IJK26" s="19"/>
      <c r="IJL26" s="19"/>
      <c r="IJM26" s="19"/>
      <c r="IJN26" s="19"/>
      <c r="IJO26" s="19"/>
      <c r="IJP26" s="19"/>
      <c r="IJQ26" s="19"/>
      <c r="IJR26" s="19"/>
      <c r="IJS26" s="19"/>
      <c r="IJT26" s="19"/>
      <c r="IJU26" s="19"/>
      <c r="IJV26" s="19"/>
      <c r="IJW26" s="19"/>
      <c r="IJX26" s="19"/>
      <c r="IJY26" s="19"/>
      <c r="IJZ26" s="19"/>
      <c r="IKA26" s="19"/>
      <c r="IKB26" s="19"/>
      <c r="IKC26" s="19"/>
      <c r="IKD26" s="19"/>
      <c r="IKE26" s="19"/>
      <c r="IKF26" s="19"/>
      <c r="IKG26" s="19"/>
      <c r="IKH26" s="19"/>
      <c r="IKI26" s="19"/>
      <c r="IKJ26" s="19"/>
      <c r="IKK26" s="19"/>
      <c r="IKL26" s="19"/>
      <c r="IKM26" s="19"/>
      <c r="IKN26" s="19"/>
      <c r="IKO26" s="19"/>
      <c r="IKP26" s="19"/>
      <c r="IKQ26" s="19"/>
      <c r="IKR26" s="19"/>
      <c r="IKS26" s="19"/>
      <c r="IKT26" s="19"/>
      <c r="IKU26" s="19"/>
      <c r="IKV26" s="19"/>
      <c r="IKW26" s="19"/>
      <c r="IKX26" s="19"/>
      <c r="IKY26" s="19"/>
      <c r="IKZ26" s="19"/>
      <c r="ILA26" s="19"/>
      <c r="ILB26" s="19"/>
      <c r="ILC26" s="19"/>
      <c r="ILD26" s="19"/>
      <c r="ILE26" s="19"/>
      <c r="ILF26" s="19"/>
      <c r="ILG26" s="19"/>
      <c r="ILH26" s="19"/>
      <c r="ILI26" s="19"/>
      <c r="ILJ26" s="19"/>
      <c r="ILK26" s="19"/>
      <c r="ILL26" s="19"/>
      <c r="ILM26" s="19"/>
      <c r="ILN26" s="19"/>
      <c r="ILO26" s="19"/>
      <c r="ILP26" s="19"/>
      <c r="ILQ26" s="19"/>
      <c r="ILR26" s="19"/>
      <c r="ILS26" s="19"/>
      <c r="ILT26" s="19"/>
      <c r="ILU26" s="19"/>
      <c r="ILV26" s="19"/>
      <c r="ILW26" s="19"/>
      <c r="ILX26" s="19"/>
      <c r="ILY26" s="19"/>
      <c r="ILZ26" s="19"/>
      <c r="IMA26" s="19"/>
      <c r="IMB26" s="19"/>
      <c r="IMC26" s="19"/>
      <c r="IMD26" s="19"/>
      <c r="IME26" s="19"/>
      <c r="IMF26" s="19"/>
      <c r="IMG26" s="19"/>
      <c r="IMH26" s="19"/>
      <c r="IMI26" s="19"/>
      <c r="IMJ26" s="19"/>
      <c r="IMK26" s="19"/>
      <c r="IML26" s="19"/>
      <c r="IMM26" s="19"/>
      <c r="IMN26" s="19"/>
      <c r="IMO26" s="19"/>
      <c r="IMP26" s="19"/>
      <c r="IMQ26" s="19"/>
      <c r="IMR26" s="19"/>
      <c r="IMS26" s="19"/>
      <c r="IMT26" s="19"/>
      <c r="IMU26" s="19"/>
      <c r="IMV26" s="19"/>
      <c r="IMW26" s="19"/>
      <c r="IMX26" s="19"/>
      <c r="IMY26" s="19"/>
      <c r="IMZ26" s="19"/>
      <c r="INA26" s="19"/>
      <c r="INB26" s="19"/>
      <c r="INC26" s="19"/>
      <c r="IND26" s="19"/>
      <c r="INE26" s="19"/>
      <c r="INF26" s="19"/>
      <c r="ING26" s="19"/>
      <c r="INH26" s="19"/>
      <c r="INI26" s="19"/>
      <c r="INJ26" s="19"/>
      <c r="INK26" s="19"/>
      <c r="INL26" s="19"/>
      <c r="INM26" s="19"/>
      <c r="INN26" s="19"/>
      <c r="INO26" s="19"/>
      <c r="INP26" s="19"/>
      <c r="INQ26" s="19"/>
      <c r="INR26" s="19"/>
      <c r="INS26" s="19"/>
      <c r="INT26" s="19"/>
      <c r="INU26" s="19"/>
      <c r="INV26" s="19"/>
      <c r="INW26" s="19"/>
      <c r="INX26" s="19"/>
      <c r="INY26" s="19"/>
      <c r="INZ26" s="19"/>
      <c r="IOA26" s="19"/>
      <c r="IOB26" s="19"/>
      <c r="IOC26" s="19"/>
      <c r="IOD26" s="19"/>
      <c r="IOE26" s="19"/>
      <c r="IOF26" s="19"/>
      <c r="IOG26" s="19"/>
      <c r="IOH26" s="19"/>
      <c r="IOI26" s="19"/>
      <c r="IOJ26" s="19"/>
      <c r="IOK26" s="19"/>
      <c r="IOL26" s="19"/>
      <c r="IOM26" s="19"/>
      <c r="ION26" s="19"/>
      <c r="IOO26" s="19"/>
      <c r="IOP26" s="19"/>
      <c r="IOQ26" s="19"/>
      <c r="IOR26" s="19"/>
      <c r="IOS26" s="19"/>
      <c r="IOT26" s="19"/>
      <c r="IOU26" s="19"/>
      <c r="IOV26" s="19"/>
      <c r="IOW26" s="19"/>
      <c r="IOX26" s="19"/>
      <c r="IOY26" s="19"/>
      <c r="IOZ26" s="19"/>
      <c r="IPA26" s="19"/>
      <c r="IPB26" s="19"/>
      <c r="IPC26" s="19"/>
      <c r="IPD26" s="19"/>
      <c r="IPE26" s="19"/>
      <c r="IPF26" s="19"/>
      <c r="IPG26" s="19"/>
      <c r="IPH26" s="19"/>
      <c r="IPI26" s="19"/>
      <c r="IPJ26" s="19"/>
      <c r="IPK26" s="19"/>
      <c r="IPL26" s="19"/>
      <c r="IPM26" s="19"/>
      <c r="IPN26" s="19"/>
      <c r="IPO26" s="19"/>
      <c r="IPP26" s="19"/>
      <c r="IPQ26" s="19"/>
      <c r="IPR26" s="19"/>
      <c r="IPS26" s="19"/>
      <c r="IPT26" s="19"/>
      <c r="IPU26" s="19"/>
      <c r="IPV26" s="19"/>
      <c r="IPW26" s="19"/>
      <c r="IPX26" s="19"/>
      <c r="IPY26" s="19"/>
      <c r="IPZ26" s="19"/>
      <c r="IQA26" s="19"/>
      <c r="IQB26" s="19"/>
      <c r="IQC26" s="19"/>
      <c r="IQD26" s="19"/>
      <c r="IQE26" s="19"/>
      <c r="IQF26" s="19"/>
      <c r="IQG26" s="19"/>
      <c r="IQH26" s="19"/>
      <c r="IQI26" s="19"/>
      <c r="IQJ26" s="19"/>
      <c r="IQK26" s="19"/>
      <c r="IQL26" s="19"/>
      <c r="IQM26" s="19"/>
      <c r="IQN26" s="19"/>
      <c r="IQO26" s="19"/>
      <c r="IQP26" s="19"/>
      <c r="IQQ26" s="19"/>
      <c r="IQR26" s="19"/>
      <c r="IQS26" s="19"/>
      <c r="IQT26" s="19"/>
      <c r="IQU26" s="19"/>
      <c r="IQV26" s="19"/>
      <c r="IQW26" s="19"/>
      <c r="IQX26" s="19"/>
      <c r="IQY26" s="19"/>
      <c r="IQZ26" s="19"/>
      <c r="IRA26" s="19"/>
      <c r="IRB26" s="19"/>
      <c r="IRC26" s="19"/>
      <c r="IRD26" s="19"/>
      <c r="IRE26" s="19"/>
      <c r="IRF26" s="19"/>
      <c r="IRG26" s="19"/>
      <c r="IRH26" s="19"/>
      <c r="IRI26" s="19"/>
      <c r="IRJ26" s="19"/>
      <c r="IRK26" s="19"/>
      <c r="IRL26" s="19"/>
      <c r="IRM26" s="19"/>
      <c r="IRN26" s="19"/>
      <c r="IRO26" s="19"/>
      <c r="IRP26" s="19"/>
      <c r="IRQ26" s="19"/>
      <c r="IRR26" s="19"/>
      <c r="IRS26" s="19"/>
      <c r="IRT26" s="19"/>
      <c r="IRU26" s="19"/>
      <c r="IRV26" s="19"/>
      <c r="IRW26" s="19"/>
      <c r="IRX26" s="19"/>
      <c r="IRY26" s="19"/>
      <c r="IRZ26" s="19"/>
      <c r="ISA26" s="19"/>
      <c r="ISB26" s="19"/>
      <c r="ISC26" s="19"/>
      <c r="ISD26" s="19"/>
      <c r="ISE26" s="19"/>
      <c r="ISF26" s="19"/>
      <c r="ISG26" s="19"/>
      <c r="ISH26" s="19"/>
      <c r="ISI26" s="19"/>
      <c r="ISJ26" s="19"/>
      <c r="ISK26" s="19"/>
      <c r="ISL26" s="19"/>
      <c r="ISM26" s="19"/>
      <c r="ISN26" s="19"/>
      <c r="ISO26" s="19"/>
      <c r="ISP26" s="19"/>
      <c r="ISQ26" s="19"/>
      <c r="ISR26" s="19"/>
      <c r="ISS26" s="19"/>
      <c r="IST26" s="19"/>
      <c r="ISU26" s="19"/>
      <c r="ISV26" s="19"/>
      <c r="ISW26" s="19"/>
      <c r="ISX26" s="19"/>
      <c r="ISY26" s="19"/>
      <c r="ISZ26" s="19"/>
      <c r="ITA26" s="19"/>
      <c r="ITB26" s="19"/>
      <c r="ITC26" s="19"/>
      <c r="ITD26" s="19"/>
      <c r="ITE26" s="19"/>
      <c r="ITF26" s="19"/>
      <c r="ITG26" s="19"/>
      <c r="ITH26" s="19"/>
      <c r="ITI26" s="19"/>
      <c r="ITJ26" s="19"/>
      <c r="ITK26" s="19"/>
      <c r="ITL26" s="19"/>
      <c r="ITM26" s="19"/>
      <c r="ITN26" s="19"/>
      <c r="ITO26" s="19"/>
      <c r="ITP26" s="19"/>
      <c r="ITQ26" s="19"/>
      <c r="ITR26" s="19"/>
      <c r="ITS26" s="19"/>
      <c r="ITT26" s="19"/>
      <c r="ITU26" s="19"/>
      <c r="ITV26" s="19"/>
      <c r="ITW26" s="19"/>
      <c r="ITX26" s="19"/>
      <c r="ITY26" s="19"/>
      <c r="ITZ26" s="19"/>
      <c r="IUA26" s="19"/>
      <c r="IUB26" s="19"/>
      <c r="IUC26" s="19"/>
      <c r="IUD26" s="19"/>
      <c r="IUE26" s="19"/>
      <c r="IUF26" s="19"/>
      <c r="IUG26" s="19"/>
      <c r="IUH26" s="19"/>
      <c r="IUI26" s="19"/>
      <c r="IUJ26" s="19"/>
      <c r="IUK26" s="19"/>
      <c r="IUL26" s="19"/>
      <c r="IUM26" s="19"/>
      <c r="IUN26" s="19"/>
      <c r="IUO26" s="19"/>
      <c r="IUP26" s="19"/>
      <c r="IUQ26" s="19"/>
      <c r="IUR26" s="19"/>
      <c r="IUS26" s="19"/>
      <c r="IUT26" s="19"/>
      <c r="IUU26" s="19"/>
      <c r="IUV26" s="19"/>
      <c r="IUW26" s="19"/>
      <c r="IUX26" s="19"/>
      <c r="IUY26" s="19"/>
      <c r="IUZ26" s="19"/>
      <c r="IVA26" s="19"/>
      <c r="IVB26" s="19"/>
      <c r="IVC26" s="19"/>
      <c r="IVD26" s="19"/>
      <c r="IVE26" s="19"/>
      <c r="IVF26" s="19"/>
      <c r="IVG26" s="19"/>
      <c r="IVH26" s="19"/>
      <c r="IVI26" s="19"/>
      <c r="IVJ26" s="19"/>
      <c r="IVK26" s="19"/>
      <c r="IVL26" s="19"/>
      <c r="IVM26" s="19"/>
      <c r="IVN26" s="19"/>
      <c r="IVO26" s="19"/>
      <c r="IVP26" s="19"/>
      <c r="IVQ26" s="19"/>
      <c r="IVR26" s="19"/>
      <c r="IVS26" s="19"/>
      <c r="IVT26" s="19"/>
      <c r="IVU26" s="19"/>
      <c r="IVV26" s="19"/>
      <c r="IVW26" s="19"/>
      <c r="IVX26" s="19"/>
      <c r="IVY26" s="19"/>
      <c r="IVZ26" s="19"/>
      <c r="IWA26" s="19"/>
      <c r="IWB26" s="19"/>
      <c r="IWC26" s="19"/>
      <c r="IWD26" s="19"/>
      <c r="IWE26" s="19"/>
      <c r="IWF26" s="19"/>
      <c r="IWG26" s="19"/>
      <c r="IWH26" s="19"/>
      <c r="IWI26" s="19"/>
      <c r="IWJ26" s="19"/>
      <c r="IWK26" s="19"/>
      <c r="IWL26" s="19"/>
      <c r="IWM26" s="19"/>
      <c r="IWN26" s="19"/>
      <c r="IWO26" s="19"/>
      <c r="IWP26" s="19"/>
      <c r="IWQ26" s="19"/>
      <c r="IWR26" s="19"/>
      <c r="IWS26" s="19"/>
      <c r="IWT26" s="19"/>
      <c r="IWU26" s="19"/>
      <c r="IWV26" s="19"/>
      <c r="IWW26" s="19"/>
      <c r="IWX26" s="19"/>
      <c r="IWY26" s="19"/>
      <c r="IWZ26" s="19"/>
      <c r="IXA26" s="19"/>
      <c r="IXB26" s="19"/>
      <c r="IXC26" s="19"/>
      <c r="IXD26" s="19"/>
      <c r="IXE26" s="19"/>
      <c r="IXF26" s="19"/>
      <c r="IXG26" s="19"/>
      <c r="IXH26" s="19"/>
      <c r="IXI26" s="19"/>
      <c r="IXJ26" s="19"/>
      <c r="IXK26" s="19"/>
      <c r="IXL26" s="19"/>
      <c r="IXM26" s="19"/>
      <c r="IXN26" s="19"/>
      <c r="IXO26" s="19"/>
      <c r="IXP26" s="19"/>
      <c r="IXQ26" s="19"/>
      <c r="IXR26" s="19"/>
      <c r="IXS26" s="19"/>
      <c r="IXT26" s="19"/>
      <c r="IXU26" s="19"/>
      <c r="IXV26" s="19"/>
      <c r="IXW26" s="19"/>
      <c r="IXX26" s="19"/>
      <c r="IXY26" s="19"/>
      <c r="IXZ26" s="19"/>
      <c r="IYA26" s="19"/>
      <c r="IYB26" s="19"/>
      <c r="IYC26" s="19"/>
      <c r="IYD26" s="19"/>
      <c r="IYE26" s="19"/>
      <c r="IYF26" s="19"/>
      <c r="IYG26" s="19"/>
      <c r="IYH26" s="19"/>
      <c r="IYI26" s="19"/>
      <c r="IYJ26" s="19"/>
      <c r="IYK26" s="19"/>
      <c r="IYL26" s="19"/>
      <c r="IYM26" s="19"/>
      <c r="IYN26" s="19"/>
      <c r="IYO26" s="19"/>
      <c r="IYP26" s="19"/>
      <c r="IYQ26" s="19"/>
      <c r="IYR26" s="19"/>
      <c r="IYS26" s="19"/>
      <c r="IYT26" s="19"/>
      <c r="IYU26" s="19"/>
      <c r="IYV26" s="19"/>
      <c r="IYW26" s="19"/>
      <c r="IYX26" s="19"/>
      <c r="IYY26" s="19"/>
      <c r="IYZ26" s="19"/>
      <c r="IZA26" s="19"/>
      <c r="IZB26" s="19"/>
      <c r="IZC26" s="19"/>
      <c r="IZD26" s="19"/>
      <c r="IZE26" s="19"/>
      <c r="IZF26" s="19"/>
      <c r="IZG26" s="19"/>
      <c r="IZH26" s="19"/>
      <c r="IZI26" s="19"/>
      <c r="IZJ26" s="19"/>
      <c r="IZK26" s="19"/>
      <c r="IZL26" s="19"/>
      <c r="IZM26" s="19"/>
      <c r="IZN26" s="19"/>
      <c r="IZO26" s="19"/>
      <c r="IZP26" s="19"/>
      <c r="IZQ26" s="19"/>
      <c r="IZR26" s="19"/>
      <c r="IZS26" s="19"/>
      <c r="IZT26" s="19"/>
      <c r="IZU26" s="19"/>
      <c r="IZV26" s="19"/>
      <c r="IZW26" s="19"/>
      <c r="IZX26" s="19"/>
      <c r="IZY26" s="19"/>
      <c r="IZZ26" s="19"/>
      <c r="JAA26" s="19"/>
      <c r="JAB26" s="19"/>
      <c r="JAC26" s="19"/>
      <c r="JAD26" s="19"/>
      <c r="JAE26" s="19"/>
      <c r="JAF26" s="19"/>
      <c r="JAG26" s="19"/>
      <c r="JAH26" s="19"/>
      <c r="JAI26" s="19"/>
      <c r="JAJ26" s="19"/>
      <c r="JAK26" s="19"/>
      <c r="JAL26" s="19"/>
      <c r="JAM26" s="19"/>
      <c r="JAN26" s="19"/>
      <c r="JAO26" s="19"/>
      <c r="JAP26" s="19"/>
      <c r="JAQ26" s="19"/>
      <c r="JAR26" s="19"/>
      <c r="JAS26" s="19"/>
      <c r="JAT26" s="19"/>
      <c r="JAU26" s="19"/>
      <c r="JAV26" s="19"/>
      <c r="JAW26" s="19"/>
      <c r="JAX26" s="19"/>
      <c r="JAY26" s="19"/>
      <c r="JAZ26" s="19"/>
      <c r="JBA26" s="19"/>
      <c r="JBB26" s="19"/>
      <c r="JBC26" s="19"/>
      <c r="JBD26" s="19"/>
      <c r="JBE26" s="19"/>
      <c r="JBF26" s="19"/>
      <c r="JBG26" s="19"/>
      <c r="JBH26" s="19"/>
      <c r="JBI26" s="19"/>
      <c r="JBJ26" s="19"/>
      <c r="JBK26" s="19"/>
      <c r="JBL26" s="19"/>
      <c r="JBM26" s="19"/>
      <c r="JBN26" s="19"/>
      <c r="JBO26" s="19"/>
      <c r="JBP26" s="19"/>
      <c r="JBQ26" s="19"/>
      <c r="JBR26" s="19"/>
      <c r="JBS26" s="19"/>
      <c r="JBT26" s="19"/>
      <c r="JBU26" s="19"/>
      <c r="JBV26" s="19"/>
      <c r="JBW26" s="19"/>
      <c r="JBX26" s="19"/>
      <c r="JBY26" s="19"/>
      <c r="JBZ26" s="19"/>
      <c r="JCA26" s="19"/>
      <c r="JCB26" s="19"/>
      <c r="JCC26" s="19"/>
      <c r="JCD26" s="19"/>
      <c r="JCE26" s="19"/>
      <c r="JCF26" s="19"/>
      <c r="JCG26" s="19"/>
      <c r="JCH26" s="19"/>
      <c r="JCI26" s="19"/>
      <c r="JCJ26" s="19"/>
      <c r="JCK26" s="19"/>
      <c r="JCL26" s="19"/>
      <c r="JCM26" s="19"/>
      <c r="JCN26" s="19"/>
      <c r="JCO26" s="19"/>
      <c r="JCP26" s="19"/>
      <c r="JCQ26" s="19"/>
      <c r="JCR26" s="19"/>
      <c r="JCS26" s="19"/>
      <c r="JCT26" s="19"/>
      <c r="JCU26" s="19"/>
      <c r="JCV26" s="19"/>
      <c r="JCW26" s="19"/>
      <c r="JCX26" s="19"/>
      <c r="JCY26" s="19"/>
      <c r="JCZ26" s="19"/>
      <c r="JDA26" s="19"/>
      <c r="JDB26" s="19"/>
      <c r="JDC26" s="19"/>
      <c r="JDD26" s="19"/>
      <c r="JDE26" s="19"/>
      <c r="JDF26" s="19"/>
      <c r="JDG26" s="19"/>
      <c r="JDH26" s="19"/>
      <c r="JDI26" s="19"/>
      <c r="JDJ26" s="19"/>
      <c r="JDK26" s="19"/>
      <c r="JDL26" s="19"/>
      <c r="JDM26" s="19"/>
      <c r="JDN26" s="19"/>
      <c r="JDO26" s="19"/>
      <c r="JDP26" s="19"/>
      <c r="JDQ26" s="19"/>
      <c r="JDR26" s="19"/>
      <c r="JDS26" s="19"/>
      <c r="JDT26" s="19"/>
      <c r="JDU26" s="19"/>
      <c r="JDV26" s="19"/>
      <c r="JDW26" s="19"/>
      <c r="JDX26" s="19"/>
      <c r="JDY26" s="19"/>
      <c r="JDZ26" s="19"/>
      <c r="JEA26" s="19"/>
      <c r="JEB26" s="19"/>
      <c r="JEC26" s="19"/>
      <c r="JED26" s="19"/>
      <c r="JEE26" s="19"/>
      <c r="JEF26" s="19"/>
      <c r="JEG26" s="19"/>
      <c r="JEH26" s="19"/>
      <c r="JEI26" s="19"/>
      <c r="JEJ26" s="19"/>
      <c r="JEK26" s="19"/>
      <c r="JEL26" s="19"/>
      <c r="JEM26" s="19"/>
      <c r="JEN26" s="19"/>
      <c r="JEO26" s="19"/>
      <c r="JEP26" s="19"/>
      <c r="JEQ26" s="19"/>
      <c r="JER26" s="19"/>
      <c r="JES26" s="19"/>
      <c r="JET26" s="19"/>
      <c r="JEU26" s="19"/>
      <c r="JEV26" s="19"/>
      <c r="JEW26" s="19"/>
      <c r="JEX26" s="19"/>
      <c r="JEY26" s="19"/>
      <c r="JEZ26" s="19"/>
      <c r="JFA26" s="19"/>
      <c r="JFB26" s="19"/>
      <c r="JFC26" s="19"/>
      <c r="JFD26" s="19"/>
      <c r="JFE26" s="19"/>
      <c r="JFF26" s="19"/>
      <c r="JFG26" s="19"/>
      <c r="JFH26" s="19"/>
      <c r="JFI26" s="19"/>
      <c r="JFJ26" s="19"/>
      <c r="JFK26" s="19"/>
      <c r="JFL26" s="19"/>
      <c r="JFM26" s="19"/>
      <c r="JFN26" s="19"/>
      <c r="JFO26" s="19"/>
      <c r="JFP26" s="19"/>
      <c r="JFQ26" s="19"/>
      <c r="JFR26" s="19"/>
      <c r="JFS26" s="19"/>
      <c r="JFT26" s="19"/>
      <c r="JFU26" s="19"/>
      <c r="JFV26" s="19"/>
      <c r="JFW26" s="19"/>
      <c r="JFX26" s="19"/>
      <c r="JFY26" s="19"/>
      <c r="JFZ26" s="19"/>
      <c r="JGA26" s="19"/>
      <c r="JGB26" s="19"/>
      <c r="JGC26" s="19"/>
      <c r="JGD26" s="19"/>
      <c r="JGE26" s="19"/>
      <c r="JGF26" s="19"/>
      <c r="JGG26" s="19"/>
      <c r="JGH26" s="19"/>
      <c r="JGI26" s="19"/>
      <c r="JGJ26" s="19"/>
      <c r="JGK26" s="19"/>
      <c r="JGL26" s="19"/>
      <c r="JGM26" s="19"/>
      <c r="JGN26" s="19"/>
      <c r="JGO26" s="19"/>
      <c r="JGP26" s="19"/>
      <c r="JGQ26" s="19"/>
      <c r="JGR26" s="19"/>
      <c r="JGS26" s="19"/>
      <c r="JGT26" s="19"/>
      <c r="JGU26" s="19"/>
      <c r="JGV26" s="19"/>
      <c r="JGW26" s="19"/>
      <c r="JGX26" s="19"/>
      <c r="JGY26" s="19"/>
      <c r="JGZ26" s="19"/>
      <c r="JHA26" s="19"/>
      <c r="JHB26" s="19"/>
      <c r="JHC26" s="19"/>
      <c r="JHD26" s="19"/>
      <c r="JHE26" s="19"/>
      <c r="JHF26" s="19"/>
      <c r="JHG26" s="19"/>
      <c r="JHH26" s="19"/>
      <c r="JHI26" s="19"/>
      <c r="JHJ26" s="19"/>
      <c r="JHK26" s="19"/>
      <c r="JHL26" s="19"/>
      <c r="JHM26" s="19"/>
      <c r="JHN26" s="19"/>
      <c r="JHO26" s="19"/>
      <c r="JHP26" s="19"/>
      <c r="JHQ26" s="19"/>
      <c r="JHR26" s="19"/>
      <c r="JHS26" s="19"/>
      <c r="JHT26" s="19"/>
      <c r="JHU26" s="19"/>
      <c r="JHV26" s="19"/>
      <c r="JHW26" s="19"/>
      <c r="JHX26" s="19"/>
      <c r="JHY26" s="19"/>
      <c r="JHZ26" s="19"/>
      <c r="JIA26" s="19"/>
      <c r="JIB26" s="19"/>
      <c r="JIC26" s="19"/>
      <c r="JID26" s="19"/>
      <c r="JIE26" s="19"/>
      <c r="JIF26" s="19"/>
      <c r="JIG26" s="19"/>
      <c r="JIH26" s="19"/>
      <c r="JII26" s="19"/>
      <c r="JIJ26" s="19"/>
      <c r="JIK26" s="19"/>
      <c r="JIL26" s="19"/>
      <c r="JIM26" s="19"/>
      <c r="JIN26" s="19"/>
      <c r="JIO26" s="19"/>
      <c r="JIP26" s="19"/>
      <c r="JIQ26" s="19"/>
      <c r="JIR26" s="19"/>
      <c r="JIS26" s="19"/>
      <c r="JIT26" s="19"/>
      <c r="JIU26" s="19"/>
      <c r="JIV26" s="19"/>
      <c r="JIW26" s="19"/>
      <c r="JIX26" s="19"/>
      <c r="JIY26" s="19"/>
      <c r="JIZ26" s="19"/>
      <c r="JJA26" s="19"/>
      <c r="JJB26" s="19"/>
      <c r="JJC26" s="19"/>
      <c r="JJD26" s="19"/>
      <c r="JJE26" s="19"/>
      <c r="JJF26" s="19"/>
      <c r="JJG26" s="19"/>
      <c r="JJH26" s="19"/>
      <c r="JJI26" s="19"/>
      <c r="JJJ26" s="19"/>
      <c r="JJK26" s="19"/>
      <c r="JJL26" s="19"/>
      <c r="JJM26" s="19"/>
      <c r="JJN26" s="19"/>
      <c r="JJO26" s="19"/>
      <c r="JJP26" s="19"/>
      <c r="JJQ26" s="19"/>
      <c r="JJR26" s="19"/>
      <c r="JJS26" s="19"/>
      <c r="JJT26" s="19"/>
      <c r="JJU26" s="19"/>
      <c r="JJV26" s="19"/>
      <c r="JJW26" s="19"/>
      <c r="JJX26" s="19"/>
      <c r="JJY26" s="19"/>
      <c r="JJZ26" s="19"/>
      <c r="JKA26" s="19"/>
      <c r="JKB26" s="19"/>
      <c r="JKC26" s="19"/>
      <c r="JKD26" s="19"/>
      <c r="JKE26" s="19"/>
      <c r="JKF26" s="19"/>
      <c r="JKG26" s="19"/>
      <c r="JKH26" s="19"/>
      <c r="JKI26" s="19"/>
      <c r="JKJ26" s="19"/>
      <c r="JKK26" s="19"/>
      <c r="JKL26" s="19"/>
      <c r="JKM26" s="19"/>
      <c r="JKN26" s="19"/>
      <c r="JKO26" s="19"/>
      <c r="JKP26" s="19"/>
      <c r="JKQ26" s="19"/>
      <c r="JKR26" s="19"/>
      <c r="JKS26" s="19"/>
      <c r="JKT26" s="19"/>
      <c r="JKU26" s="19"/>
      <c r="JKV26" s="19"/>
      <c r="JKW26" s="19"/>
      <c r="JKX26" s="19"/>
      <c r="JKY26" s="19"/>
      <c r="JKZ26" s="19"/>
      <c r="JLA26" s="19"/>
      <c r="JLB26" s="19"/>
      <c r="JLC26" s="19"/>
      <c r="JLD26" s="19"/>
      <c r="JLE26" s="19"/>
      <c r="JLF26" s="19"/>
      <c r="JLG26" s="19"/>
      <c r="JLH26" s="19"/>
      <c r="JLI26" s="19"/>
      <c r="JLJ26" s="19"/>
      <c r="JLK26" s="19"/>
      <c r="JLL26" s="19"/>
      <c r="JLM26" s="19"/>
      <c r="JLN26" s="19"/>
      <c r="JLO26" s="19"/>
      <c r="JLP26" s="19"/>
      <c r="JLQ26" s="19"/>
      <c r="JLR26" s="19"/>
      <c r="JLS26" s="19"/>
      <c r="JLT26" s="19"/>
      <c r="JLU26" s="19"/>
      <c r="JLV26" s="19"/>
      <c r="JLW26" s="19"/>
      <c r="JLX26" s="19"/>
      <c r="JLY26" s="19"/>
      <c r="JLZ26" s="19"/>
      <c r="JMA26" s="19"/>
      <c r="JMB26" s="19"/>
      <c r="JMC26" s="19"/>
      <c r="JMD26" s="19"/>
      <c r="JME26" s="19"/>
      <c r="JMF26" s="19"/>
      <c r="JMG26" s="19"/>
      <c r="JMH26" s="19"/>
      <c r="JMI26" s="19"/>
      <c r="JMJ26" s="19"/>
      <c r="JMK26" s="19"/>
      <c r="JML26" s="19"/>
      <c r="JMM26" s="19"/>
      <c r="JMN26" s="19"/>
      <c r="JMO26" s="19"/>
      <c r="JMP26" s="19"/>
      <c r="JMQ26" s="19"/>
      <c r="JMR26" s="19"/>
      <c r="JMS26" s="19"/>
      <c r="JMT26" s="19"/>
      <c r="JMU26" s="19"/>
      <c r="JMV26" s="19"/>
      <c r="JMW26" s="19"/>
      <c r="JMX26" s="19"/>
      <c r="JMY26" s="19"/>
      <c r="JMZ26" s="19"/>
      <c r="JNA26" s="19"/>
      <c r="JNB26" s="19"/>
      <c r="JNC26" s="19"/>
      <c r="JND26" s="19"/>
      <c r="JNE26" s="19"/>
      <c r="JNF26" s="19"/>
      <c r="JNG26" s="19"/>
      <c r="JNH26" s="19"/>
      <c r="JNI26" s="19"/>
      <c r="JNJ26" s="19"/>
      <c r="JNK26" s="19"/>
      <c r="JNL26" s="19"/>
      <c r="JNM26" s="19"/>
      <c r="JNN26" s="19"/>
      <c r="JNO26" s="19"/>
      <c r="JNP26" s="19"/>
      <c r="JNQ26" s="19"/>
      <c r="JNR26" s="19"/>
      <c r="JNS26" s="19"/>
      <c r="JNT26" s="19"/>
      <c r="JNU26" s="19"/>
      <c r="JNV26" s="19"/>
      <c r="JNW26" s="19"/>
      <c r="JNX26" s="19"/>
      <c r="JNY26" s="19"/>
      <c r="JNZ26" s="19"/>
      <c r="JOA26" s="19"/>
      <c r="JOB26" s="19"/>
      <c r="JOC26" s="19"/>
      <c r="JOD26" s="19"/>
      <c r="JOE26" s="19"/>
      <c r="JOF26" s="19"/>
      <c r="JOG26" s="19"/>
      <c r="JOH26" s="19"/>
      <c r="JOI26" s="19"/>
      <c r="JOJ26" s="19"/>
      <c r="JOK26" s="19"/>
      <c r="JOL26" s="19"/>
      <c r="JOM26" s="19"/>
      <c r="JON26" s="19"/>
      <c r="JOO26" s="19"/>
      <c r="JOP26" s="19"/>
      <c r="JOQ26" s="19"/>
      <c r="JOR26" s="19"/>
      <c r="JOS26" s="19"/>
      <c r="JOT26" s="19"/>
      <c r="JOU26" s="19"/>
      <c r="JOV26" s="19"/>
      <c r="JOW26" s="19"/>
      <c r="JOX26" s="19"/>
      <c r="JOY26" s="19"/>
      <c r="JOZ26" s="19"/>
      <c r="JPA26" s="19"/>
      <c r="JPB26" s="19"/>
      <c r="JPC26" s="19"/>
      <c r="JPD26" s="19"/>
      <c r="JPE26" s="19"/>
      <c r="JPF26" s="19"/>
      <c r="JPG26" s="19"/>
      <c r="JPH26" s="19"/>
      <c r="JPI26" s="19"/>
      <c r="JPJ26" s="19"/>
      <c r="JPK26" s="19"/>
      <c r="JPL26" s="19"/>
      <c r="JPM26" s="19"/>
      <c r="JPN26" s="19"/>
      <c r="JPO26" s="19"/>
      <c r="JPP26" s="19"/>
      <c r="JPQ26" s="19"/>
      <c r="JPR26" s="19"/>
      <c r="JPS26" s="19"/>
      <c r="JPT26" s="19"/>
      <c r="JPU26" s="19"/>
      <c r="JPV26" s="19"/>
      <c r="JPW26" s="19"/>
      <c r="JPX26" s="19"/>
      <c r="JPY26" s="19"/>
      <c r="JPZ26" s="19"/>
      <c r="JQA26" s="19"/>
      <c r="JQB26" s="19"/>
      <c r="JQC26" s="19"/>
      <c r="JQD26" s="19"/>
      <c r="JQE26" s="19"/>
      <c r="JQF26" s="19"/>
      <c r="JQG26" s="19"/>
      <c r="JQH26" s="19"/>
      <c r="JQI26" s="19"/>
      <c r="JQJ26" s="19"/>
      <c r="JQK26" s="19"/>
      <c r="JQL26" s="19"/>
      <c r="JQM26" s="19"/>
      <c r="JQN26" s="19"/>
      <c r="JQO26" s="19"/>
      <c r="JQP26" s="19"/>
      <c r="JQQ26" s="19"/>
      <c r="JQR26" s="19"/>
      <c r="JQS26" s="19"/>
      <c r="JQT26" s="19"/>
      <c r="JQU26" s="19"/>
      <c r="JQV26" s="19"/>
      <c r="JQW26" s="19"/>
      <c r="JQX26" s="19"/>
      <c r="JQY26" s="19"/>
      <c r="JQZ26" s="19"/>
      <c r="JRA26" s="19"/>
      <c r="JRB26" s="19"/>
      <c r="JRC26" s="19"/>
      <c r="JRD26" s="19"/>
      <c r="JRE26" s="19"/>
      <c r="JRF26" s="19"/>
      <c r="JRG26" s="19"/>
      <c r="JRH26" s="19"/>
      <c r="JRI26" s="19"/>
      <c r="JRJ26" s="19"/>
      <c r="JRK26" s="19"/>
      <c r="JRL26" s="19"/>
      <c r="JRM26" s="19"/>
      <c r="JRN26" s="19"/>
      <c r="JRO26" s="19"/>
      <c r="JRP26" s="19"/>
      <c r="JRQ26" s="19"/>
      <c r="JRR26" s="19"/>
      <c r="JRS26" s="19"/>
      <c r="JRT26" s="19"/>
      <c r="JRU26" s="19"/>
      <c r="JRV26" s="19"/>
      <c r="JRW26" s="19"/>
      <c r="JRX26" s="19"/>
      <c r="JRY26" s="19"/>
      <c r="JRZ26" s="19"/>
      <c r="JSA26" s="19"/>
      <c r="JSB26" s="19"/>
      <c r="JSC26" s="19"/>
      <c r="JSD26" s="19"/>
      <c r="JSE26" s="19"/>
      <c r="JSF26" s="19"/>
      <c r="JSG26" s="19"/>
      <c r="JSH26" s="19"/>
      <c r="JSI26" s="19"/>
      <c r="JSJ26" s="19"/>
      <c r="JSK26" s="19"/>
      <c r="JSL26" s="19"/>
      <c r="JSM26" s="19"/>
      <c r="JSN26" s="19"/>
      <c r="JSO26" s="19"/>
      <c r="JSP26" s="19"/>
      <c r="JSQ26" s="19"/>
      <c r="JSR26" s="19"/>
      <c r="JSS26" s="19"/>
      <c r="JST26" s="19"/>
      <c r="JSU26" s="19"/>
      <c r="JSV26" s="19"/>
      <c r="JSW26" s="19"/>
      <c r="JSX26" s="19"/>
      <c r="JSY26" s="19"/>
      <c r="JSZ26" s="19"/>
      <c r="JTA26" s="19"/>
      <c r="JTB26" s="19"/>
      <c r="JTC26" s="19"/>
      <c r="JTD26" s="19"/>
      <c r="JTE26" s="19"/>
      <c r="JTF26" s="19"/>
      <c r="JTG26" s="19"/>
      <c r="JTH26" s="19"/>
      <c r="JTI26" s="19"/>
      <c r="JTJ26" s="19"/>
      <c r="JTK26" s="19"/>
      <c r="JTL26" s="19"/>
      <c r="JTM26" s="19"/>
      <c r="JTN26" s="19"/>
      <c r="JTO26" s="19"/>
      <c r="JTP26" s="19"/>
      <c r="JTQ26" s="19"/>
      <c r="JTR26" s="19"/>
      <c r="JTS26" s="19"/>
      <c r="JTT26" s="19"/>
      <c r="JTU26" s="19"/>
      <c r="JTV26" s="19"/>
      <c r="JTW26" s="19"/>
      <c r="JTX26" s="19"/>
      <c r="JTY26" s="19"/>
      <c r="JTZ26" s="19"/>
      <c r="JUA26" s="19"/>
      <c r="JUB26" s="19"/>
      <c r="JUC26" s="19"/>
      <c r="JUD26" s="19"/>
      <c r="JUE26" s="19"/>
      <c r="JUF26" s="19"/>
      <c r="JUG26" s="19"/>
      <c r="JUH26" s="19"/>
      <c r="JUI26" s="19"/>
      <c r="JUJ26" s="19"/>
      <c r="JUK26" s="19"/>
      <c r="JUL26" s="19"/>
      <c r="JUM26" s="19"/>
      <c r="JUN26" s="19"/>
      <c r="JUO26" s="19"/>
      <c r="JUP26" s="19"/>
      <c r="JUQ26" s="19"/>
      <c r="JUR26" s="19"/>
      <c r="JUS26" s="19"/>
      <c r="JUT26" s="19"/>
      <c r="JUU26" s="19"/>
      <c r="JUV26" s="19"/>
      <c r="JUW26" s="19"/>
      <c r="JUX26" s="19"/>
      <c r="JUY26" s="19"/>
      <c r="JUZ26" s="19"/>
      <c r="JVA26" s="19"/>
      <c r="JVB26" s="19"/>
      <c r="JVC26" s="19"/>
      <c r="JVD26" s="19"/>
      <c r="JVE26" s="19"/>
      <c r="JVF26" s="19"/>
      <c r="JVG26" s="19"/>
      <c r="JVH26" s="19"/>
      <c r="JVI26" s="19"/>
      <c r="JVJ26" s="19"/>
      <c r="JVK26" s="19"/>
      <c r="JVL26" s="19"/>
      <c r="JVM26" s="19"/>
      <c r="JVN26" s="19"/>
      <c r="JVO26" s="19"/>
      <c r="JVP26" s="19"/>
      <c r="JVQ26" s="19"/>
      <c r="JVR26" s="19"/>
      <c r="JVS26" s="19"/>
      <c r="JVT26" s="19"/>
      <c r="JVU26" s="19"/>
      <c r="JVV26" s="19"/>
      <c r="JVW26" s="19"/>
      <c r="JVX26" s="19"/>
      <c r="JVY26" s="19"/>
      <c r="JVZ26" s="19"/>
      <c r="JWA26" s="19"/>
      <c r="JWB26" s="19"/>
      <c r="JWC26" s="19"/>
      <c r="JWD26" s="19"/>
      <c r="JWE26" s="19"/>
      <c r="JWF26" s="19"/>
      <c r="JWG26" s="19"/>
      <c r="JWH26" s="19"/>
      <c r="JWI26" s="19"/>
      <c r="JWJ26" s="19"/>
      <c r="JWK26" s="19"/>
      <c r="JWL26" s="19"/>
      <c r="JWM26" s="19"/>
      <c r="JWN26" s="19"/>
      <c r="JWO26" s="19"/>
      <c r="JWP26" s="19"/>
      <c r="JWQ26" s="19"/>
      <c r="JWR26" s="19"/>
      <c r="JWS26" s="19"/>
      <c r="JWT26" s="19"/>
      <c r="JWU26" s="19"/>
      <c r="JWV26" s="19"/>
      <c r="JWW26" s="19"/>
      <c r="JWX26" s="19"/>
      <c r="JWY26" s="19"/>
      <c r="JWZ26" s="19"/>
      <c r="JXA26" s="19"/>
      <c r="JXB26" s="19"/>
      <c r="JXC26" s="19"/>
      <c r="JXD26" s="19"/>
      <c r="JXE26" s="19"/>
      <c r="JXF26" s="19"/>
      <c r="JXG26" s="19"/>
      <c r="JXH26" s="19"/>
      <c r="JXI26" s="19"/>
      <c r="JXJ26" s="19"/>
      <c r="JXK26" s="19"/>
      <c r="JXL26" s="19"/>
      <c r="JXM26" s="19"/>
      <c r="JXN26" s="19"/>
      <c r="JXO26" s="19"/>
      <c r="JXP26" s="19"/>
      <c r="JXQ26" s="19"/>
      <c r="JXR26" s="19"/>
      <c r="JXS26" s="19"/>
      <c r="JXT26" s="19"/>
      <c r="JXU26" s="19"/>
      <c r="JXV26" s="19"/>
      <c r="JXW26" s="19"/>
      <c r="JXX26" s="19"/>
      <c r="JXY26" s="19"/>
      <c r="JXZ26" s="19"/>
      <c r="JYA26" s="19"/>
      <c r="JYB26" s="19"/>
      <c r="JYC26" s="19"/>
      <c r="JYD26" s="19"/>
      <c r="JYE26" s="19"/>
      <c r="JYF26" s="19"/>
      <c r="JYG26" s="19"/>
      <c r="JYH26" s="19"/>
      <c r="JYI26" s="19"/>
      <c r="JYJ26" s="19"/>
      <c r="JYK26" s="19"/>
      <c r="JYL26" s="19"/>
      <c r="JYM26" s="19"/>
      <c r="JYN26" s="19"/>
      <c r="JYO26" s="19"/>
      <c r="JYP26" s="19"/>
      <c r="JYQ26" s="19"/>
      <c r="JYR26" s="19"/>
      <c r="JYS26" s="19"/>
      <c r="JYT26" s="19"/>
      <c r="JYU26" s="19"/>
      <c r="JYV26" s="19"/>
      <c r="JYW26" s="19"/>
      <c r="JYX26" s="19"/>
      <c r="JYY26" s="19"/>
      <c r="JYZ26" s="19"/>
      <c r="JZA26" s="19"/>
      <c r="JZB26" s="19"/>
      <c r="JZC26" s="19"/>
      <c r="JZD26" s="19"/>
      <c r="JZE26" s="19"/>
      <c r="JZF26" s="19"/>
      <c r="JZG26" s="19"/>
      <c r="JZH26" s="19"/>
      <c r="JZI26" s="19"/>
      <c r="JZJ26" s="19"/>
      <c r="JZK26" s="19"/>
      <c r="JZL26" s="19"/>
      <c r="JZM26" s="19"/>
      <c r="JZN26" s="19"/>
      <c r="JZO26" s="19"/>
      <c r="JZP26" s="19"/>
      <c r="JZQ26" s="19"/>
      <c r="JZR26" s="19"/>
      <c r="JZS26" s="19"/>
      <c r="JZT26" s="19"/>
      <c r="JZU26" s="19"/>
      <c r="JZV26" s="19"/>
      <c r="JZW26" s="19"/>
      <c r="JZX26" s="19"/>
      <c r="JZY26" s="19"/>
      <c r="JZZ26" s="19"/>
      <c r="KAA26" s="19"/>
      <c r="KAB26" s="19"/>
      <c r="KAC26" s="19"/>
      <c r="KAD26" s="19"/>
      <c r="KAE26" s="19"/>
      <c r="KAF26" s="19"/>
      <c r="KAG26" s="19"/>
      <c r="KAH26" s="19"/>
      <c r="KAI26" s="19"/>
      <c r="KAJ26" s="19"/>
      <c r="KAK26" s="19"/>
      <c r="KAL26" s="19"/>
      <c r="KAM26" s="19"/>
      <c r="KAN26" s="19"/>
      <c r="KAO26" s="19"/>
      <c r="KAP26" s="19"/>
      <c r="KAQ26" s="19"/>
      <c r="KAR26" s="19"/>
      <c r="KAS26" s="19"/>
      <c r="KAT26" s="19"/>
      <c r="KAU26" s="19"/>
      <c r="KAV26" s="19"/>
      <c r="KAW26" s="19"/>
      <c r="KAX26" s="19"/>
      <c r="KAY26" s="19"/>
      <c r="KAZ26" s="19"/>
      <c r="KBA26" s="19"/>
      <c r="KBB26" s="19"/>
      <c r="KBC26" s="19"/>
      <c r="KBD26" s="19"/>
      <c r="KBE26" s="19"/>
      <c r="KBF26" s="19"/>
      <c r="KBG26" s="19"/>
      <c r="KBH26" s="19"/>
      <c r="KBI26" s="19"/>
      <c r="KBJ26" s="19"/>
      <c r="KBK26" s="19"/>
      <c r="KBL26" s="19"/>
      <c r="KBM26" s="19"/>
      <c r="KBN26" s="19"/>
      <c r="KBO26" s="19"/>
      <c r="KBP26" s="19"/>
      <c r="KBQ26" s="19"/>
      <c r="KBR26" s="19"/>
      <c r="KBS26" s="19"/>
      <c r="KBT26" s="19"/>
      <c r="KBU26" s="19"/>
      <c r="KBV26" s="19"/>
      <c r="KBW26" s="19"/>
      <c r="KBX26" s="19"/>
      <c r="KBY26" s="19"/>
      <c r="KBZ26" s="19"/>
      <c r="KCA26" s="19"/>
      <c r="KCB26" s="19"/>
      <c r="KCC26" s="19"/>
      <c r="KCD26" s="19"/>
      <c r="KCE26" s="19"/>
      <c r="KCF26" s="19"/>
      <c r="KCG26" s="19"/>
      <c r="KCH26" s="19"/>
      <c r="KCI26" s="19"/>
      <c r="KCJ26" s="19"/>
      <c r="KCK26" s="19"/>
      <c r="KCL26" s="19"/>
      <c r="KCM26" s="19"/>
      <c r="KCN26" s="19"/>
      <c r="KCO26" s="19"/>
      <c r="KCP26" s="19"/>
      <c r="KCQ26" s="19"/>
      <c r="KCR26" s="19"/>
      <c r="KCS26" s="19"/>
      <c r="KCT26" s="19"/>
      <c r="KCU26" s="19"/>
      <c r="KCV26" s="19"/>
      <c r="KCW26" s="19"/>
      <c r="KCX26" s="19"/>
      <c r="KCY26" s="19"/>
      <c r="KCZ26" s="19"/>
      <c r="KDA26" s="19"/>
      <c r="KDB26" s="19"/>
      <c r="KDC26" s="19"/>
      <c r="KDD26" s="19"/>
      <c r="KDE26" s="19"/>
      <c r="KDF26" s="19"/>
      <c r="KDG26" s="19"/>
      <c r="KDH26" s="19"/>
      <c r="KDI26" s="19"/>
      <c r="KDJ26" s="19"/>
      <c r="KDK26" s="19"/>
      <c r="KDL26" s="19"/>
      <c r="KDM26" s="19"/>
      <c r="KDN26" s="19"/>
      <c r="KDO26" s="19"/>
      <c r="KDP26" s="19"/>
      <c r="KDQ26" s="19"/>
      <c r="KDR26" s="19"/>
      <c r="KDS26" s="19"/>
      <c r="KDT26" s="19"/>
      <c r="KDU26" s="19"/>
      <c r="KDV26" s="19"/>
      <c r="KDW26" s="19"/>
      <c r="KDX26" s="19"/>
      <c r="KDY26" s="19"/>
      <c r="KDZ26" s="19"/>
      <c r="KEA26" s="19"/>
      <c r="KEB26" s="19"/>
      <c r="KEC26" s="19"/>
      <c r="KED26" s="19"/>
      <c r="KEE26" s="19"/>
      <c r="KEF26" s="19"/>
      <c r="KEG26" s="19"/>
      <c r="KEH26" s="19"/>
      <c r="KEI26" s="19"/>
      <c r="KEJ26" s="19"/>
      <c r="KEK26" s="19"/>
      <c r="KEL26" s="19"/>
      <c r="KEM26" s="19"/>
      <c r="KEN26" s="19"/>
      <c r="KEO26" s="19"/>
      <c r="KEP26" s="19"/>
      <c r="KEQ26" s="19"/>
      <c r="KER26" s="19"/>
      <c r="KES26" s="19"/>
      <c r="KET26" s="19"/>
      <c r="KEU26" s="19"/>
      <c r="KEV26" s="19"/>
      <c r="KEW26" s="19"/>
      <c r="KEX26" s="19"/>
      <c r="KEY26" s="19"/>
      <c r="KEZ26" s="19"/>
      <c r="KFA26" s="19"/>
      <c r="KFB26" s="19"/>
      <c r="KFC26" s="19"/>
      <c r="KFD26" s="19"/>
      <c r="KFE26" s="19"/>
      <c r="KFF26" s="19"/>
      <c r="KFG26" s="19"/>
      <c r="KFH26" s="19"/>
      <c r="KFI26" s="19"/>
      <c r="KFJ26" s="19"/>
      <c r="KFK26" s="19"/>
      <c r="KFL26" s="19"/>
      <c r="KFM26" s="19"/>
      <c r="KFN26" s="19"/>
      <c r="KFO26" s="19"/>
      <c r="KFP26" s="19"/>
      <c r="KFQ26" s="19"/>
      <c r="KFR26" s="19"/>
      <c r="KFS26" s="19"/>
      <c r="KFT26" s="19"/>
      <c r="KFU26" s="19"/>
      <c r="KFV26" s="19"/>
      <c r="KFW26" s="19"/>
      <c r="KFX26" s="19"/>
      <c r="KFY26" s="19"/>
      <c r="KFZ26" s="19"/>
      <c r="KGA26" s="19"/>
      <c r="KGB26" s="19"/>
      <c r="KGC26" s="19"/>
      <c r="KGD26" s="19"/>
      <c r="KGE26" s="19"/>
      <c r="KGF26" s="19"/>
      <c r="KGG26" s="19"/>
      <c r="KGH26" s="19"/>
      <c r="KGI26" s="19"/>
      <c r="KGJ26" s="19"/>
      <c r="KGK26" s="19"/>
      <c r="KGL26" s="19"/>
      <c r="KGM26" s="19"/>
      <c r="KGN26" s="19"/>
      <c r="KGO26" s="19"/>
      <c r="KGP26" s="19"/>
      <c r="KGQ26" s="19"/>
      <c r="KGR26" s="19"/>
      <c r="KGS26" s="19"/>
      <c r="KGT26" s="19"/>
      <c r="KGU26" s="19"/>
      <c r="KGV26" s="19"/>
      <c r="KGW26" s="19"/>
      <c r="KGX26" s="19"/>
      <c r="KGY26" s="19"/>
      <c r="KGZ26" s="19"/>
      <c r="KHA26" s="19"/>
      <c r="KHB26" s="19"/>
      <c r="KHC26" s="19"/>
      <c r="KHD26" s="19"/>
      <c r="KHE26" s="19"/>
      <c r="KHF26" s="19"/>
      <c r="KHG26" s="19"/>
      <c r="KHH26" s="19"/>
      <c r="KHI26" s="19"/>
      <c r="KHJ26" s="19"/>
      <c r="KHK26" s="19"/>
      <c r="KHL26" s="19"/>
      <c r="KHM26" s="19"/>
      <c r="KHN26" s="19"/>
      <c r="KHO26" s="19"/>
      <c r="KHP26" s="19"/>
      <c r="KHQ26" s="19"/>
      <c r="KHR26" s="19"/>
      <c r="KHS26" s="19"/>
      <c r="KHT26" s="19"/>
      <c r="KHU26" s="19"/>
      <c r="KHV26" s="19"/>
      <c r="KHW26" s="19"/>
      <c r="KHX26" s="19"/>
      <c r="KHY26" s="19"/>
      <c r="KHZ26" s="19"/>
      <c r="KIA26" s="19"/>
      <c r="KIB26" s="19"/>
      <c r="KIC26" s="19"/>
      <c r="KID26" s="19"/>
      <c r="KIE26" s="19"/>
      <c r="KIF26" s="19"/>
      <c r="KIG26" s="19"/>
      <c r="KIH26" s="19"/>
      <c r="KII26" s="19"/>
      <c r="KIJ26" s="19"/>
      <c r="KIK26" s="19"/>
      <c r="KIL26" s="19"/>
      <c r="KIM26" s="19"/>
      <c r="KIN26" s="19"/>
      <c r="KIO26" s="19"/>
      <c r="KIP26" s="19"/>
      <c r="KIQ26" s="19"/>
      <c r="KIR26" s="19"/>
      <c r="KIS26" s="19"/>
      <c r="KIT26" s="19"/>
      <c r="KIU26" s="19"/>
      <c r="KIV26" s="19"/>
      <c r="KIW26" s="19"/>
      <c r="KIX26" s="19"/>
      <c r="KIY26" s="19"/>
      <c r="KIZ26" s="19"/>
      <c r="KJA26" s="19"/>
      <c r="KJB26" s="19"/>
      <c r="KJC26" s="19"/>
      <c r="KJD26" s="19"/>
      <c r="KJE26" s="19"/>
      <c r="KJF26" s="19"/>
      <c r="KJG26" s="19"/>
      <c r="KJH26" s="19"/>
      <c r="KJI26" s="19"/>
      <c r="KJJ26" s="19"/>
      <c r="KJK26" s="19"/>
      <c r="KJL26" s="19"/>
      <c r="KJM26" s="19"/>
      <c r="KJN26" s="19"/>
      <c r="KJO26" s="19"/>
      <c r="KJP26" s="19"/>
      <c r="KJQ26" s="19"/>
      <c r="KJR26" s="19"/>
      <c r="KJS26" s="19"/>
      <c r="KJT26" s="19"/>
      <c r="KJU26" s="19"/>
      <c r="KJV26" s="19"/>
      <c r="KJW26" s="19"/>
      <c r="KJX26" s="19"/>
      <c r="KJY26" s="19"/>
      <c r="KJZ26" s="19"/>
      <c r="KKA26" s="19"/>
      <c r="KKB26" s="19"/>
      <c r="KKC26" s="19"/>
      <c r="KKD26" s="19"/>
      <c r="KKE26" s="19"/>
      <c r="KKF26" s="19"/>
      <c r="KKG26" s="19"/>
      <c r="KKH26" s="19"/>
      <c r="KKI26" s="19"/>
      <c r="KKJ26" s="19"/>
      <c r="KKK26" s="19"/>
      <c r="KKL26" s="19"/>
      <c r="KKM26" s="19"/>
      <c r="KKN26" s="19"/>
      <c r="KKO26" s="19"/>
      <c r="KKP26" s="19"/>
      <c r="KKQ26" s="19"/>
      <c r="KKR26" s="19"/>
      <c r="KKS26" s="19"/>
      <c r="KKT26" s="19"/>
      <c r="KKU26" s="19"/>
      <c r="KKV26" s="19"/>
      <c r="KKW26" s="19"/>
      <c r="KKX26" s="19"/>
      <c r="KKY26" s="19"/>
      <c r="KKZ26" s="19"/>
      <c r="KLA26" s="19"/>
      <c r="KLB26" s="19"/>
      <c r="KLC26" s="19"/>
      <c r="KLD26" s="19"/>
      <c r="KLE26" s="19"/>
      <c r="KLF26" s="19"/>
      <c r="KLG26" s="19"/>
      <c r="KLH26" s="19"/>
      <c r="KLI26" s="19"/>
      <c r="KLJ26" s="19"/>
      <c r="KLK26" s="19"/>
      <c r="KLL26" s="19"/>
      <c r="KLM26" s="19"/>
      <c r="KLN26" s="19"/>
      <c r="KLO26" s="19"/>
      <c r="KLP26" s="19"/>
      <c r="KLQ26" s="19"/>
      <c r="KLR26" s="19"/>
      <c r="KLS26" s="19"/>
      <c r="KLT26" s="19"/>
      <c r="KLU26" s="19"/>
      <c r="KLV26" s="19"/>
      <c r="KLW26" s="19"/>
      <c r="KLX26" s="19"/>
      <c r="KLY26" s="19"/>
      <c r="KLZ26" s="19"/>
      <c r="KMA26" s="19"/>
      <c r="KMB26" s="19"/>
      <c r="KMC26" s="19"/>
      <c r="KMD26" s="19"/>
      <c r="KME26" s="19"/>
      <c r="KMF26" s="19"/>
      <c r="KMG26" s="19"/>
      <c r="KMH26" s="19"/>
      <c r="KMI26" s="19"/>
      <c r="KMJ26" s="19"/>
      <c r="KMK26" s="19"/>
      <c r="KML26" s="19"/>
      <c r="KMM26" s="19"/>
      <c r="KMN26" s="19"/>
      <c r="KMO26" s="19"/>
      <c r="KMP26" s="19"/>
      <c r="KMQ26" s="19"/>
      <c r="KMR26" s="19"/>
      <c r="KMS26" s="19"/>
      <c r="KMT26" s="19"/>
      <c r="KMU26" s="19"/>
      <c r="KMV26" s="19"/>
      <c r="KMW26" s="19"/>
      <c r="KMX26" s="19"/>
      <c r="KMY26" s="19"/>
      <c r="KMZ26" s="19"/>
      <c r="KNA26" s="19"/>
      <c r="KNB26" s="19"/>
      <c r="KNC26" s="19"/>
      <c r="KND26" s="19"/>
      <c r="KNE26" s="19"/>
      <c r="KNF26" s="19"/>
      <c r="KNG26" s="19"/>
      <c r="KNH26" s="19"/>
      <c r="KNI26" s="19"/>
      <c r="KNJ26" s="19"/>
      <c r="KNK26" s="19"/>
      <c r="KNL26" s="19"/>
      <c r="KNM26" s="19"/>
      <c r="KNN26" s="19"/>
      <c r="KNO26" s="19"/>
      <c r="KNP26" s="19"/>
      <c r="KNQ26" s="19"/>
      <c r="KNR26" s="19"/>
      <c r="KNS26" s="19"/>
      <c r="KNT26" s="19"/>
      <c r="KNU26" s="19"/>
      <c r="KNV26" s="19"/>
      <c r="KNW26" s="19"/>
      <c r="KNX26" s="19"/>
      <c r="KNY26" s="19"/>
      <c r="KNZ26" s="19"/>
      <c r="KOA26" s="19"/>
      <c r="KOB26" s="19"/>
      <c r="KOC26" s="19"/>
      <c r="KOD26" s="19"/>
      <c r="KOE26" s="19"/>
      <c r="KOF26" s="19"/>
      <c r="KOG26" s="19"/>
      <c r="KOH26" s="19"/>
      <c r="KOI26" s="19"/>
      <c r="KOJ26" s="19"/>
      <c r="KOK26" s="19"/>
      <c r="KOL26" s="19"/>
      <c r="KOM26" s="19"/>
      <c r="KON26" s="19"/>
      <c r="KOO26" s="19"/>
      <c r="KOP26" s="19"/>
      <c r="KOQ26" s="19"/>
      <c r="KOR26" s="19"/>
      <c r="KOS26" s="19"/>
      <c r="KOT26" s="19"/>
      <c r="KOU26" s="19"/>
      <c r="KOV26" s="19"/>
      <c r="KOW26" s="19"/>
      <c r="KOX26" s="19"/>
      <c r="KOY26" s="19"/>
      <c r="KOZ26" s="19"/>
      <c r="KPA26" s="19"/>
      <c r="KPB26" s="19"/>
      <c r="KPC26" s="19"/>
      <c r="KPD26" s="19"/>
      <c r="KPE26" s="19"/>
      <c r="KPF26" s="19"/>
      <c r="KPG26" s="19"/>
      <c r="KPH26" s="19"/>
      <c r="KPI26" s="19"/>
      <c r="KPJ26" s="19"/>
      <c r="KPK26" s="19"/>
      <c r="KPL26" s="19"/>
      <c r="KPM26" s="19"/>
      <c r="KPN26" s="19"/>
      <c r="KPO26" s="19"/>
      <c r="KPP26" s="19"/>
      <c r="KPQ26" s="19"/>
      <c r="KPR26" s="19"/>
      <c r="KPS26" s="19"/>
      <c r="KPT26" s="19"/>
      <c r="KPU26" s="19"/>
      <c r="KPV26" s="19"/>
      <c r="KPW26" s="19"/>
      <c r="KPX26" s="19"/>
      <c r="KPY26" s="19"/>
      <c r="KPZ26" s="19"/>
      <c r="KQA26" s="19"/>
      <c r="KQB26" s="19"/>
      <c r="KQC26" s="19"/>
      <c r="KQD26" s="19"/>
      <c r="KQE26" s="19"/>
      <c r="KQF26" s="19"/>
      <c r="KQG26" s="19"/>
      <c r="KQH26" s="19"/>
      <c r="KQI26" s="19"/>
      <c r="KQJ26" s="19"/>
      <c r="KQK26" s="19"/>
      <c r="KQL26" s="19"/>
      <c r="KQM26" s="19"/>
      <c r="KQN26" s="19"/>
      <c r="KQO26" s="19"/>
      <c r="KQP26" s="19"/>
      <c r="KQQ26" s="19"/>
      <c r="KQR26" s="19"/>
      <c r="KQS26" s="19"/>
      <c r="KQT26" s="19"/>
      <c r="KQU26" s="19"/>
      <c r="KQV26" s="19"/>
      <c r="KQW26" s="19"/>
      <c r="KQX26" s="19"/>
      <c r="KQY26" s="19"/>
      <c r="KQZ26" s="19"/>
      <c r="KRA26" s="19"/>
      <c r="KRB26" s="19"/>
      <c r="KRC26" s="19"/>
      <c r="KRD26" s="19"/>
      <c r="KRE26" s="19"/>
      <c r="KRF26" s="19"/>
      <c r="KRG26" s="19"/>
      <c r="KRH26" s="19"/>
      <c r="KRI26" s="19"/>
      <c r="KRJ26" s="19"/>
      <c r="KRK26" s="19"/>
      <c r="KRL26" s="19"/>
      <c r="KRM26" s="19"/>
      <c r="KRN26" s="19"/>
      <c r="KRO26" s="19"/>
      <c r="KRP26" s="19"/>
      <c r="KRQ26" s="19"/>
      <c r="KRR26" s="19"/>
      <c r="KRS26" s="19"/>
      <c r="KRT26" s="19"/>
      <c r="KRU26" s="19"/>
      <c r="KRV26" s="19"/>
      <c r="KRW26" s="19"/>
      <c r="KRX26" s="19"/>
      <c r="KRY26" s="19"/>
      <c r="KRZ26" s="19"/>
      <c r="KSA26" s="19"/>
      <c r="KSB26" s="19"/>
      <c r="KSC26" s="19"/>
      <c r="KSD26" s="19"/>
      <c r="KSE26" s="19"/>
      <c r="KSF26" s="19"/>
      <c r="KSG26" s="19"/>
      <c r="KSH26" s="19"/>
      <c r="KSI26" s="19"/>
      <c r="KSJ26" s="19"/>
      <c r="KSK26" s="19"/>
      <c r="KSL26" s="19"/>
      <c r="KSM26" s="19"/>
      <c r="KSN26" s="19"/>
      <c r="KSO26" s="19"/>
      <c r="KSP26" s="19"/>
      <c r="KSQ26" s="19"/>
      <c r="KSR26" s="19"/>
      <c r="KSS26" s="19"/>
      <c r="KST26" s="19"/>
      <c r="KSU26" s="19"/>
      <c r="KSV26" s="19"/>
      <c r="KSW26" s="19"/>
      <c r="KSX26" s="19"/>
      <c r="KSY26" s="19"/>
      <c r="KSZ26" s="19"/>
      <c r="KTA26" s="19"/>
      <c r="KTB26" s="19"/>
      <c r="KTC26" s="19"/>
      <c r="KTD26" s="19"/>
      <c r="KTE26" s="19"/>
      <c r="KTF26" s="19"/>
      <c r="KTG26" s="19"/>
      <c r="KTH26" s="19"/>
      <c r="KTI26" s="19"/>
      <c r="KTJ26" s="19"/>
      <c r="KTK26" s="19"/>
      <c r="KTL26" s="19"/>
      <c r="KTM26" s="19"/>
      <c r="KTN26" s="19"/>
      <c r="KTO26" s="19"/>
      <c r="KTP26" s="19"/>
      <c r="KTQ26" s="19"/>
      <c r="KTR26" s="19"/>
      <c r="KTS26" s="19"/>
      <c r="KTT26" s="19"/>
      <c r="KTU26" s="19"/>
      <c r="KTV26" s="19"/>
      <c r="KTW26" s="19"/>
      <c r="KTX26" s="19"/>
      <c r="KTY26" s="19"/>
      <c r="KTZ26" s="19"/>
      <c r="KUA26" s="19"/>
      <c r="KUB26" s="19"/>
      <c r="KUC26" s="19"/>
      <c r="KUD26" s="19"/>
      <c r="KUE26" s="19"/>
      <c r="KUF26" s="19"/>
      <c r="KUG26" s="19"/>
      <c r="KUH26" s="19"/>
      <c r="KUI26" s="19"/>
      <c r="KUJ26" s="19"/>
      <c r="KUK26" s="19"/>
      <c r="KUL26" s="19"/>
      <c r="KUM26" s="19"/>
      <c r="KUN26" s="19"/>
      <c r="KUO26" s="19"/>
      <c r="KUP26" s="19"/>
      <c r="KUQ26" s="19"/>
      <c r="KUR26" s="19"/>
      <c r="KUS26" s="19"/>
      <c r="KUT26" s="19"/>
      <c r="KUU26" s="19"/>
      <c r="KUV26" s="19"/>
      <c r="KUW26" s="19"/>
      <c r="KUX26" s="19"/>
      <c r="KUY26" s="19"/>
      <c r="KUZ26" s="19"/>
      <c r="KVA26" s="19"/>
      <c r="KVB26" s="19"/>
      <c r="KVC26" s="19"/>
      <c r="KVD26" s="19"/>
      <c r="KVE26" s="19"/>
      <c r="KVF26" s="19"/>
      <c r="KVG26" s="19"/>
      <c r="KVH26" s="19"/>
      <c r="KVI26" s="19"/>
      <c r="KVJ26" s="19"/>
      <c r="KVK26" s="19"/>
      <c r="KVL26" s="19"/>
      <c r="KVM26" s="19"/>
      <c r="KVN26" s="19"/>
      <c r="KVO26" s="19"/>
      <c r="KVP26" s="19"/>
      <c r="KVQ26" s="19"/>
      <c r="KVR26" s="19"/>
      <c r="KVS26" s="19"/>
      <c r="KVT26" s="19"/>
      <c r="KVU26" s="19"/>
      <c r="KVV26" s="19"/>
      <c r="KVW26" s="19"/>
      <c r="KVX26" s="19"/>
      <c r="KVY26" s="19"/>
      <c r="KVZ26" s="19"/>
      <c r="KWA26" s="19"/>
      <c r="KWB26" s="19"/>
      <c r="KWC26" s="19"/>
      <c r="KWD26" s="19"/>
      <c r="KWE26" s="19"/>
      <c r="KWF26" s="19"/>
      <c r="KWG26" s="19"/>
      <c r="KWH26" s="19"/>
      <c r="KWI26" s="19"/>
      <c r="KWJ26" s="19"/>
      <c r="KWK26" s="19"/>
      <c r="KWL26" s="19"/>
      <c r="KWM26" s="19"/>
      <c r="KWN26" s="19"/>
      <c r="KWO26" s="19"/>
      <c r="KWP26" s="19"/>
      <c r="KWQ26" s="19"/>
      <c r="KWR26" s="19"/>
      <c r="KWS26" s="19"/>
      <c r="KWT26" s="19"/>
      <c r="KWU26" s="19"/>
      <c r="KWV26" s="19"/>
      <c r="KWW26" s="19"/>
      <c r="KWX26" s="19"/>
      <c r="KWY26" s="19"/>
      <c r="KWZ26" s="19"/>
      <c r="KXA26" s="19"/>
      <c r="KXB26" s="19"/>
      <c r="KXC26" s="19"/>
      <c r="KXD26" s="19"/>
      <c r="KXE26" s="19"/>
      <c r="KXF26" s="19"/>
      <c r="KXG26" s="19"/>
      <c r="KXH26" s="19"/>
      <c r="KXI26" s="19"/>
      <c r="KXJ26" s="19"/>
      <c r="KXK26" s="19"/>
      <c r="KXL26" s="19"/>
      <c r="KXM26" s="19"/>
      <c r="KXN26" s="19"/>
      <c r="KXO26" s="19"/>
      <c r="KXP26" s="19"/>
      <c r="KXQ26" s="19"/>
      <c r="KXR26" s="19"/>
      <c r="KXS26" s="19"/>
      <c r="KXT26" s="19"/>
      <c r="KXU26" s="19"/>
      <c r="KXV26" s="19"/>
      <c r="KXW26" s="19"/>
      <c r="KXX26" s="19"/>
      <c r="KXY26" s="19"/>
      <c r="KXZ26" s="19"/>
      <c r="KYA26" s="19"/>
      <c r="KYB26" s="19"/>
      <c r="KYC26" s="19"/>
      <c r="KYD26" s="19"/>
      <c r="KYE26" s="19"/>
      <c r="KYF26" s="19"/>
      <c r="KYG26" s="19"/>
      <c r="KYH26" s="19"/>
      <c r="KYI26" s="19"/>
      <c r="KYJ26" s="19"/>
      <c r="KYK26" s="19"/>
      <c r="KYL26" s="19"/>
      <c r="KYM26" s="19"/>
      <c r="KYN26" s="19"/>
      <c r="KYO26" s="19"/>
      <c r="KYP26" s="19"/>
      <c r="KYQ26" s="19"/>
      <c r="KYR26" s="19"/>
      <c r="KYS26" s="19"/>
      <c r="KYT26" s="19"/>
      <c r="KYU26" s="19"/>
      <c r="KYV26" s="19"/>
      <c r="KYW26" s="19"/>
      <c r="KYX26" s="19"/>
      <c r="KYY26" s="19"/>
      <c r="KYZ26" s="19"/>
      <c r="KZA26" s="19"/>
      <c r="KZB26" s="19"/>
      <c r="KZC26" s="19"/>
      <c r="KZD26" s="19"/>
      <c r="KZE26" s="19"/>
      <c r="KZF26" s="19"/>
      <c r="KZG26" s="19"/>
      <c r="KZH26" s="19"/>
      <c r="KZI26" s="19"/>
      <c r="KZJ26" s="19"/>
      <c r="KZK26" s="19"/>
      <c r="KZL26" s="19"/>
      <c r="KZM26" s="19"/>
      <c r="KZN26" s="19"/>
      <c r="KZO26" s="19"/>
      <c r="KZP26" s="19"/>
      <c r="KZQ26" s="19"/>
      <c r="KZR26" s="19"/>
      <c r="KZS26" s="19"/>
      <c r="KZT26" s="19"/>
      <c r="KZU26" s="19"/>
      <c r="KZV26" s="19"/>
      <c r="KZW26" s="19"/>
      <c r="KZX26" s="19"/>
      <c r="KZY26" s="19"/>
      <c r="KZZ26" s="19"/>
      <c r="LAA26" s="19"/>
      <c r="LAB26" s="19"/>
      <c r="LAC26" s="19"/>
      <c r="LAD26" s="19"/>
      <c r="LAE26" s="19"/>
      <c r="LAF26" s="19"/>
      <c r="LAG26" s="19"/>
      <c r="LAH26" s="19"/>
      <c r="LAI26" s="19"/>
      <c r="LAJ26" s="19"/>
      <c r="LAK26" s="19"/>
      <c r="LAL26" s="19"/>
      <c r="LAM26" s="19"/>
      <c r="LAN26" s="19"/>
      <c r="LAO26" s="19"/>
      <c r="LAP26" s="19"/>
      <c r="LAQ26" s="19"/>
      <c r="LAR26" s="19"/>
      <c r="LAS26" s="19"/>
      <c r="LAT26" s="19"/>
      <c r="LAU26" s="19"/>
      <c r="LAV26" s="19"/>
      <c r="LAW26" s="19"/>
      <c r="LAX26" s="19"/>
      <c r="LAY26" s="19"/>
      <c r="LAZ26" s="19"/>
      <c r="LBA26" s="19"/>
      <c r="LBB26" s="19"/>
      <c r="LBC26" s="19"/>
      <c r="LBD26" s="19"/>
      <c r="LBE26" s="19"/>
      <c r="LBF26" s="19"/>
      <c r="LBG26" s="19"/>
      <c r="LBH26" s="19"/>
      <c r="LBI26" s="19"/>
      <c r="LBJ26" s="19"/>
      <c r="LBK26" s="19"/>
      <c r="LBL26" s="19"/>
      <c r="LBM26" s="19"/>
      <c r="LBN26" s="19"/>
      <c r="LBO26" s="19"/>
      <c r="LBP26" s="19"/>
      <c r="LBQ26" s="19"/>
      <c r="LBR26" s="19"/>
      <c r="LBS26" s="19"/>
      <c r="LBT26" s="19"/>
      <c r="LBU26" s="19"/>
      <c r="LBV26" s="19"/>
      <c r="LBW26" s="19"/>
      <c r="LBX26" s="19"/>
      <c r="LBY26" s="19"/>
      <c r="LBZ26" s="19"/>
      <c r="LCA26" s="19"/>
      <c r="LCB26" s="19"/>
      <c r="LCC26" s="19"/>
      <c r="LCD26" s="19"/>
      <c r="LCE26" s="19"/>
      <c r="LCF26" s="19"/>
      <c r="LCG26" s="19"/>
      <c r="LCH26" s="19"/>
      <c r="LCI26" s="19"/>
      <c r="LCJ26" s="19"/>
      <c r="LCK26" s="19"/>
      <c r="LCL26" s="19"/>
      <c r="LCM26" s="19"/>
      <c r="LCN26" s="19"/>
      <c r="LCO26" s="19"/>
      <c r="LCP26" s="19"/>
      <c r="LCQ26" s="19"/>
      <c r="LCR26" s="19"/>
      <c r="LCS26" s="19"/>
      <c r="LCT26" s="19"/>
      <c r="LCU26" s="19"/>
      <c r="LCV26" s="19"/>
      <c r="LCW26" s="19"/>
      <c r="LCX26" s="19"/>
      <c r="LCY26" s="19"/>
      <c r="LCZ26" s="19"/>
      <c r="LDA26" s="19"/>
      <c r="LDB26" s="19"/>
      <c r="LDC26" s="19"/>
      <c r="LDD26" s="19"/>
      <c r="LDE26" s="19"/>
      <c r="LDF26" s="19"/>
      <c r="LDG26" s="19"/>
      <c r="LDH26" s="19"/>
      <c r="LDI26" s="19"/>
      <c r="LDJ26" s="19"/>
      <c r="LDK26" s="19"/>
      <c r="LDL26" s="19"/>
      <c r="LDM26" s="19"/>
      <c r="LDN26" s="19"/>
      <c r="LDO26" s="19"/>
      <c r="LDP26" s="19"/>
      <c r="LDQ26" s="19"/>
      <c r="LDR26" s="19"/>
      <c r="LDS26" s="19"/>
      <c r="LDT26" s="19"/>
      <c r="LDU26" s="19"/>
      <c r="LDV26" s="19"/>
      <c r="LDW26" s="19"/>
      <c r="LDX26" s="19"/>
      <c r="LDY26" s="19"/>
      <c r="LDZ26" s="19"/>
      <c r="LEA26" s="19"/>
      <c r="LEB26" s="19"/>
      <c r="LEC26" s="19"/>
      <c r="LED26" s="19"/>
      <c r="LEE26" s="19"/>
      <c r="LEF26" s="19"/>
      <c r="LEG26" s="19"/>
      <c r="LEH26" s="19"/>
      <c r="LEI26" s="19"/>
      <c r="LEJ26" s="19"/>
      <c r="LEK26" s="19"/>
      <c r="LEL26" s="19"/>
      <c r="LEM26" s="19"/>
      <c r="LEN26" s="19"/>
      <c r="LEO26" s="19"/>
      <c r="LEP26" s="19"/>
      <c r="LEQ26" s="19"/>
      <c r="LER26" s="19"/>
      <c r="LES26" s="19"/>
      <c r="LET26" s="19"/>
      <c r="LEU26" s="19"/>
      <c r="LEV26" s="19"/>
      <c r="LEW26" s="19"/>
      <c r="LEX26" s="19"/>
      <c r="LEY26" s="19"/>
      <c r="LEZ26" s="19"/>
      <c r="LFA26" s="19"/>
      <c r="LFB26" s="19"/>
      <c r="LFC26" s="19"/>
      <c r="LFD26" s="19"/>
      <c r="LFE26" s="19"/>
      <c r="LFF26" s="19"/>
      <c r="LFG26" s="19"/>
      <c r="LFH26" s="19"/>
      <c r="LFI26" s="19"/>
      <c r="LFJ26" s="19"/>
      <c r="LFK26" s="19"/>
      <c r="LFL26" s="19"/>
      <c r="LFM26" s="19"/>
      <c r="LFN26" s="19"/>
      <c r="LFO26" s="19"/>
      <c r="LFP26" s="19"/>
      <c r="LFQ26" s="19"/>
      <c r="LFR26" s="19"/>
      <c r="LFS26" s="19"/>
      <c r="LFT26" s="19"/>
      <c r="LFU26" s="19"/>
      <c r="LFV26" s="19"/>
      <c r="LFW26" s="19"/>
      <c r="LFX26" s="19"/>
      <c r="LFY26" s="19"/>
      <c r="LFZ26" s="19"/>
      <c r="LGA26" s="19"/>
      <c r="LGB26" s="19"/>
      <c r="LGC26" s="19"/>
      <c r="LGD26" s="19"/>
      <c r="LGE26" s="19"/>
      <c r="LGF26" s="19"/>
      <c r="LGG26" s="19"/>
      <c r="LGH26" s="19"/>
      <c r="LGI26" s="19"/>
      <c r="LGJ26" s="19"/>
      <c r="LGK26" s="19"/>
      <c r="LGL26" s="19"/>
      <c r="LGM26" s="19"/>
      <c r="LGN26" s="19"/>
      <c r="LGO26" s="19"/>
      <c r="LGP26" s="19"/>
      <c r="LGQ26" s="19"/>
      <c r="LGR26" s="19"/>
      <c r="LGS26" s="19"/>
      <c r="LGT26" s="19"/>
      <c r="LGU26" s="19"/>
      <c r="LGV26" s="19"/>
      <c r="LGW26" s="19"/>
      <c r="LGX26" s="19"/>
      <c r="LGY26" s="19"/>
      <c r="LGZ26" s="19"/>
      <c r="LHA26" s="19"/>
      <c r="LHB26" s="19"/>
      <c r="LHC26" s="19"/>
      <c r="LHD26" s="19"/>
      <c r="LHE26" s="19"/>
      <c r="LHF26" s="19"/>
      <c r="LHG26" s="19"/>
      <c r="LHH26" s="19"/>
      <c r="LHI26" s="19"/>
      <c r="LHJ26" s="19"/>
      <c r="LHK26" s="19"/>
      <c r="LHL26" s="19"/>
      <c r="LHM26" s="19"/>
      <c r="LHN26" s="19"/>
      <c r="LHO26" s="19"/>
      <c r="LHP26" s="19"/>
      <c r="LHQ26" s="19"/>
      <c r="LHR26" s="19"/>
      <c r="LHS26" s="19"/>
      <c r="LHT26" s="19"/>
      <c r="LHU26" s="19"/>
      <c r="LHV26" s="19"/>
      <c r="LHW26" s="19"/>
      <c r="LHX26" s="19"/>
      <c r="LHY26" s="19"/>
      <c r="LHZ26" s="19"/>
      <c r="LIA26" s="19"/>
      <c r="LIB26" s="19"/>
      <c r="LIC26" s="19"/>
      <c r="LID26" s="19"/>
      <c r="LIE26" s="19"/>
      <c r="LIF26" s="19"/>
      <c r="LIG26" s="19"/>
      <c r="LIH26" s="19"/>
      <c r="LII26" s="19"/>
      <c r="LIJ26" s="19"/>
      <c r="LIK26" s="19"/>
      <c r="LIL26" s="19"/>
      <c r="LIM26" s="19"/>
      <c r="LIN26" s="19"/>
      <c r="LIO26" s="19"/>
      <c r="LIP26" s="19"/>
      <c r="LIQ26" s="19"/>
      <c r="LIR26" s="19"/>
      <c r="LIS26" s="19"/>
      <c r="LIT26" s="19"/>
      <c r="LIU26" s="19"/>
      <c r="LIV26" s="19"/>
      <c r="LIW26" s="19"/>
      <c r="LIX26" s="19"/>
      <c r="LIY26" s="19"/>
      <c r="LIZ26" s="19"/>
      <c r="LJA26" s="19"/>
      <c r="LJB26" s="19"/>
      <c r="LJC26" s="19"/>
      <c r="LJD26" s="19"/>
      <c r="LJE26" s="19"/>
      <c r="LJF26" s="19"/>
      <c r="LJG26" s="19"/>
      <c r="LJH26" s="19"/>
      <c r="LJI26" s="19"/>
      <c r="LJJ26" s="19"/>
      <c r="LJK26" s="19"/>
      <c r="LJL26" s="19"/>
      <c r="LJM26" s="19"/>
      <c r="LJN26" s="19"/>
      <c r="LJO26" s="19"/>
      <c r="LJP26" s="19"/>
      <c r="LJQ26" s="19"/>
      <c r="LJR26" s="19"/>
      <c r="LJS26" s="19"/>
      <c r="LJT26" s="19"/>
      <c r="LJU26" s="19"/>
      <c r="LJV26" s="19"/>
      <c r="LJW26" s="19"/>
      <c r="LJX26" s="19"/>
      <c r="LJY26" s="19"/>
      <c r="LJZ26" s="19"/>
      <c r="LKA26" s="19"/>
      <c r="LKB26" s="19"/>
      <c r="LKC26" s="19"/>
      <c r="LKD26" s="19"/>
      <c r="LKE26" s="19"/>
      <c r="LKF26" s="19"/>
      <c r="LKG26" s="19"/>
      <c r="LKH26" s="19"/>
      <c r="LKI26" s="19"/>
      <c r="LKJ26" s="19"/>
      <c r="LKK26" s="19"/>
      <c r="LKL26" s="19"/>
      <c r="LKM26" s="19"/>
      <c r="LKN26" s="19"/>
      <c r="LKO26" s="19"/>
      <c r="LKP26" s="19"/>
      <c r="LKQ26" s="19"/>
      <c r="LKR26" s="19"/>
      <c r="LKS26" s="19"/>
      <c r="LKT26" s="19"/>
      <c r="LKU26" s="19"/>
      <c r="LKV26" s="19"/>
      <c r="LKW26" s="19"/>
      <c r="LKX26" s="19"/>
      <c r="LKY26" s="19"/>
      <c r="LKZ26" s="19"/>
      <c r="LLA26" s="19"/>
      <c r="LLB26" s="19"/>
      <c r="LLC26" s="19"/>
      <c r="LLD26" s="19"/>
      <c r="LLE26" s="19"/>
      <c r="LLF26" s="19"/>
      <c r="LLG26" s="19"/>
      <c r="LLH26" s="19"/>
      <c r="LLI26" s="19"/>
      <c r="LLJ26" s="19"/>
      <c r="LLK26" s="19"/>
      <c r="LLL26" s="19"/>
      <c r="LLM26" s="19"/>
      <c r="LLN26" s="19"/>
      <c r="LLO26" s="19"/>
      <c r="LLP26" s="19"/>
      <c r="LLQ26" s="19"/>
      <c r="LLR26" s="19"/>
      <c r="LLS26" s="19"/>
      <c r="LLT26" s="19"/>
      <c r="LLU26" s="19"/>
      <c r="LLV26" s="19"/>
      <c r="LLW26" s="19"/>
      <c r="LLX26" s="19"/>
      <c r="LLY26" s="19"/>
      <c r="LLZ26" s="19"/>
      <c r="LMA26" s="19"/>
      <c r="LMB26" s="19"/>
      <c r="LMC26" s="19"/>
      <c r="LMD26" s="19"/>
      <c r="LME26" s="19"/>
      <c r="LMF26" s="19"/>
      <c r="LMG26" s="19"/>
      <c r="LMH26" s="19"/>
      <c r="LMI26" s="19"/>
      <c r="LMJ26" s="19"/>
      <c r="LMK26" s="19"/>
      <c r="LML26" s="19"/>
      <c r="LMM26" s="19"/>
      <c r="LMN26" s="19"/>
      <c r="LMO26" s="19"/>
      <c r="LMP26" s="19"/>
      <c r="LMQ26" s="19"/>
      <c r="LMR26" s="19"/>
      <c r="LMS26" s="19"/>
      <c r="LMT26" s="19"/>
      <c r="LMU26" s="19"/>
      <c r="LMV26" s="19"/>
      <c r="LMW26" s="19"/>
      <c r="LMX26" s="19"/>
      <c r="LMY26" s="19"/>
      <c r="LMZ26" s="19"/>
      <c r="LNA26" s="19"/>
      <c r="LNB26" s="19"/>
      <c r="LNC26" s="19"/>
      <c r="LND26" s="19"/>
      <c r="LNE26" s="19"/>
      <c r="LNF26" s="19"/>
      <c r="LNG26" s="19"/>
      <c r="LNH26" s="19"/>
      <c r="LNI26" s="19"/>
      <c r="LNJ26" s="19"/>
      <c r="LNK26" s="19"/>
      <c r="LNL26" s="19"/>
      <c r="LNM26" s="19"/>
      <c r="LNN26" s="19"/>
      <c r="LNO26" s="19"/>
      <c r="LNP26" s="19"/>
      <c r="LNQ26" s="19"/>
      <c r="LNR26" s="19"/>
      <c r="LNS26" s="19"/>
      <c r="LNT26" s="19"/>
      <c r="LNU26" s="19"/>
      <c r="LNV26" s="19"/>
      <c r="LNW26" s="19"/>
      <c r="LNX26" s="19"/>
      <c r="LNY26" s="19"/>
      <c r="LNZ26" s="19"/>
      <c r="LOA26" s="19"/>
      <c r="LOB26" s="19"/>
      <c r="LOC26" s="19"/>
      <c r="LOD26" s="19"/>
      <c r="LOE26" s="19"/>
      <c r="LOF26" s="19"/>
      <c r="LOG26" s="19"/>
      <c r="LOH26" s="19"/>
      <c r="LOI26" s="19"/>
      <c r="LOJ26" s="19"/>
      <c r="LOK26" s="19"/>
      <c r="LOL26" s="19"/>
      <c r="LOM26" s="19"/>
      <c r="LON26" s="19"/>
      <c r="LOO26" s="19"/>
      <c r="LOP26" s="19"/>
      <c r="LOQ26" s="19"/>
      <c r="LOR26" s="19"/>
      <c r="LOS26" s="19"/>
      <c r="LOT26" s="19"/>
      <c r="LOU26" s="19"/>
      <c r="LOV26" s="19"/>
      <c r="LOW26" s="19"/>
      <c r="LOX26" s="19"/>
      <c r="LOY26" s="19"/>
      <c r="LOZ26" s="19"/>
      <c r="LPA26" s="19"/>
      <c r="LPB26" s="19"/>
      <c r="LPC26" s="19"/>
      <c r="LPD26" s="19"/>
      <c r="LPE26" s="19"/>
      <c r="LPF26" s="19"/>
      <c r="LPG26" s="19"/>
      <c r="LPH26" s="19"/>
      <c r="LPI26" s="19"/>
      <c r="LPJ26" s="19"/>
      <c r="LPK26" s="19"/>
      <c r="LPL26" s="19"/>
      <c r="LPM26" s="19"/>
      <c r="LPN26" s="19"/>
      <c r="LPO26" s="19"/>
      <c r="LPP26" s="19"/>
      <c r="LPQ26" s="19"/>
      <c r="LPR26" s="19"/>
      <c r="LPS26" s="19"/>
      <c r="LPT26" s="19"/>
      <c r="LPU26" s="19"/>
      <c r="LPV26" s="19"/>
      <c r="LPW26" s="19"/>
      <c r="LPX26" s="19"/>
      <c r="LPY26" s="19"/>
      <c r="LPZ26" s="19"/>
      <c r="LQA26" s="19"/>
      <c r="LQB26" s="19"/>
      <c r="LQC26" s="19"/>
      <c r="LQD26" s="19"/>
      <c r="LQE26" s="19"/>
      <c r="LQF26" s="19"/>
      <c r="LQG26" s="19"/>
      <c r="LQH26" s="19"/>
      <c r="LQI26" s="19"/>
      <c r="LQJ26" s="19"/>
      <c r="LQK26" s="19"/>
      <c r="LQL26" s="19"/>
      <c r="LQM26" s="19"/>
      <c r="LQN26" s="19"/>
      <c r="LQO26" s="19"/>
      <c r="LQP26" s="19"/>
      <c r="LQQ26" s="19"/>
      <c r="LQR26" s="19"/>
      <c r="LQS26" s="19"/>
      <c r="LQT26" s="19"/>
      <c r="LQU26" s="19"/>
      <c r="LQV26" s="19"/>
      <c r="LQW26" s="19"/>
      <c r="LQX26" s="19"/>
      <c r="LQY26" s="19"/>
      <c r="LQZ26" s="19"/>
      <c r="LRA26" s="19"/>
      <c r="LRB26" s="19"/>
      <c r="LRC26" s="19"/>
      <c r="LRD26" s="19"/>
      <c r="LRE26" s="19"/>
      <c r="LRF26" s="19"/>
      <c r="LRG26" s="19"/>
      <c r="LRH26" s="19"/>
      <c r="LRI26" s="19"/>
      <c r="LRJ26" s="19"/>
      <c r="LRK26" s="19"/>
      <c r="LRL26" s="19"/>
      <c r="LRM26" s="19"/>
      <c r="LRN26" s="19"/>
      <c r="LRO26" s="19"/>
      <c r="LRP26" s="19"/>
      <c r="LRQ26" s="19"/>
      <c r="LRR26" s="19"/>
      <c r="LRS26" s="19"/>
      <c r="LRT26" s="19"/>
      <c r="LRU26" s="19"/>
      <c r="LRV26" s="19"/>
      <c r="LRW26" s="19"/>
      <c r="LRX26" s="19"/>
      <c r="LRY26" s="19"/>
      <c r="LRZ26" s="19"/>
      <c r="LSA26" s="19"/>
      <c r="LSB26" s="19"/>
      <c r="LSC26" s="19"/>
      <c r="LSD26" s="19"/>
      <c r="LSE26" s="19"/>
      <c r="LSF26" s="19"/>
      <c r="LSG26" s="19"/>
      <c r="LSH26" s="19"/>
      <c r="LSI26" s="19"/>
      <c r="LSJ26" s="19"/>
      <c r="LSK26" s="19"/>
      <c r="LSL26" s="19"/>
      <c r="LSM26" s="19"/>
      <c r="LSN26" s="19"/>
      <c r="LSO26" s="19"/>
      <c r="LSP26" s="19"/>
      <c r="LSQ26" s="19"/>
      <c r="LSR26" s="19"/>
      <c r="LSS26" s="19"/>
      <c r="LST26" s="19"/>
      <c r="LSU26" s="19"/>
      <c r="LSV26" s="19"/>
      <c r="LSW26" s="19"/>
      <c r="LSX26" s="19"/>
      <c r="LSY26" s="19"/>
      <c r="LSZ26" s="19"/>
      <c r="LTA26" s="19"/>
      <c r="LTB26" s="19"/>
      <c r="LTC26" s="19"/>
      <c r="LTD26" s="19"/>
      <c r="LTE26" s="19"/>
      <c r="LTF26" s="19"/>
      <c r="LTG26" s="19"/>
      <c r="LTH26" s="19"/>
      <c r="LTI26" s="19"/>
      <c r="LTJ26" s="19"/>
      <c r="LTK26" s="19"/>
      <c r="LTL26" s="19"/>
      <c r="LTM26" s="19"/>
      <c r="LTN26" s="19"/>
      <c r="LTO26" s="19"/>
      <c r="LTP26" s="19"/>
      <c r="LTQ26" s="19"/>
      <c r="LTR26" s="19"/>
      <c r="LTS26" s="19"/>
      <c r="LTT26" s="19"/>
      <c r="LTU26" s="19"/>
      <c r="LTV26" s="19"/>
      <c r="LTW26" s="19"/>
      <c r="LTX26" s="19"/>
      <c r="LTY26" s="19"/>
      <c r="LTZ26" s="19"/>
      <c r="LUA26" s="19"/>
      <c r="LUB26" s="19"/>
      <c r="LUC26" s="19"/>
      <c r="LUD26" s="19"/>
      <c r="LUE26" s="19"/>
      <c r="LUF26" s="19"/>
      <c r="LUG26" s="19"/>
      <c r="LUH26" s="19"/>
      <c r="LUI26" s="19"/>
      <c r="LUJ26" s="19"/>
      <c r="LUK26" s="19"/>
      <c r="LUL26" s="19"/>
      <c r="LUM26" s="19"/>
      <c r="LUN26" s="19"/>
      <c r="LUO26" s="19"/>
      <c r="LUP26" s="19"/>
      <c r="LUQ26" s="19"/>
      <c r="LUR26" s="19"/>
      <c r="LUS26" s="19"/>
      <c r="LUT26" s="19"/>
      <c r="LUU26" s="19"/>
      <c r="LUV26" s="19"/>
      <c r="LUW26" s="19"/>
      <c r="LUX26" s="19"/>
      <c r="LUY26" s="19"/>
      <c r="LUZ26" s="19"/>
      <c r="LVA26" s="19"/>
      <c r="LVB26" s="19"/>
      <c r="LVC26" s="19"/>
      <c r="LVD26" s="19"/>
      <c r="LVE26" s="19"/>
      <c r="LVF26" s="19"/>
      <c r="LVG26" s="19"/>
      <c r="LVH26" s="19"/>
      <c r="LVI26" s="19"/>
      <c r="LVJ26" s="19"/>
      <c r="LVK26" s="19"/>
      <c r="LVL26" s="19"/>
      <c r="LVM26" s="19"/>
      <c r="LVN26" s="19"/>
      <c r="LVO26" s="19"/>
      <c r="LVP26" s="19"/>
      <c r="LVQ26" s="19"/>
      <c r="LVR26" s="19"/>
      <c r="LVS26" s="19"/>
      <c r="LVT26" s="19"/>
      <c r="LVU26" s="19"/>
      <c r="LVV26" s="19"/>
      <c r="LVW26" s="19"/>
      <c r="LVX26" s="19"/>
      <c r="LVY26" s="19"/>
      <c r="LVZ26" s="19"/>
      <c r="LWA26" s="19"/>
      <c r="LWB26" s="19"/>
      <c r="LWC26" s="19"/>
      <c r="LWD26" s="19"/>
      <c r="LWE26" s="19"/>
      <c r="LWF26" s="19"/>
      <c r="LWG26" s="19"/>
      <c r="LWH26" s="19"/>
      <c r="LWI26" s="19"/>
      <c r="LWJ26" s="19"/>
      <c r="LWK26" s="19"/>
      <c r="LWL26" s="19"/>
      <c r="LWM26" s="19"/>
      <c r="LWN26" s="19"/>
      <c r="LWO26" s="19"/>
      <c r="LWP26" s="19"/>
      <c r="LWQ26" s="19"/>
      <c r="LWR26" s="19"/>
      <c r="LWS26" s="19"/>
      <c r="LWT26" s="19"/>
      <c r="LWU26" s="19"/>
      <c r="LWV26" s="19"/>
      <c r="LWW26" s="19"/>
      <c r="LWX26" s="19"/>
      <c r="LWY26" s="19"/>
      <c r="LWZ26" s="19"/>
      <c r="LXA26" s="19"/>
      <c r="LXB26" s="19"/>
      <c r="LXC26" s="19"/>
      <c r="LXD26" s="19"/>
      <c r="LXE26" s="19"/>
      <c r="LXF26" s="19"/>
      <c r="LXG26" s="19"/>
      <c r="LXH26" s="19"/>
      <c r="LXI26" s="19"/>
      <c r="LXJ26" s="19"/>
      <c r="LXK26" s="19"/>
      <c r="LXL26" s="19"/>
      <c r="LXM26" s="19"/>
      <c r="LXN26" s="19"/>
      <c r="LXO26" s="19"/>
      <c r="LXP26" s="19"/>
      <c r="LXQ26" s="19"/>
      <c r="LXR26" s="19"/>
      <c r="LXS26" s="19"/>
      <c r="LXT26" s="19"/>
      <c r="LXU26" s="19"/>
      <c r="LXV26" s="19"/>
      <c r="LXW26" s="19"/>
      <c r="LXX26" s="19"/>
      <c r="LXY26" s="19"/>
      <c r="LXZ26" s="19"/>
      <c r="LYA26" s="19"/>
      <c r="LYB26" s="19"/>
      <c r="LYC26" s="19"/>
      <c r="LYD26" s="19"/>
      <c r="LYE26" s="19"/>
      <c r="LYF26" s="19"/>
      <c r="LYG26" s="19"/>
      <c r="LYH26" s="19"/>
      <c r="LYI26" s="19"/>
      <c r="LYJ26" s="19"/>
      <c r="LYK26" s="19"/>
      <c r="LYL26" s="19"/>
      <c r="LYM26" s="19"/>
      <c r="LYN26" s="19"/>
      <c r="LYO26" s="19"/>
      <c r="LYP26" s="19"/>
      <c r="LYQ26" s="19"/>
      <c r="LYR26" s="19"/>
      <c r="LYS26" s="19"/>
      <c r="LYT26" s="19"/>
      <c r="LYU26" s="19"/>
      <c r="LYV26" s="19"/>
      <c r="LYW26" s="19"/>
      <c r="LYX26" s="19"/>
      <c r="LYY26" s="19"/>
      <c r="LYZ26" s="19"/>
      <c r="LZA26" s="19"/>
      <c r="LZB26" s="19"/>
      <c r="LZC26" s="19"/>
      <c r="LZD26" s="19"/>
      <c r="LZE26" s="19"/>
      <c r="LZF26" s="19"/>
      <c r="LZG26" s="19"/>
      <c r="LZH26" s="19"/>
      <c r="LZI26" s="19"/>
      <c r="LZJ26" s="19"/>
      <c r="LZK26" s="19"/>
      <c r="LZL26" s="19"/>
      <c r="LZM26" s="19"/>
      <c r="LZN26" s="19"/>
      <c r="LZO26" s="19"/>
      <c r="LZP26" s="19"/>
      <c r="LZQ26" s="19"/>
      <c r="LZR26" s="19"/>
      <c r="LZS26" s="19"/>
      <c r="LZT26" s="19"/>
      <c r="LZU26" s="19"/>
      <c r="LZV26" s="19"/>
      <c r="LZW26" s="19"/>
      <c r="LZX26" s="19"/>
      <c r="LZY26" s="19"/>
      <c r="LZZ26" s="19"/>
      <c r="MAA26" s="19"/>
      <c r="MAB26" s="19"/>
      <c r="MAC26" s="19"/>
      <c r="MAD26" s="19"/>
      <c r="MAE26" s="19"/>
      <c r="MAF26" s="19"/>
      <c r="MAG26" s="19"/>
      <c r="MAH26" s="19"/>
      <c r="MAI26" s="19"/>
      <c r="MAJ26" s="19"/>
      <c r="MAK26" s="19"/>
      <c r="MAL26" s="19"/>
      <c r="MAM26" s="19"/>
      <c r="MAN26" s="19"/>
      <c r="MAO26" s="19"/>
      <c r="MAP26" s="19"/>
      <c r="MAQ26" s="19"/>
      <c r="MAR26" s="19"/>
      <c r="MAS26" s="19"/>
      <c r="MAT26" s="19"/>
      <c r="MAU26" s="19"/>
      <c r="MAV26" s="19"/>
      <c r="MAW26" s="19"/>
      <c r="MAX26" s="19"/>
      <c r="MAY26" s="19"/>
      <c r="MAZ26" s="19"/>
      <c r="MBA26" s="19"/>
      <c r="MBB26" s="19"/>
      <c r="MBC26" s="19"/>
      <c r="MBD26" s="19"/>
      <c r="MBE26" s="19"/>
      <c r="MBF26" s="19"/>
      <c r="MBG26" s="19"/>
      <c r="MBH26" s="19"/>
      <c r="MBI26" s="19"/>
      <c r="MBJ26" s="19"/>
      <c r="MBK26" s="19"/>
      <c r="MBL26" s="19"/>
      <c r="MBM26" s="19"/>
      <c r="MBN26" s="19"/>
      <c r="MBO26" s="19"/>
      <c r="MBP26" s="19"/>
      <c r="MBQ26" s="19"/>
      <c r="MBR26" s="19"/>
      <c r="MBS26" s="19"/>
      <c r="MBT26" s="19"/>
      <c r="MBU26" s="19"/>
      <c r="MBV26" s="19"/>
      <c r="MBW26" s="19"/>
      <c r="MBX26" s="19"/>
      <c r="MBY26" s="19"/>
      <c r="MBZ26" s="19"/>
      <c r="MCA26" s="19"/>
      <c r="MCB26" s="19"/>
      <c r="MCC26" s="19"/>
      <c r="MCD26" s="19"/>
      <c r="MCE26" s="19"/>
      <c r="MCF26" s="19"/>
      <c r="MCG26" s="19"/>
      <c r="MCH26" s="19"/>
      <c r="MCI26" s="19"/>
      <c r="MCJ26" s="19"/>
      <c r="MCK26" s="19"/>
      <c r="MCL26" s="19"/>
      <c r="MCM26" s="19"/>
      <c r="MCN26" s="19"/>
      <c r="MCO26" s="19"/>
      <c r="MCP26" s="19"/>
      <c r="MCQ26" s="19"/>
      <c r="MCR26" s="19"/>
      <c r="MCS26" s="19"/>
      <c r="MCT26" s="19"/>
      <c r="MCU26" s="19"/>
      <c r="MCV26" s="19"/>
      <c r="MCW26" s="19"/>
      <c r="MCX26" s="19"/>
      <c r="MCY26" s="19"/>
      <c r="MCZ26" s="19"/>
      <c r="MDA26" s="19"/>
      <c r="MDB26" s="19"/>
      <c r="MDC26" s="19"/>
      <c r="MDD26" s="19"/>
      <c r="MDE26" s="19"/>
      <c r="MDF26" s="19"/>
      <c r="MDG26" s="19"/>
      <c r="MDH26" s="19"/>
      <c r="MDI26" s="19"/>
      <c r="MDJ26" s="19"/>
      <c r="MDK26" s="19"/>
      <c r="MDL26" s="19"/>
      <c r="MDM26" s="19"/>
      <c r="MDN26" s="19"/>
      <c r="MDO26" s="19"/>
      <c r="MDP26" s="19"/>
      <c r="MDQ26" s="19"/>
      <c r="MDR26" s="19"/>
      <c r="MDS26" s="19"/>
      <c r="MDT26" s="19"/>
      <c r="MDU26" s="19"/>
      <c r="MDV26" s="19"/>
      <c r="MDW26" s="19"/>
      <c r="MDX26" s="19"/>
      <c r="MDY26" s="19"/>
      <c r="MDZ26" s="19"/>
      <c r="MEA26" s="19"/>
      <c r="MEB26" s="19"/>
      <c r="MEC26" s="19"/>
      <c r="MED26" s="19"/>
      <c r="MEE26" s="19"/>
      <c r="MEF26" s="19"/>
      <c r="MEG26" s="19"/>
      <c r="MEH26" s="19"/>
      <c r="MEI26" s="19"/>
      <c r="MEJ26" s="19"/>
      <c r="MEK26" s="19"/>
      <c r="MEL26" s="19"/>
      <c r="MEM26" s="19"/>
      <c r="MEN26" s="19"/>
      <c r="MEO26" s="19"/>
      <c r="MEP26" s="19"/>
      <c r="MEQ26" s="19"/>
      <c r="MER26" s="19"/>
      <c r="MES26" s="19"/>
      <c r="MET26" s="19"/>
      <c r="MEU26" s="19"/>
      <c r="MEV26" s="19"/>
      <c r="MEW26" s="19"/>
      <c r="MEX26" s="19"/>
      <c r="MEY26" s="19"/>
      <c r="MEZ26" s="19"/>
      <c r="MFA26" s="19"/>
      <c r="MFB26" s="19"/>
      <c r="MFC26" s="19"/>
      <c r="MFD26" s="19"/>
      <c r="MFE26" s="19"/>
      <c r="MFF26" s="19"/>
      <c r="MFG26" s="19"/>
      <c r="MFH26" s="19"/>
      <c r="MFI26" s="19"/>
      <c r="MFJ26" s="19"/>
      <c r="MFK26" s="19"/>
      <c r="MFL26" s="19"/>
      <c r="MFM26" s="19"/>
      <c r="MFN26" s="19"/>
      <c r="MFO26" s="19"/>
      <c r="MFP26" s="19"/>
      <c r="MFQ26" s="19"/>
      <c r="MFR26" s="19"/>
      <c r="MFS26" s="19"/>
      <c r="MFT26" s="19"/>
      <c r="MFU26" s="19"/>
      <c r="MFV26" s="19"/>
      <c r="MFW26" s="19"/>
      <c r="MFX26" s="19"/>
      <c r="MFY26" s="19"/>
      <c r="MFZ26" s="19"/>
      <c r="MGA26" s="19"/>
      <c r="MGB26" s="19"/>
      <c r="MGC26" s="19"/>
      <c r="MGD26" s="19"/>
      <c r="MGE26" s="19"/>
      <c r="MGF26" s="19"/>
      <c r="MGG26" s="19"/>
      <c r="MGH26" s="19"/>
      <c r="MGI26" s="19"/>
      <c r="MGJ26" s="19"/>
      <c r="MGK26" s="19"/>
      <c r="MGL26" s="19"/>
      <c r="MGM26" s="19"/>
      <c r="MGN26" s="19"/>
      <c r="MGO26" s="19"/>
      <c r="MGP26" s="19"/>
      <c r="MGQ26" s="19"/>
      <c r="MGR26" s="19"/>
      <c r="MGS26" s="19"/>
      <c r="MGT26" s="19"/>
      <c r="MGU26" s="19"/>
      <c r="MGV26" s="19"/>
      <c r="MGW26" s="19"/>
      <c r="MGX26" s="19"/>
      <c r="MGY26" s="19"/>
      <c r="MGZ26" s="19"/>
      <c r="MHA26" s="19"/>
      <c r="MHB26" s="19"/>
      <c r="MHC26" s="19"/>
      <c r="MHD26" s="19"/>
      <c r="MHE26" s="19"/>
      <c r="MHF26" s="19"/>
      <c r="MHG26" s="19"/>
      <c r="MHH26" s="19"/>
      <c r="MHI26" s="19"/>
      <c r="MHJ26" s="19"/>
      <c r="MHK26" s="19"/>
      <c r="MHL26" s="19"/>
      <c r="MHM26" s="19"/>
      <c r="MHN26" s="19"/>
      <c r="MHO26" s="19"/>
      <c r="MHP26" s="19"/>
      <c r="MHQ26" s="19"/>
      <c r="MHR26" s="19"/>
      <c r="MHS26" s="19"/>
      <c r="MHT26" s="19"/>
      <c r="MHU26" s="19"/>
      <c r="MHV26" s="19"/>
      <c r="MHW26" s="19"/>
      <c r="MHX26" s="19"/>
      <c r="MHY26" s="19"/>
      <c r="MHZ26" s="19"/>
      <c r="MIA26" s="19"/>
      <c r="MIB26" s="19"/>
      <c r="MIC26" s="19"/>
      <c r="MID26" s="19"/>
      <c r="MIE26" s="19"/>
      <c r="MIF26" s="19"/>
      <c r="MIG26" s="19"/>
      <c r="MIH26" s="19"/>
      <c r="MII26" s="19"/>
      <c r="MIJ26" s="19"/>
      <c r="MIK26" s="19"/>
      <c r="MIL26" s="19"/>
      <c r="MIM26" s="19"/>
      <c r="MIN26" s="19"/>
      <c r="MIO26" s="19"/>
      <c r="MIP26" s="19"/>
      <c r="MIQ26" s="19"/>
      <c r="MIR26" s="19"/>
      <c r="MIS26" s="19"/>
      <c r="MIT26" s="19"/>
      <c r="MIU26" s="19"/>
      <c r="MIV26" s="19"/>
      <c r="MIW26" s="19"/>
      <c r="MIX26" s="19"/>
      <c r="MIY26" s="19"/>
      <c r="MIZ26" s="19"/>
      <c r="MJA26" s="19"/>
      <c r="MJB26" s="19"/>
      <c r="MJC26" s="19"/>
      <c r="MJD26" s="19"/>
      <c r="MJE26" s="19"/>
      <c r="MJF26" s="19"/>
      <c r="MJG26" s="19"/>
      <c r="MJH26" s="19"/>
      <c r="MJI26" s="19"/>
      <c r="MJJ26" s="19"/>
      <c r="MJK26" s="19"/>
      <c r="MJL26" s="19"/>
      <c r="MJM26" s="19"/>
      <c r="MJN26" s="19"/>
      <c r="MJO26" s="19"/>
      <c r="MJP26" s="19"/>
      <c r="MJQ26" s="19"/>
      <c r="MJR26" s="19"/>
      <c r="MJS26" s="19"/>
      <c r="MJT26" s="19"/>
      <c r="MJU26" s="19"/>
      <c r="MJV26" s="19"/>
      <c r="MJW26" s="19"/>
      <c r="MJX26" s="19"/>
      <c r="MJY26" s="19"/>
      <c r="MJZ26" s="19"/>
      <c r="MKA26" s="19"/>
      <c r="MKB26" s="19"/>
      <c r="MKC26" s="19"/>
      <c r="MKD26" s="19"/>
      <c r="MKE26" s="19"/>
      <c r="MKF26" s="19"/>
      <c r="MKG26" s="19"/>
      <c r="MKH26" s="19"/>
      <c r="MKI26" s="19"/>
      <c r="MKJ26" s="19"/>
      <c r="MKK26" s="19"/>
      <c r="MKL26" s="19"/>
      <c r="MKM26" s="19"/>
      <c r="MKN26" s="19"/>
      <c r="MKO26" s="19"/>
      <c r="MKP26" s="19"/>
      <c r="MKQ26" s="19"/>
      <c r="MKR26" s="19"/>
      <c r="MKS26" s="19"/>
      <c r="MKT26" s="19"/>
      <c r="MKU26" s="19"/>
      <c r="MKV26" s="19"/>
      <c r="MKW26" s="19"/>
      <c r="MKX26" s="19"/>
      <c r="MKY26" s="19"/>
      <c r="MKZ26" s="19"/>
      <c r="MLA26" s="19"/>
      <c r="MLB26" s="19"/>
      <c r="MLC26" s="19"/>
      <c r="MLD26" s="19"/>
      <c r="MLE26" s="19"/>
      <c r="MLF26" s="19"/>
      <c r="MLG26" s="19"/>
      <c r="MLH26" s="19"/>
      <c r="MLI26" s="19"/>
      <c r="MLJ26" s="19"/>
      <c r="MLK26" s="19"/>
      <c r="MLL26" s="19"/>
      <c r="MLM26" s="19"/>
      <c r="MLN26" s="19"/>
      <c r="MLO26" s="19"/>
      <c r="MLP26" s="19"/>
      <c r="MLQ26" s="19"/>
      <c r="MLR26" s="19"/>
      <c r="MLS26" s="19"/>
      <c r="MLT26" s="19"/>
      <c r="MLU26" s="19"/>
      <c r="MLV26" s="19"/>
      <c r="MLW26" s="19"/>
      <c r="MLX26" s="19"/>
      <c r="MLY26" s="19"/>
      <c r="MLZ26" s="19"/>
      <c r="MMA26" s="19"/>
      <c r="MMB26" s="19"/>
      <c r="MMC26" s="19"/>
      <c r="MMD26" s="19"/>
      <c r="MME26" s="19"/>
      <c r="MMF26" s="19"/>
      <c r="MMG26" s="19"/>
      <c r="MMH26" s="19"/>
      <c r="MMI26" s="19"/>
      <c r="MMJ26" s="19"/>
      <c r="MMK26" s="19"/>
      <c r="MML26" s="19"/>
      <c r="MMM26" s="19"/>
      <c r="MMN26" s="19"/>
      <c r="MMO26" s="19"/>
      <c r="MMP26" s="19"/>
      <c r="MMQ26" s="19"/>
      <c r="MMR26" s="19"/>
      <c r="MMS26" s="19"/>
      <c r="MMT26" s="19"/>
      <c r="MMU26" s="19"/>
      <c r="MMV26" s="19"/>
      <c r="MMW26" s="19"/>
      <c r="MMX26" s="19"/>
      <c r="MMY26" s="19"/>
      <c r="MMZ26" s="19"/>
      <c r="MNA26" s="19"/>
      <c r="MNB26" s="19"/>
      <c r="MNC26" s="19"/>
      <c r="MND26" s="19"/>
      <c r="MNE26" s="19"/>
      <c r="MNF26" s="19"/>
      <c r="MNG26" s="19"/>
      <c r="MNH26" s="19"/>
      <c r="MNI26" s="19"/>
      <c r="MNJ26" s="19"/>
      <c r="MNK26" s="19"/>
      <c r="MNL26" s="19"/>
      <c r="MNM26" s="19"/>
      <c r="MNN26" s="19"/>
      <c r="MNO26" s="19"/>
      <c r="MNP26" s="19"/>
      <c r="MNQ26" s="19"/>
      <c r="MNR26" s="19"/>
      <c r="MNS26" s="19"/>
      <c r="MNT26" s="19"/>
      <c r="MNU26" s="19"/>
      <c r="MNV26" s="19"/>
      <c r="MNW26" s="19"/>
      <c r="MNX26" s="19"/>
      <c r="MNY26" s="19"/>
      <c r="MNZ26" s="19"/>
      <c r="MOA26" s="19"/>
      <c r="MOB26" s="19"/>
      <c r="MOC26" s="19"/>
      <c r="MOD26" s="19"/>
      <c r="MOE26" s="19"/>
      <c r="MOF26" s="19"/>
      <c r="MOG26" s="19"/>
      <c r="MOH26" s="19"/>
      <c r="MOI26" s="19"/>
      <c r="MOJ26" s="19"/>
      <c r="MOK26" s="19"/>
      <c r="MOL26" s="19"/>
      <c r="MOM26" s="19"/>
      <c r="MON26" s="19"/>
      <c r="MOO26" s="19"/>
      <c r="MOP26" s="19"/>
      <c r="MOQ26" s="19"/>
      <c r="MOR26" s="19"/>
      <c r="MOS26" s="19"/>
      <c r="MOT26" s="19"/>
      <c r="MOU26" s="19"/>
      <c r="MOV26" s="19"/>
      <c r="MOW26" s="19"/>
      <c r="MOX26" s="19"/>
      <c r="MOY26" s="19"/>
      <c r="MOZ26" s="19"/>
      <c r="MPA26" s="19"/>
      <c r="MPB26" s="19"/>
      <c r="MPC26" s="19"/>
      <c r="MPD26" s="19"/>
      <c r="MPE26" s="19"/>
      <c r="MPF26" s="19"/>
      <c r="MPG26" s="19"/>
      <c r="MPH26" s="19"/>
      <c r="MPI26" s="19"/>
      <c r="MPJ26" s="19"/>
      <c r="MPK26" s="19"/>
      <c r="MPL26" s="19"/>
      <c r="MPM26" s="19"/>
      <c r="MPN26" s="19"/>
      <c r="MPO26" s="19"/>
      <c r="MPP26" s="19"/>
      <c r="MPQ26" s="19"/>
      <c r="MPR26" s="19"/>
      <c r="MPS26" s="19"/>
      <c r="MPT26" s="19"/>
      <c r="MPU26" s="19"/>
      <c r="MPV26" s="19"/>
      <c r="MPW26" s="19"/>
      <c r="MPX26" s="19"/>
      <c r="MPY26" s="19"/>
      <c r="MPZ26" s="19"/>
      <c r="MQA26" s="19"/>
      <c r="MQB26" s="19"/>
      <c r="MQC26" s="19"/>
      <c r="MQD26" s="19"/>
      <c r="MQE26" s="19"/>
      <c r="MQF26" s="19"/>
      <c r="MQG26" s="19"/>
      <c r="MQH26" s="19"/>
      <c r="MQI26" s="19"/>
      <c r="MQJ26" s="19"/>
      <c r="MQK26" s="19"/>
      <c r="MQL26" s="19"/>
      <c r="MQM26" s="19"/>
      <c r="MQN26" s="19"/>
      <c r="MQO26" s="19"/>
      <c r="MQP26" s="19"/>
      <c r="MQQ26" s="19"/>
      <c r="MQR26" s="19"/>
      <c r="MQS26" s="19"/>
      <c r="MQT26" s="19"/>
      <c r="MQU26" s="19"/>
      <c r="MQV26" s="19"/>
      <c r="MQW26" s="19"/>
      <c r="MQX26" s="19"/>
      <c r="MQY26" s="19"/>
      <c r="MQZ26" s="19"/>
      <c r="MRA26" s="19"/>
      <c r="MRB26" s="19"/>
      <c r="MRC26" s="19"/>
      <c r="MRD26" s="19"/>
      <c r="MRE26" s="19"/>
      <c r="MRF26" s="19"/>
      <c r="MRG26" s="19"/>
      <c r="MRH26" s="19"/>
      <c r="MRI26" s="19"/>
      <c r="MRJ26" s="19"/>
      <c r="MRK26" s="19"/>
      <c r="MRL26" s="19"/>
      <c r="MRM26" s="19"/>
      <c r="MRN26" s="19"/>
      <c r="MRO26" s="19"/>
      <c r="MRP26" s="19"/>
      <c r="MRQ26" s="19"/>
      <c r="MRR26" s="19"/>
      <c r="MRS26" s="19"/>
      <c r="MRT26" s="19"/>
      <c r="MRU26" s="19"/>
      <c r="MRV26" s="19"/>
      <c r="MRW26" s="19"/>
      <c r="MRX26" s="19"/>
      <c r="MRY26" s="19"/>
      <c r="MRZ26" s="19"/>
      <c r="MSA26" s="19"/>
      <c r="MSB26" s="19"/>
      <c r="MSC26" s="19"/>
      <c r="MSD26" s="19"/>
      <c r="MSE26" s="19"/>
      <c r="MSF26" s="19"/>
      <c r="MSG26" s="19"/>
      <c r="MSH26" s="19"/>
      <c r="MSI26" s="19"/>
      <c r="MSJ26" s="19"/>
      <c r="MSK26" s="19"/>
      <c r="MSL26" s="19"/>
      <c r="MSM26" s="19"/>
      <c r="MSN26" s="19"/>
      <c r="MSO26" s="19"/>
      <c r="MSP26" s="19"/>
      <c r="MSQ26" s="19"/>
      <c r="MSR26" s="19"/>
      <c r="MSS26" s="19"/>
      <c r="MST26" s="19"/>
      <c r="MSU26" s="19"/>
      <c r="MSV26" s="19"/>
      <c r="MSW26" s="19"/>
      <c r="MSX26" s="19"/>
      <c r="MSY26" s="19"/>
      <c r="MSZ26" s="19"/>
      <c r="MTA26" s="19"/>
      <c r="MTB26" s="19"/>
      <c r="MTC26" s="19"/>
      <c r="MTD26" s="19"/>
      <c r="MTE26" s="19"/>
      <c r="MTF26" s="19"/>
      <c r="MTG26" s="19"/>
      <c r="MTH26" s="19"/>
      <c r="MTI26" s="19"/>
      <c r="MTJ26" s="19"/>
      <c r="MTK26" s="19"/>
      <c r="MTL26" s="19"/>
      <c r="MTM26" s="19"/>
      <c r="MTN26" s="19"/>
      <c r="MTO26" s="19"/>
      <c r="MTP26" s="19"/>
      <c r="MTQ26" s="19"/>
      <c r="MTR26" s="19"/>
      <c r="MTS26" s="19"/>
      <c r="MTT26" s="19"/>
      <c r="MTU26" s="19"/>
      <c r="MTV26" s="19"/>
      <c r="MTW26" s="19"/>
      <c r="MTX26" s="19"/>
      <c r="MTY26" s="19"/>
      <c r="MTZ26" s="19"/>
      <c r="MUA26" s="19"/>
      <c r="MUB26" s="19"/>
      <c r="MUC26" s="19"/>
      <c r="MUD26" s="19"/>
      <c r="MUE26" s="19"/>
      <c r="MUF26" s="19"/>
      <c r="MUG26" s="19"/>
      <c r="MUH26" s="19"/>
      <c r="MUI26" s="19"/>
      <c r="MUJ26" s="19"/>
      <c r="MUK26" s="19"/>
      <c r="MUL26" s="19"/>
      <c r="MUM26" s="19"/>
      <c r="MUN26" s="19"/>
      <c r="MUO26" s="19"/>
      <c r="MUP26" s="19"/>
      <c r="MUQ26" s="19"/>
      <c r="MUR26" s="19"/>
      <c r="MUS26" s="19"/>
      <c r="MUT26" s="19"/>
      <c r="MUU26" s="19"/>
      <c r="MUV26" s="19"/>
      <c r="MUW26" s="19"/>
      <c r="MUX26" s="19"/>
      <c r="MUY26" s="19"/>
      <c r="MUZ26" s="19"/>
      <c r="MVA26" s="19"/>
      <c r="MVB26" s="19"/>
      <c r="MVC26" s="19"/>
      <c r="MVD26" s="19"/>
      <c r="MVE26" s="19"/>
      <c r="MVF26" s="19"/>
      <c r="MVG26" s="19"/>
      <c r="MVH26" s="19"/>
      <c r="MVI26" s="19"/>
      <c r="MVJ26" s="19"/>
      <c r="MVK26" s="19"/>
      <c r="MVL26" s="19"/>
      <c r="MVM26" s="19"/>
      <c r="MVN26" s="19"/>
      <c r="MVO26" s="19"/>
      <c r="MVP26" s="19"/>
      <c r="MVQ26" s="19"/>
      <c r="MVR26" s="19"/>
      <c r="MVS26" s="19"/>
      <c r="MVT26" s="19"/>
      <c r="MVU26" s="19"/>
      <c r="MVV26" s="19"/>
      <c r="MVW26" s="19"/>
      <c r="MVX26" s="19"/>
      <c r="MVY26" s="19"/>
      <c r="MVZ26" s="19"/>
      <c r="MWA26" s="19"/>
      <c r="MWB26" s="19"/>
      <c r="MWC26" s="19"/>
      <c r="MWD26" s="19"/>
      <c r="MWE26" s="19"/>
      <c r="MWF26" s="19"/>
      <c r="MWG26" s="19"/>
      <c r="MWH26" s="19"/>
      <c r="MWI26" s="19"/>
      <c r="MWJ26" s="19"/>
      <c r="MWK26" s="19"/>
      <c r="MWL26" s="19"/>
      <c r="MWM26" s="19"/>
      <c r="MWN26" s="19"/>
      <c r="MWO26" s="19"/>
      <c r="MWP26" s="19"/>
      <c r="MWQ26" s="19"/>
      <c r="MWR26" s="19"/>
      <c r="MWS26" s="19"/>
      <c r="MWT26" s="19"/>
      <c r="MWU26" s="19"/>
      <c r="MWV26" s="19"/>
      <c r="MWW26" s="19"/>
      <c r="MWX26" s="19"/>
      <c r="MWY26" s="19"/>
      <c r="MWZ26" s="19"/>
      <c r="MXA26" s="19"/>
      <c r="MXB26" s="19"/>
      <c r="MXC26" s="19"/>
      <c r="MXD26" s="19"/>
      <c r="MXE26" s="19"/>
      <c r="MXF26" s="19"/>
      <c r="MXG26" s="19"/>
      <c r="MXH26" s="19"/>
      <c r="MXI26" s="19"/>
      <c r="MXJ26" s="19"/>
      <c r="MXK26" s="19"/>
      <c r="MXL26" s="19"/>
      <c r="MXM26" s="19"/>
      <c r="MXN26" s="19"/>
      <c r="MXO26" s="19"/>
      <c r="MXP26" s="19"/>
      <c r="MXQ26" s="19"/>
      <c r="MXR26" s="19"/>
      <c r="MXS26" s="19"/>
      <c r="MXT26" s="19"/>
      <c r="MXU26" s="19"/>
      <c r="MXV26" s="19"/>
      <c r="MXW26" s="19"/>
      <c r="MXX26" s="19"/>
      <c r="MXY26" s="19"/>
      <c r="MXZ26" s="19"/>
      <c r="MYA26" s="19"/>
      <c r="MYB26" s="19"/>
      <c r="MYC26" s="19"/>
      <c r="MYD26" s="19"/>
      <c r="MYE26" s="19"/>
      <c r="MYF26" s="19"/>
      <c r="MYG26" s="19"/>
      <c r="MYH26" s="19"/>
      <c r="MYI26" s="19"/>
      <c r="MYJ26" s="19"/>
      <c r="MYK26" s="19"/>
      <c r="MYL26" s="19"/>
      <c r="MYM26" s="19"/>
      <c r="MYN26" s="19"/>
      <c r="MYO26" s="19"/>
      <c r="MYP26" s="19"/>
      <c r="MYQ26" s="19"/>
      <c r="MYR26" s="19"/>
      <c r="MYS26" s="19"/>
      <c r="MYT26" s="19"/>
      <c r="MYU26" s="19"/>
      <c r="MYV26" s="19"/>
      <c r="MYW26" s="19"/>
      <c r="MYX26" s="19"/>
      <c r="MYY26" s="19"/>
      <c r="MYZ26" s="19"/>
      <c r="MZA26" s="19"/>
      <c r="MZB26" s="19"/>
      <c r="MZC26" s="19"/>
      <c r="MZD26" s="19"/>
      <c r="MZE26" s="19"/>
      <c r="MZF26" s="19"/>
      <c r="MZG26" s="19"/>
      <c r="MZH26" s="19"/>
      <c r="MZI26" s="19"/>
      <c r="MZJ26" s="19"/>
      <c r="MZK26" s="19"/>
      <c r="MZL26" s="19"/>
      <c r="MZM26" s="19"/>
      <c r="MZN26" s="19"/>
      <c r="MZO26" s="19"/>
      <c r="MZP26" s="19"/>
      <c r="MZQ26" s="19"/>
      <c r="MZR26" s="19"/>
      <c r="MZS26" s="19"/>
      <c r="MZT26" s="19"/>
      <c r="MZU26" s="19"/>
      <c r="MZV26" s="19"/>
      <c r="MZW26" s="19"/>
      <c r="MZX26" s="19"/>
      <c r="MZY26" s="19"/>
      <c r="MZZ26" s="19"/>
      <c r="NAA26" s="19"/>
      <c r="NAB26" s="19"/>
      <c r="NAC26" s="19"/>
      <c r="NAD26" s="19"/>
      <c r="NAE26" s="19"/>
      <c r="NAF26" s="19"/>
      <c r="NAG26" s="19"/>
      <c r="NAH26" s="19"/>
      <c r="NAI26" s="19"/>
      <c r="NAJ26" s="19"/>
      <c r="NAK26" s="19"/>
      <c r="NAL26" s="19"/>
      <c r="NAM26" s="19"/>
      <c r="NAN26" s="19"/>
      <c r="NAO26" s="19"/>
      <c r="NAP26" s="19"/>
      <c r="NAQ26" s="19"/>
      <c r="NAR26" s="19"/>
      <c r="NAS26" s="19"/>
      <c r="NAT26" s="19"/>
      <c r="NAU26" s="19"/>
      <c r="NAV26" s="19"/>
      <c r="NAW26" s="19"/>
      <c r="NAX26" s="19"/>
      <c r="NAY26" s="19"/>
      <c r="NAZ26" s="19"/>
      <c r="NBA26" s="19"/>
      <c r="NBB26" s="19"/>
      <c r="NBC26" s="19"/>
      <c r="NBD26" s="19"/>
      <c r="NBE26" s="19"/>
      <c r="NBF26" s="19"/>
      <c r="NBG26" s="19"/>
      <c r="NBH26" s="19"/>
      <c r="NBI26" s="19"/>
      <c r="NBJ26" s="19"/>
      <c r="NBK26" s="19"/>
      <c r="NBL26" s="19"/>
      <c r="NBM26" s="19"/>
      <c r="NBN26" s="19"/>
      <c r="NBO26" s="19"/>
      <c r="NBP26" s="19"/>
      <c r="NBQ26" s="19"/>
      <c r="NBR26" s="19"/>
      <c r="NBS26" s="19"/>
      <c r="NBT26" s="19"/>
      <c r="NBU26" s="19"/>
      <c r="NBV26" s="19"/>
      <c r="NBW26" s="19"/>
      <c r="NBX26" s="19"/>
      <c r="NBY26" s="19"/>
      <c r="NBZ26" s="19"/>
      <c r="NCA26" s="19"/>
      <c r="NCB26" s="19"/>
      <c r="NCC26" s="19"/>
      <c r="NCD26" s="19"/>
      <c r="NCE26" s="19"/>
      <c r="NCF26" s="19"/>
      <c r="NCG26" s="19"/>
      <c r="NCH26" s="19"/>
      <c r="NCI26" s="19"/>
      <c r="NCJ26" s="19"/>
      <c r="NCK26" s="19"/>
      <c r="NCL26" s="19"/>
      <c r="NCM26" s="19"/>
      <c r="NCN26" s="19"/>
      <c r="NCO26" s="19"/>
      <c r="NCP26" s="19"/>
      <c r="NCQ26" s="19"/>
      <c r="NCR26" s="19"/>
      <c r="NCS26" s="19"/>
      <c r="NCT26" s="19"/>
      <c r="NCU26" s="19"/>
      <c r="NCV26" s="19"/>
      <c r="NCW26" s="19"/>
      <c r="NCX26" s="19"/>
      <c r="NCY26" s="19"/>
      <c r="NCZ26" s="19"/>
      <c r="NDA26" s="19"/>
      <c r="NDB26" s="19"/>
      <c r="NDC26" s="19"/>
      <c r="NDD26" s="19"/>
      <c r="NDE26" s="19"/>
      <c r="NDF26" s="19"/>
      <c r="NDG26" s="19"/>
      <c r="NDH26" s="19"/>
      <c r="NDI26" s="19"/>
      <c r="NDJ26" s="19"/>
      <c r="NDK26" s="19"/>
      <c r="NDL26" s="19"/>
      <c r="NDM26" s="19"/>
      <c r="NDN26" s="19"/>
      <c r="NDO26" s="19"/>
      <c r="NDP26" s="19"/>
      <c r="NDQ26" s="19"/>
      <c r="NDR26" s="19"/>
      <c r="NDS26" s="19"/>
      <c r="NDT26" s="19"/>
      <c r="NDU26" s="19"/>
      <c r="NDV26" s="19"/>
      <c r="NDW26" s="19"/>
      <c r="NDX26" s="19"/>
      <c r="NDY26" s="19"/>
      <c r="NDZ26" s="19"/>
      <c r="NEA26" s="19"/>
      <c r="NEB26" s="19"/>
      <c r="NEC26" s="19"/>
      <c r="NED26" s="19"/>
      <c r="NEE26" s="19"/>
      <c r="NEF26" s="19"/>
      <c r="NEG26" s="19"/>
      <c r="NEH26" s="19"/>
      <c r="NEI26" s="19"/>
      <c r="NEJ26" s="19"/>
      <c r="NEK26" s="19"/>
      <c r="NEL26" s="19"/>
      <c r="NEM26" s="19"/>
      <c r="NEN26" s="19"/>
      <c r="NEO26" s="19"/>
      <c r="NEP26" s="19"/>
      <c r="NEQ26" s="19"/>
      <c r="NER26" s="19"/>
      <c r="NES26" s="19"/>
      <c r="NET26" s="19"/>
      <c r="NEU26" s="19"/>
      <c r="NEV26" s="19"/>
      <c r="NEW26" s="19"/>
      <c r="NEX26" s="19"/>
      <c r="NEY26" s="19"/>
      <c r="NEZ26" s="19"/>
      <c r="NFA26" s="19"/>
      <c r="NFB26" s="19"/>
      <c r="NFC26" s="19"/>
      <c r="NFD26" s="19"/>
      <c r="NFE26" s="19"/>
      <c r="NFF26" s="19"/>
      <c r="NFG26" s="19"/>
      <c r="NFH26" s="19"/>
      <c r="NFI26" s="19"/>
      <c r="NFJ26" s="19"/>
      <c r="NFK26" s="19"/>
      <c r="NFL26" s="19"/>
      <c r="NFM26" s="19"/>
      <c r="NFN26" s="19"/>
      <c r="NFO26" s="19"/>
      <c r="NFP26" s="19"/>
      <c r="NFQ26" s="19"/>
      <c r="NFR26" s="19"/>
      <c r="NFS26" s="19"/>
      <c r="NFT26" s="19"/>
      <c r="NFU26" s="19"/>
      <c r="NFV26" s="19"/>
      <c r="NFW26" s="19"/>
      <c r="NFX26" s="19"/>
      <c r="NFY26" s="19"/>
      <c r="NFZ26" s="19"/>
      <c r="NGA26" s="19"/>
      <c r="NGB26" s="19"/>
      <c r="NGC26" s="19"/>
      <c r="NGD26" s="19"/>
      <c r="NGE26" s="19"/>
      <c r="NGF26" s="19"/>
      <c r="NGG26" s="19"/>
      <c r="NGH26" s="19"/>
      <c r="NGI26" s="19"/>
      <c r="NGJ26" s="19"/>
      <c r="NGK26" s="19"/>
      <c r="NGL26" s="19"/>
      <c r="NGM26" s="19"/>
      <c r="NGN26" s="19"/>
      <c r="NGO26" s="19"/>
      <c r="NGP26" s="19"/>
      <c r="NGQ26" s="19"/>
      <c r="NGR26" s="19"/>
      <c r="NGS26" s="19"/>
      <c r="NGT26" s="19"/>
      <c r="NGU26" s="19"/>
      <c r="NGV26" s="19"/>
      <c r="NGW26" s="19"/>
      <c r="NGX26" s="19"/>
      <c r="NGY26" s="19"/>
      <c r="NGZ26" s="19"/>
      <c r="NHA26" s="19"/>
      <c r="NHB26" s="19"/>
      <c r="NHC26" s="19"/>
      <c r="NHD26" s="19"/>
      <c r="NHE26" s="19"/>
      <c r="NHF26" s="19"/>
      <c r="NHG26" s="19"/>
      <c r="NHH26" s="19"/>
      <c r="NHI26" s="19"/>
      <c r="NHJ26" s="19"/>
      <c r="NHK26" s="19"/>
      <c r="NHL26" s="19"/>
      <c r="NHM26" s="19"/>
      <c r="NHN26" s="19"/>
      <c r="NHO26" s="19"/>
      <c r="NHP26" s="19"/>
      <c r="NHQ26" s="19"/>
      <c r="NHR26" s="19"/>
      <c r="NHS26" s="19"/>
      <c r="NHT26" s="19"/>
      <c r="NHU26" s="19"/>
      <c r="NHV26" s="19"/>
      <c r="NHW26" s="19"/>
      <c r="NHX26" s="19"/>
      <c r="NHY26" s="19"/>
      <c r="NHZ26" s="19"/>
      <c r="NIA26" s="19"/>
      <c r="NIB26" s="19"/>
      <c r="NIC26" s="19"/>
      <c r="NID26" s="19"/>
      <c r="NIE26" s="19"/>
      <c r="NIF26" s="19"/>
      <c r="NIG26" s="19"/>
      <c r="NIH26" s="19"/>
      <c r="NII26" s="19"/>
      <c r="NIJ26" s="19"/>
      <c r="NIK26" s="19"/>
      <c r="NIL26" s="19"/>
      <c r="NIM26" s="19"/>
      <c r="NIN26" s="19"/>
      <c r="NIO26" s="19"/>
      <c r="NIP26" s="19"/>
      <c r="NIQ26" s="19"/>
      <c r="NIR26" s="19"/>
      <c r="NIS26" s="19"/>
      <c r="NIT26" s="19"/>
      <c r="NIU26" s="19"/>
      <c r="NIV26" s="19"/>
      <c r="NIW26" s="19"/>
      <c r="NIX26" s="19"/>
      <c r="NIY26" s="19"/>
      <c r="NIZ26" s="19"/>
      <c r="NJA26" s="19"/>
      <c r="NJB26" s="19"/>
      <c r="NJC26" s="19"/>
      <c r="NJD26" s="19"/>
      <c r="NJE26" s="19"/>
      <c r="NJF26" s="19"/>
      <c r="NJG26" s="19"/>
      <c r="NJH26" s="19"/>
      <c r="NJI26" s="19"/>
      <c r="NJJ26" s="19"/>
      <c r="NJK26" s="19"/>
      <c r="NJL26" s="19"/>
      <c r="NJM26" s="19"/>
      <c r="NJN26" s="19"/>
      <c r="NJO26" s="19"/>
      <c r="NJP26" s="19"/>
      <c r="NJQ26" s="19"/>
      <c r="NJR26" s="19"/>
      <c r="NJS26" s="19"/>
      <c r="NJT26" s="19"/>
      <c r="NJU26" s="19"/>
      <c r="NJV26" s="19"/>
      <c r="NJW26" s="19"/>
      <c r="NJX26" s="19"/>
      <c r="NJY26" s="19"/>
      <c r="NJZ26" s="19"/>
      <c r="NKA26" s="19"/>
      <c r="NKB26" s="19"/>
      <c r="NKC26" s="19"/>
      <c r="NKD26" s="19"/>
      <c r="NKE26" s="19"/>
      <c r="NKF26" s="19"/>
      <c r="NKG26" s="19"/>
      <c r="NKH26" s="19"/>
      <c r="NKI26" s="19"/>
      <c r="NKJ26" s="19"/>
      <c r="NKK26" s="19"/>
      <c r="NKL26" s="19"/>
      <c r="NKM26" s="19"/>
      <c r="NKN26" s="19"/>
      <c r="NKO26" s="19"/>
      <c r="NKP26" s="19"/>
      <c r="NKQ26" s="19"/>
      <c r="NKR26" s="19"/>
      <c r="NKS26" s="19"/>
      <c r="NKT26" s="19"/>
      <c r="NKU26" s="19"/>
      <c r="NKV26" s="19"/>
      <c r="NKW26" s="19"/>
      <c r="NKX26" s="19"/>
      <c r="NKY26" s="19"/>
      <c r="NKZ26" s="19"/>
      <c r="NLA26" s="19"/>
      <c r="NLB26" s="19"/>
      <c r="NLC26" s="19"/>
      <c r="NLD26" s="19"/>
      <c r="NLE26" s="19"/>
      <c r="NLF26" s="19"/>
      <c r="NLG26" s="19"/>
      <c r="NLH26" s="19"/>
      <c r="NLI26" s="19"/>
      <c r="NLJ26" s="19"/>
      <c r="NLK26" s="19"/>
      <c r="NLL26" s="19"/>
      <c r="NLM26" s="19"/>
      <c r="NLN26" s="19"/>
      <c r="NLO26" s="19"/>
      <c r="NLP26" s="19"/>
      <c r="NLQ26" s="19"/>
      <c r="NLR26" s="19"/>
      <c r="NLS26" s="19"/>
      <c r="NLT26" s="19"/>
      <c r="NLU26" s="19"/>
      <c r="NLV26" s="19"/>
      <c r="NLW26" s="19"/>
      <c r="NLX26" s="19"/>
      <c r="NLY26" s="19"/>
      <c r="NLZ26" s="19"/>
      <c r="NMA26" s="19"/>
      <c r="NMB26" s="19"/>
      <c r="NMC26" s="19"/>
      <c r="NMD26" s="19"/>
      <c r="NME26" s="19"/>
      <c r="NMF26" s="19"/>
      <c r="NMG26" s="19"/>
      <c r="NMH26" s="19"/>
      <c r="NMI26" s="19"/>
      <c r="NMJ26" s="19"/>
      <c r="NMK26" s="19"/>
      <c r="NML26" s="19"/>
      <c r="NMM26" s="19"/>
      <c r="NMN26" s="19"/>
      <c r="NMO26" s="19"/>
      <c r="NMP26" s="19"/>
      <c r="NMQ26" s="19"/>
      <c r="NMR26" s="19"/>
      <c r="NMS26" s="19"/>
      <c r="NMT26" s="19"/>
      <c r="NMU26" s="19"/>
      <c r="NMV26" s="19"/>
      <c r="NMW26" s="19"/>
      <c r="NMX26" s="19"/>
      <c r="NMY26" s="19"/>
      <c r="NMZ26" s="19"/>
      <c r="NNA26" s="19"/>
      <c r="NNB26" s="19"/>
      <c r="NNC26" s="19"/>
      <c r="NND26" s="19"/>
      <c r="NNE26" s="19"/>
      <c r="NNF26" s="19"/>
      <c r="NNG26" s="19"/>
      <c r="NNH26" s="19"/>
      <c r="NNI26" s="19"/>
      <c r="NNJ26" s="19"/>
      <c r="NNK26" s="19"/>
      <c r="NNL26" s="19"/>
      <c r="NNM26" s="19"/>
      <c r="NNN26" s="19"/>
      <c r="NNO26" s="19"/>
      <c r="NNP26" s="19"/>
      <c r="NNQ26" s="19"/>
      <c r="NNR26" s="19"/>
      <c r="NNS26" s="19"/>
      <c r="NNT26" s="19"/>
      <c r="NNU26" s="19"/>
      <c r="NNV26" s="19"/>
      <c r="NNW26" s="19"/>
      <c r="NNX26" s="19"/>
      <c r="NNY26" s="19"/>
      <c r="NNZ26" s="19"/>
      <c r="NOA26" s="19"/>
      <c r="NOB26" s="19"/>
      <c r="NOC26" s="19"/>
      <c r="NOD26" s="19"/>
      <c r="NOE26" s="19"/>
      <c r="NOF26" s="19"/>
      <c r="NOG26" s="19"/>
      <c r="NOH26" s="19"/>
      <c r="NOI26" s="19"/>
      <c r="NOJ26" s="19"/>
      <c r="NOK26" s="19"/>
      <c r="NOL26" s="19"/>
      <c r="NOM26" s="19"/>
      <c r="NON26" s="19"/>
      <c r="NOO26" s="19"/>
      <c r="NOP26" s="19"/>
      <c r="NOQ26" s="19"/>
      <c r="NOR26" s="19"/>
      <c r="NOS26" s="19"/>
      <c r="NOT26" s="19"/>
      <c r="NOU26" s="19"/>
      <c r="NOV26" s="19"/>
      <c r="NOW26" s="19"/>
      <c r="NOX26" s="19"/>
      <c r="NOY26" s="19"/>
      <c r="NOZ26" s="19"/>
      <c r="NPA26" s="19"/>
      <c r="NPB26" s="19"/>
      <c r="NPC26" s="19"/>
      <c r="NPD26" s="19"/>
      <c r="NPE26" s="19"/>
      <c r="NPF26" s="19"/>
      <c r="NPG26" s="19"/>
      <c r="NPH26" s="19"/>
      <c r="NPI26" s="19"/>
      <c r="NPJ26" s="19"/>
      <c r="NPK26" s="19"/>
      <c r="NPL26" s="19"/>
      <c r="NPM26" s="19"/>
      <c r="NPN26" s="19"/>
      <c r="NPO26" s="19"/>
      <c r="NPP26" s="19"/>
      <c r="NPQ26" s="19"/>
      <c r="NPR26" s="19"/>
      <c r="NPS26" s="19"/>
      <c r="NPT26" s="19"/>
      <c r="NPU26" s="19"/>
      <c r="NPV26" s="19"/>
      <c r="NPW26" s="19"/>
      <c r="NPX26" s="19"/>
      <c r="NPY26" s="19"/>
      <c r="NPZ26" s="19"/>
      <c r="NQA26" s="19"/>
      <c r="NQB26" s="19"/>
      <c r="NQC26" s="19"/>
      <c r="NQD26" s="19"/>
      <c r="NQE26" s="19"/>
      <c r="NQF26" s="19"/>
      <c r="NQG26" s="19"/>
      <c r="NQH26" s="19"/>
      <c r="NQI26" s="19"/>
      <c r="NQJ26" s="19"/>
      <c r="NQK26" s="19"/>
      <c r="NQL26" s="19"/>
      <c r="NQM26" s="19"/>
      <c r="NQN26" s="19"/>
      <c r="NQO26" s="19"/>
      <c r="NQP26" s="19"/>
      <c r="NQQ26" s="19"/>
      <c r="NQR26" s="19"/>
      <c r="NQS26" s="19"/>
      <c r="NQT26" s="19"/>
      <c r="NQU26" s="19"/>
      <c r="NQV26" s="19"/>
      <c r="NQW26" s="19"/>
      <c r="NQX26" s="19"/>
      <c r="NQY26" s="19"/>
      <c r="NQZ26" s="19"/>
      <c r="NRA26" s="19"/>
      <c r="NRB26" s="19"/>
      <c r="NRC26" s="19"/>
      <c r="NRD26" s="19"/>
      <c r="NRE26" s="19"/>
      <c r="NRF26" s="19"/>
      <c r="NRG26" s="19"/>
      <c r="NRH26" s="19"/>
      <c r="NRI26" s="19"/>
      <c r="NRJ26" s="19"/>
      <c r="NRK26" s="19"/>
      <c r="NRL26" s="19"/>
      <c r="NRM26" s="19"/>
      <c r="NRN26" s="19"/>
      <c r="NRO26" s="19"/>
      <c r="NRP26" s="19"/>
      <c r="NRQ26" s="19"/>
      <c r="NRR26" s="19"/>
      <c r="NRS26" s="19"/>
      <c r="NRT26" s="19"/>
      <c r="NRU26" s="19"/>
      <c r="NRV26" s="19"/>
      <c r="NRW26" s="19"/>
      <c r="NRX26" s="19"/>
      <c r="NRY26" s="19"/>
      <c r="NRZ26" s="19"/>
      <c r="NSA26" s="19"/>
      <c r="NSB26" s="19"/>
      <c r="NSC26" s="19"/>
      <c r="NSD26" s="19"/>
      <c r="NSE26" s="19"/>
      <c r="NSF26" s="19"/>
      <c r="NSG26" s="19"/>
      <c r="NSH26" s="19"/>
      <c r="NSI26" s="19"/>
      <c r="NSJ26" s="19"/>
      <c r="NSK26" s="19"/>
      <c r="NSL26" s="19"/>
      <c r="NSM26" s="19"/>
      <c r="NSN26" s="19"/>
      <c r="NSO26" s="19"/>
      <c r="NSP26" s="19"/>
      <c r="NSQ26" s="19"/>
      <c r="NSR26" s="19"/>
      <c r="NSS26" s="19"/>
      <c r="NST26" s="19"/>
      <c r="NSU26" s="19"/>
      <c r="NSV26" s="19"/>
      <c r="NSW26" s="19"/>
      <c r="NSX26" s="19"/>
      <c r="NSY26" s="19"/>
      <c r="NSZ26" s="19"/>
      <c r="NTA26" s="19"/>
      <c r="NTB26" s="19"/>
      <c r="NTC26" s="19"/>
      <c r="NTD26" s="19"/>
      <c r="NTE26" s="19"/>
      <c r="NTF26" s="19"/>
      <c r="NTG26" s="19"/>
      <c r="NTH26" s="19"/>
      <c r="NTI26" s="19"/>
      <c r="NTJ26" s="19"/>
      <c r="NTK26" s="19"/>
      <c r="NTL26" s="19"/>
      <c r="NTM26" s="19"/>
      <c r="NTN26" s="19"/>
      <c r="NTO26" s="19"/>
      <c r="NTP26" s="19"/>
      <c r="NTQ26" s="19"/>
      <c r="NTR26" s="19"/>
      <c r="NTS26" s="19"/>
      <c r="NTT26" s="19"/>
      <c r="NTU26" s="19"/>
      <c r="NTV26" s="19"/>
      <c r="NTW26" s="19"/>
      <c r="NTX26" s="19"/>
      <c r="NTY26" s="19"/>
      <c r="NTZ26" s="19"/>
      <c r="NUA26" s="19"/>
      <c r="NUB26" s="19"/>
      <c r="NUC26" s="19"/>
      <c r="NUD26" s="19"/>
      <c r="NUE26" s="19"/>
      <c r="NUF26" s="19"/>
      <c r="NUG26" s="19"/>
      <c r="NUH26" s="19"/>
      <c r="NUI26" s="19"/>
      <c r="NUJ26" s="19"/>
      <c r="NUK26" s="19"/>
      <c r="NUL26" s="19"/>
      <c r="NUM26" s="19"/>
      <c r="NUN26" s="19"/>
      <c r="NUO26" s="19"/>
      <c r="NUP26" s="19"/>
      <c r="NUQ26" s="19"/>
      <c r="NUR26" s="19"/>
      <c r="NUS26" s="19"/>
      <c r="NUT26" s="19"/>
      <c r="NUU26" s="19"/>
      <c r="NUV26" s="19"/>
      <c r="NUW26" s="19"/>
      <c r="NUX26" s="19"/>
      <c r="NUY26" s="19"/>
      <c r="NUZ26" s="19"/>
      <c r="NVA26" s="19"/>
      <c r="NVB26" s="19"/>
      <c r="NVC26" s="19"/>
      <c r="NVD26" s="19"/>
      <c r="NVE26" s="19"/>
      <c r="NVF26" s="19"/>
      <c r="NVG26" s="19"/>
      <c r="NVH26" s="19"/>
      <c r="NVI26" s="19"/>
      <c r="NVJ26" s="19"/>
      <c r="NVK26" s="19"/>
      <c r="NVL26" s="19"/>
      <c r="NVM26" s="19"/>
      <c r="NVN26" s="19"/>
      <c r="NVO26" s="19"/>
      <c r="NVP26" s="19"/>
      <c r="NVQ26" s="19"/>
      <c r="NVR26" s="19"/>
      <c r="NVS26" s="19"/>
      <c r="NVT26" s="19"/>
      <c r="NVU26" s="19"/>
      <c r="NVV26" s="19"/>
      <c r="NVW26" s="19"/>
      <c r="NVX26" s="19"/>
      <c r="NVY26" s="19"/>
      <c r="NVZ26" s="19"/>
      <c r="NWA26" s="19"/>
      <c r="NWB26" s="19"/>
      <c r="NWC26" s="19"/>
      <c r="NWD26" s="19"/>
      <c r="NWE26" s="19"/>
      <c r="NWF26" s="19"/>
      <c r="NWG26" s="19"/>
      <c r="NWH26" s="19"/>
      <c r="NWI26" s="19"/>
      <c r="NWJ26" s="19"/>
      <c r="NWK26" s="19"/>
      <c r="NWL26" s="19"/>
      <c r="NWM26" s="19"/>
      <c r="NWN26" s="19"/>
      <c r="NWO26" s="19"/>
      <c r="NWP26" s="19"/>
      <c r="NWQ26" s="19"/>
      <c r="NWR26" s="19"/>
      <c r="NWS26" s="19"/>
      <c r="NWT26" s="19"/>
      <c r="NWU26" s="19"/>
      <c r="NWV26" s="19"/>
      <c r="NWW26" s="19"/>
      <c r="NWX26" s="19"/>
      <c r="NWY26" s="19"/>
      <c r="NWZ26" s="19"/>
      <c r="NXA26" s="19"/>
      <c r="NXB26" s="19"/>
      <c r="NXC26" s="19"/>
      <c r="NXD26" s="19"/>
      <c r="NXE26" s="19"/>
      <c r="NXF26" s="19"/>
      <c r="NXG26" s="19"/>
      <c r="NXH26" s="19"/>
      <c r="NXI26" s="19"/>
      <c r="NXJ26" s="19"/>
      <c r="NXK26" s="19"/>
      <c r="NXL26" s="19"/>
      <c r="NXM26" s="19"/>
      <c r="NXN26" s="19"/>
      <c r="NXO26" s="19"/>
      <c r="NXP26" s="19"/>
      <c r="NXQ26" s="19"/>
      <c r="NXR26" s="19"/>
      <c r="NXS26" s="19"/>
      <c r="NXT26" s="19"/>
      <c r="NXU26" s="19"/>
      <c r="NXV26" s="19"/>
      <c r="NXW26" s="19"/>
      <c r="NXX26" s="19"/>
      <c r="NXY26" s="19"/>
      <c r="NXZ26" s="19"/>
      <c r="NYA26" s="19"/>
      <c r="NYB26" s="19"/>
      <c r="NYC26" s="19"/>
      <c r="NYD26" s="19"/>
      <c r="NYE26" s="19"/>
      <c r="NYF26" s="19"/>
      <c r="NYG26" s="19"/>
      <c r="NYH26" s="19"/>
      <c r="NYI26" s="19"/>
      <c r="NYJ26" s="19"/>
      <c r="NYK26" s="19"/>
      <c r="NYL26" s="19"/>
      <c r="NYM26" s="19"/>
      <c r="NYN26" s="19"/>
      <c r="NYO26" s="19"/>
      <c r="NYP26" s="19"/>
      <c r="NYQ26" s="19"/>
      <c r="NYR26" s="19"/>
      <c r="NYS26" s="19"/>
      <c r="NYT26" s="19"/>
      <c r="NYU26" s="19"/>
      <c r="NYV26" s="19"/>
      <c r="NYW26" s="19"/>
      <c r="NYX26" s="19"/>
      <c r="NYY26" s="19"/>
      <c r="NYZ26" s="19"/>
      <c r="NZA26" s="19"/>
      <c r="NZB26" s="19"/>
      <c r="NZC26" s="19"/>
      <c r="NZD26" s="19"/>
      <c r="NZE26" s="19"/>
      <c r="NZF26" s="19"/>
      <c r="NZG26" s="19"/>
      <c r="NZH26" s="19"/>
      <c r="NZI26" s="19"/>
      <c r="NZJ26" s="19"/>
      <c r="NZK26" s="19"/>
      <c r="NZL26" s="19"/>
      <c r="NZM26" s="19"/>
      <c r="NZN26" s="19"/>
      <c r="NZO26" s="19"/>
      <c r="NZP26" s="19"/>
      <c r="NZQ26" s="19"/>
      <c r="NZR26" s="19"/>
      <c r="NZS26" s="19"/>
      <c r="NZT26" s="19"/>
      <c r="NZU26" s="19"/>
      <c r="NZV26" s="19"/>
      <c r="NZW26" s="19"/>
      <c r="NZX26" s="19"/>
      <c r="NZY26" s="19"/>
      <c r="NZZ26" s="19"/>
      <c r="OAA26" s="19"/>
      <c r="OAB26" s="19"/>
      <c r="OAC26" s="19"/>
      <c r="OAD26" s="19"/>
      <c r="OAE26" s="19"/>
      <c r="OAF26" s="19"/>
      <c r="OAG26" s="19"/>
      <c r="OAH26" s="19"/>
      <c r="OAI26" s="19"/>
      <c r="OAJ26" s="19"/>
      <c r="OAK26" s="19"/>
      <c r="OAL26" s="19"/>
      <c r="OAM26" s="19"/>
      <c r="OAN26" s="19"/>
      <c r="OAO26" s="19"/>
      <c r="OAP26" s="19"/>
      <c r="OAQ26" s="19"/>
      <c r="OAR26" s="19"/>
      <c r="OAS26" s="19"/>
      <c r="OAT26" s="19"/>
      <c r="OAU26" s="19"/>
      <c r="OAV26" s="19"/>
      <c r="OAW26" s="19"/>
      <c r="OAX26" s="19"/>
      <c r="OAY26" s="19"/>
      <c r="OAZ26" s="19"/>
      <c r="OBA26" s="19"/>
      <c r="OBB26" s="19"/>
      <c r="OBC26" s="19"/>
      <c r="OBD26" s="19"/>
      <c r="OBE26" s="19"/>
      <c r="OBF26" s="19"/>
      <c r="OBG26" s="19"/>
      <c r="OBH26" s="19"/>
      <c r="OBI26" s="19"/>
      <c r="OBJ26" s="19"/>
      <c r="OBK26" s="19"/>
      <c r="OBL26" s="19"/>
      <c r="OBM26" s="19"/>
      <c r="OBN26" s="19"/>
      <c r="OBO26" s="19"/>
      <c r="OBP26" s="19"/>
      <c r="OBQ26" s="19"/>
      <c r="OBR26" s="19"/>
      <c r="OBS26" s="19"/>
      <c r="OBT26" s="19"/>
      <c r="OBU26" s="19"/>
      <c r="OBV26" s="19"/>
      <c r="OBW26" s="19"/>
      <c r="OBX26" s="19"/>
      <c r="OBY26" s="19"/>
      <c r="OBZ26" s="19"/>
      <c r="OCA26" s="19"/>
      <c r="OCB26" s="19"/>
      <c r="OCC26" s="19"/>
      <c r="OCD26" s="19"/>
      <c r="OCE26" s="19"/>
      <c r="OCF26" s="19"/>
      <c r="OCG26" s="19"/>
      <c r="OCH26" s="19"/>
      <c r="OCI26" s="19"/>
      <c r="OCJ26" s="19"/>
      <c r="OCK26" s="19"/>
      <c r="OCL26" s="19"/>
      <c r="OCM26" s="19"/>
      <c r="OCN26" s="19"/>
      <c r="OCO26" s="19"/>
      <c r="OCP26" s="19"/>
      <c r="OCQ26" s="19"/>
      <c r="OCR26" s="19"/>
      <c r="OCS26" s="19"/>
      <c r="OCT26" s="19"/>
      <c r="OCU26" s="19"/>
      <c r="OCV26" s="19"/>
      <c r="OCW26" s="19"/>
      <c r="OCX26" s="19"/>
      <c r="OCY26" s="19"/>
      <c r="OCZ26" s="19"/>
      <c r="ODA26" s="19"/>
      <c r="ODB26" s="19"/>
      <c r="ODC26" s="19"/>
      <c r="ODD26" s="19"/>
      <c r="ODE26" s="19"/>
      <c r="ODF26" s="19"/>
      <c r="ODG26" s="19"/>
      <c r="ODH26" s="19"/>
      <c r="ODI26" s="19"/>
      <c r="ODJ26" s="19"/>
      <c r="ODK26" s="19"/>
      <c r="ODL26" s="19"/>
      <c r="ODM26" s="19"/>
      <c r="ODN26" s="19"/>
      <c r="ODO26" s="19"/>
      <c r="ODP26" s="19"/>
      <c r="ODQ26" s="19"/>
      <c r="ODR26" s="19"/>
      <c r="ODS26" s="19"/>
      <c r="ODT26" s="19"/>
      <c r="ODU26" s="19"/>
      <c r="ODV26" s="19"/>
      <c r="ODW26" s="19"/>
      <c r="ODX26" s="19"/>
      <c r="ODY26" s="19"/>
      <c r="ODZ26" s="19"/>
      <c r="OEA26" s="19"/>
      <c r="OEB26" s="19"/>
      <c r="OEC26" s="19"/>
      <c r="OED26" s="19"/>
      <c r="OEE26" s="19"/>
      <c r="OEF26" s="19"/>
      <c r="OEG26" s="19"/>
      <c r="OEH26" s="19"/>
      <c r="OEI26" s="19"/>
      <c r="OEJ26" s="19"/>
      <c r="OEK26" s="19"/>
      <c r="OEL26" s="19"/>
      <c r="OEM26" s="19"/>
      <c r="OEN26" s="19"/>
      <c r="OEO26" s="19"/>
      <c r="OEP26" s="19"/>
      <c r="OEQ26" s="19"/>
      <c r="OER26" s="19"/>
      <c r="OES26" s="19"/>
      <c r="OET26" s="19"/>
      <c r="OEU26" s="19"/>
      <c r="OEV26" s="19"/>
      <c r="OEW26" s="19"/>
      <c r="OEX26" s="19"/>
      <c r="OEY26" s="19"/>
      <c r="OEZ26" s="19"/>
      <c r="OFA26" s="19"/>
      <c r="OFB26" s="19"/>
      <c r="OFC26" s="19"/>
      <c r="OFD26" s="19"/>
      <c r="OFE26" s="19"/>
      <c r="OFF26" s="19"/>
      <c r="OFG26" s="19"/>
      <c r="OFH26" s="19"/>
      <c r="OFI26" s="19"/>
      <c r="OFJ26" s="19"/>
      <c r="OFK26" s="19"/>
      <c r="OFL26" s="19"/>
      <c r="OFM26" s="19"/>
      <c r="OFN26" s="19"/>
      <c r="OFO26" s="19"/>
      <c r="OFP26" s="19"/>
      <c r="OFQ26" s="19"/>
      <c r="OFR26" s="19"/>
      <c r="OFS26" s="19"/>
      <c r="OFT26" s="19"/>
      <c r="OFU26" s="19"/>
      <c r="OFV26" s="19"/>
      <c r="OFW26" s="19"/>
      <c r="OFX26" s="19"/>
      <c r="OFY26" s="19"/>
      <c r="OFZ26" s="19"/>
      <c r="OGA26" s="19"/>
      <c r="OGB26" s="19"/>
      <c r="OGC26" s="19"/>
      <c r="OGD26" s="19"/>
      <c r="OGE26" s="19"/>
      <c r="OGF26" s="19"/>
      <c r="OGG26" s="19"/>
      <c r="OGH26" s="19"/>
      <c r="OGI26" s="19"/>
      <c r="OGJ26" s="19"/>
      <c r="OGK26" s="19"/>
      <c r="OGL26" s="19"/>
      <c r="OGM26" s="19"/>
      <c r="OGN26" s="19"/>
      <c r="OGO26" s="19"/>
      <c r="OGP26" s="19"/>
      <c r="OGQ26" s="19"/>
      <c r="OGR26" s="19"/>
      <c r="OGS26" s="19"/>
      <c r="OGT26" s="19"/>
      <c r="OGU26" s="19"/>
      <c r="OGV26" s="19"/>
      <c r="OGW26" s="19"/>
      <c r="OGX26" s="19"/>
      <c r="OGY26" s="19"/>
      <c r="OGZ26" s="19"/>
      <c r="OHA26" s="19"/>
      <c r="OHB26" s="19"/>
      <c r="OHC26" s="19"/>
      <c r="OHD26" s="19"/>
      <c r="OHE26" s="19"/>
      <c r="OHF26" s="19"/>
      <c r="OHG26" s="19"/>
      <c r="OHH26" s="19"/>
      <c r="OHI26" s="19"/>
      <c r="OHJ26" s="19"/>
      <c r="OHK26" s="19"/>
      <c r="OHL26" s="19"/>
      <c r="OHM26" s="19"/>
      <c r="OHN26" s="19"/>
      <c r="OHO26" s="19"/>
      <c r="OHP26" s="19"/>
      <c r="OHQ26" s="19"/>
      <c r="OHR26" s="19"/>
      <c r="OHS26" s="19"/>
      <c r="OHT26" s="19"/>
      <c r="OHU26" s="19"/>
      <c r="OHV26" s="19"/>
      <c r="OHW26" s="19"/>
      <c r="OHX26" s="19"/>
      <c r="OHY26" s="19"/>
      <c r="OHZ26" s="19"/>
      <c r="OIA26" s="19"/>
      <c r="OIB26" s="19"/>
      <c r="OIC26" s="19"/>
      <c r="OID26" s="19"/>
      <c r="OIE26" s="19"/>
      <c r="OIF26" s="19"/>
      <c r="OIG26" s="19"/>
      <c r="OIH26" s="19"/>
      <c r="OII26" s="19"/>
      <c r="OIJ26" s="19"/>
      <c r="OIK26" s="19"/>
      <c r="OIL26" s="19"/>
      <c r="OIM26" s="19"/>
      <c r="OIN26" s="19"/>
      <c r="OIO26" s="19"/>
      <c r="OIP26" s="19"/>
      <c r="OIQ26" s="19"/>
      <c r="OIR26" s="19"/>
      <c r="OIS26" s="19"/>
      <c r="OIT26" s="19"/>
      <c r="OIU26" s="19"/>
      <c r="OIV26" s="19"/>
      <c r="OIW26" s="19"/>
      <c r="OIX26" s="19"/>
      <c r="OIY26" s="19"/>
      <c r="OIZ26" s="19"/>
      <c r="OJA26" s="19"/>
      <c r="OJB26" s="19"/>
      <c r="OJC26" s="19"/>
      <c r="OJD26" s="19"/>
      <c r="OJE26" s="19"/>
      <c r="OJF26" s="19"/>
      <c r="OJG26" s="19"/>
      <c r="OJH26" s="19"/>
      <c r="OJI26" s="19"/>
      <c r="OJJ26" s="19"/>
      <c r="OJK26" s="19"/>
      <c r="OJL26" s="19"/>
      <c r="OJM26" s="19"/>
      <c r="OJN26" s="19"/>
      <c r="OJO26" s="19"/>
      <c r="OJP26" s="19"/>
      <c r="OJQ26" s="19"/>
      <c r="OJR26" s="19"/>
      <c r="OJS26" s="19"/>
      <c r="OJT26" s="19"/>
      <c r="OJU26" s="19"/>
      <c r="OJV26" s="19"/>
      <c r="OJW26" s="19"/>
      <c r="OJX26" s="19"/>
      <c r="OJY26" s="19"/>
      <c r="OJZ26" s="19"/>
      <c r="OKA26" s="19"/>
      <c r="OKB26" s="19"/>
      <c r="OKC26" s="19"/>
      <c r="OKD26" s="19"/>
      <c r="OKE26" s="19"/>
      <c r="OKF26" s="19"/>
      <c r="OKG26" s="19"/>
      <c r="OKH26" s="19"/>
      <c r="OKI26" s="19"/>
      <c r="OKJ26" s="19"/>
      <c r="OKK26" s="19"/>
      <c r="OKL26" s="19"/>
      <c r="OKM26" s="19"/>
      <c r="OKN26" s="19"/>
      <c r="OKO26" s="19"/>
      <c r="OKP26" s="19"/>
      <c r="OKQ26" s="19"/>
      <c r="OKR26" s="19"/>
      <c r="OKS26" s="19"/>
      <c r="OKT26" s="19"/>
      <c r="OKU26" s="19"/>
      <c r="OKV26" s="19"/>
      <c r="OKW26" s="19"/>
      <c r="OKX26" s="19"/>
      <c r="OKY26" s="19"/>
      <c r="OKZ26" s="19"/>
      <c r="OLA26" s="19"/>
      <c r="OLB26" s="19"/>
      <c r="OLC26" s="19"/>
      <c r="OLD26" s="19"/>
      <c r="OLE26" s="19"/>
      <c r="OLF26" s="19"/>
      <c r="OLG26" s="19"/>
      <c r="OLH26" s="19"/>
      <c r="OLI26" s="19"/>
      <c r="OLJ26" s="19"/>
      <c r="OLK26" s="19"/>
      <c r="OLL26" s="19"/>
      <c r="OLM26" s="19"/>
      <c r="OLN26" s="19"/>
      <c r="OLO26" s="19"/>
      <c r="OLP26" s="19"/>
      <c r="OLQ26" s="19"/>
      <c r="OLR26" s="19"/>
      <c r="OLS26" s="19"/>
      <c r="OLT26" s="19"/>
      <c r="OLU26" s="19"/>
      <c r="OLV26" s="19"/>
      <c r="OLW26" s="19"/>
      <c r="OLX26" s="19"/>
      <c r="OLY26" s="19"/>
      <c r="OLZ26" s="19"/>
      <c r="OMA26" s="19"/>
      <c r="OMB26" s="19"/>
      <c r="OMC26" s="19"/>
      <c r="OMD26" s="19"/>
      <c r="OME26" s="19"/>
      <c r="OMF26" s="19"/>
      <c r="OMG26" s="19"/>
      <c r="OMH26" s="19"/>
      <c r="OMI26" s="19"/>
      <c r="OMJ26" s="19"/>
      <c r="OMK26" s="19"/>
      <c r="OML26" s="19"/>
      <c r="OMM26" s="19"/>
      <c r="OMN26" s="19"/>
      <c r="OMO26" s="19"/>
      <c r="OMP26" s="19"/>
      <c r="OMQ26" s="19"/>
      <c r="OMR26" s="19"/>
      <c r="OMS26" s="19"/>
      <c r="OMT26" s="19"/>
      <c r="OMU26" s="19"/>
      <c r="OMV26" s="19"/>
      <c r="OMW26" s="19"/>
      <c r="OMX26" s="19"/>
      <c r="OMY26" s="19"/>
      <c r="OMZ26" s="19"/>
      <c r="ONA26" s="19"/>
      <c r="ONB26" s="19"/>
      <c r="ONC26" s="19"/>
      <c r="OND26" s="19"/>
      <c r="ONE26" s="19"/>
      <c r="ONF26" s="19"/>
      <c r="ONG26" s="19"/>
      <c r="ONH26" s="19"/>
      <c r="ONI26" s="19"/>
      <c r="ONJ26" s="19"/>
      <c r="ONK26" s="19"/>
      <c r="ONL26" s="19"/>
      <c r="ONM26" s="19"/>
      <c r="ONN26" s="19"/>
      <c r="ONO26" s="19"/>
      <c r="ONP26" s="19"/>
      <c r="ONQ26" s="19"/>
      <c r="ONR26" s="19"/>
      <c r="ONS26" s="19"/>
      <c r="ONT26" s="19"/>
      <c r="ONU26" s="19"/>
      <c r="ONV26" s="19"/>
      <c r="ONW26" s="19"/>
      <c r="ONX26" s="19"/>
      <c r="ONY26" s="19"/>
      <c r="ONZ26" s="19"/>
      <c r="OOA26" s="19"/>
      <c r="OOB26" s="19"/>
      <c r="OOC26" s="19"/>
      <c r="OOD26" s="19"/>
      <c r="OOE26" s="19"/>
      <c r="OOF26" s="19"/>
      <c r="OOG26" s="19"/>
      <c r="OOH26" s="19"/>
      <c r="OOI26" s="19"/>
      <c r="OOJ26" s="19"/>
      <c r="OOK26" s="19"/>
      <c r="OOL26" s="19"/>
      <c r="OOM26" s="19"/>
      <c r="OON26" s="19"/>
      <c r="OOO26" s="19"/>
      <c r="OOP26" s="19"/>
      <c r="OOQ26" s="19"/>
      <c r="OOR26" s="19"/>
      <c r="OOS26" s="19"/>
      <c r="OOT26" s="19"/>
      <c r="OOU26" s="19"/>
      <c r="OOV26" s="19"/>
      <c r="OOW26" s="19"/>
      <c r="OOX26" s="19"/>
      <c r="OOY26" s="19"/>
      <c r="OOZ26" s="19"/>
      <c r="OPA26" s="19"/>
      <c r="OPB26" s="19"/>
      <c r="OPC26" s="19"/>
      <c r="OPD26" s="19"/>
      <c r="OPE26" s="19"/>
      <c r="OPF26" s="19"/>
      <c r="OPG26" s="19"/>
      <c r="OPH26" s="19"/>
      <c r="OPI26" s="19"/>
      <c r="OPJ26" s="19"/>
      <c r="OPK26" s="19"/>
      <c r="OPL26" s="19"/>
      <c r="OPM26" s="19"/>
      <c r="OPN26" s="19"/>
      <c r="OPO26" s="19"/>
      <c r="OPP26" s="19"/>
      <c r="OPQ26" s="19"/>
      <c r="OPR26" s="19"/>
      <c r="OPS26" s="19"/>
      <c r="OPT26" s="19"/>
      <c r="OPU26" s="19"/>
      <c r="OPV26" s="19"/>
      <c r="OPW26" s="19"/>
      <c r="OPX26" s="19"/>
      <c r="OPY26" s="19"/>
      <c r="OPZ26" s="19"/>
      <c r="OQA26" s="19"/>
      <c r="OQB26" s="19"/>
      <c r="OQC26" s="19"/>
      <c r="OQD26" s="19"/>
      <c r="OQE26" s="19"/>
      <c r="OQF26" s="19"/>
      <c r="OQG26" s="19"/>
      <c r="OQH26" s="19"/>
      <c r="OQI26" s="19"/>
      <c r="OQJ26" s="19"/>
      <c r="OQK26" s="19"/>
      <c r="OQL26" s="19"/>
      <c r="OQM26" s="19"/>
      <c r="OQN26" s="19"/>
      <c r="OQO26" s="19"/>
      <c r="OQP26" s="19"/>
      <c r="OQQ26" s="19"/>
      <c r="OQR26" s="19"/>
      <c r="OQS26" s="19"/>
      <c r="OQT26" s="19"/>
      <c r="OQU26" s="19"/>
      <c r="OQV26" s="19"/>
      <c r="OQW26" s="19"/>
      <c r="OQX26" s="19"/>
      <c r="OQY26" s="19"/>
      <c r="OQZ26" s="19"/>
      <c r="ORA26" s="19"/>
      <c r="ORB26" s="19"/>
      <c r="ORC26" s="19"/>
      <c r="ORD26" s="19"/>
      <c r="ORE26" s="19"/>
      <c r="ORF26" s="19"/>
      <c r="ORG26" s="19"/>
      <c r="ORH26" s="19"/>
      <c r="ORI26" s="19"/>
      <c r="ORJ26" s="19"/>
      <c r="ORK26" s="19"/>
      <c r="ORL26" s="19"/>
      <c r="ORM26" s="19"/>
      <c r="ORN26" s="19"/>
      <c r="ORO26" s="19"/>
      <c r="ORP26" s="19"/>
      <c r="ORQ26" s="19"/>
      <c r="ORR26" s="19"/>
      <c r="ORS26" s="19"/>
      <c r="ORT26" s="19"/>
      <c r="ORU26" s="19"/>
      <c r="ORV26" s="19"/>
      <c r="ORW26" s="19"/>
      <c r="ORX26" s="19"/>
      <c r="ORY26" s="19"/>
      <c r="ORZ26" s="19"/>
      <c r="OSA26" s="19"/>
      <c r="OSB26" s="19"/>
      <c r="OSC26" s="19"/>
      <c r="OSD26" s="19"/>
      <c r="OSE26" s="19"/>
      <c r="OSF26" s="19"/>
      <c r="OSG26" s="19"/>
      <c r="OSH26" s="19"/>
      <c r="OSI26" s="19"/>
      <c r="OSJ26" s="19"/>
      <c r="OSK26" s="19"/>
      <c r="OSL26" s="19"/>
      <c r="OSM26" s="19"/>
      <c r="OSN26" s="19"/>
      <c r="OSO26" s="19"/>
      <c r="OSP26" s="19"/>
      <c r="OSQ26" s="19"/>
      <c r="OSR26" s="19"/>
      <c r="OSS26" s="19"/>
      <c r="OST26" s="19"/>
      <c r="OSU26" s="19"/>
      <c r="OSV26" s="19"/>
      <c r="OSW26" s="19"/>
      <c r="OSX26" s="19"/>
      <c r="OSY26" s="19"/>
      <c r="OSZ26" s="19"/>
      <c r="OTA26" s="19"/>
      <c r="OTB26" s="19"/>
      <c r="OTC26" s="19"/>
      <c r="OTD26" s="19"/>
      <c r="OTE26" s="19"/>
      <c r="OTF26" s="19"/>
      <c r="OTG26" s="19"/>
      <c r="OTH26" s="19"/>
      <c r="OTI26" s="19"/>
      <c r="OTJ26" s="19"/>
      <c r="OTK26" s="19"/>
      <c r="OTL26" s="19"/>
      <c r="OTM26" s="19"/>
      <c r="OTN26" s="19"/>
      <c r="OTO26" s="19"/>
      <c r="OTP26" s="19"/>
      <c r="OTQ26" s="19"/>
      <c r="OTR26" s="19"/>
      <c r="OTS26" s="19"/>
      <c r="OTT26" s="19"/>
      <c r="OTU26" s="19"/>
      <c r="OTV26" s="19"/>
      <c r="OTW26" s="19"/>
      <c r="OTX26" s="19"/>
      <c r="OTY26" s="19"/>
      <c r="OTZ26" s="19"/>
      <c r="OUA26" s="19"/>
      <c r="OUB26" s="19"/>
      <c r="OUC26" s="19"/>
      <c r="OUD26" s="19"/>
      <c r="OUE26" s="19"/>
      <c r="OUF26" s="19"/>
      <c r="OUG26" s="19"/>
      <c r="OUH26" s="19"/>
      <c r="OUI26" s="19"/>
      <c r="OUJ26" s="19"/>
      <c r="OUK26" s="19"/>
      <c r="OUL26" s="19"/>
      <c r="OUM26" s="19"/>
      <c r="OUN26" s="19"/>
      <c r="OUO26" s="19"/>
      <c r="OUP26" s="19"/>
      <c r="OUQ26" s="19"/>
      <c r="OUR26" s="19"/>
      <c r="OUS26" s="19"/>
      <c r="OUT26" s="19"/>
      <c r="OUU26" s="19"/>
      <c r="OUV26" s="19"/>
      <c r="OUW26" s="19"/>
      <c r="OUX26" s="19"/>
      <c r="OUY26" s="19"/>
      <c r="OUZ26" s="19"/>
      <c r="OVA26" s="19"/>
      <c r="OVB26" s="19"/>
      <c r="OVC26" s="19"/>
      <c r="OVD26" s="19"/>
      <c r="OVE26" s="19"/>
      <c r="OVF26" s="19"/>
      <c r="OVG26" s="19"/>
      <c r="OVH26" s="19"/>
      <c r="OVI26" s="19"/>
      <c r="OVJ26" s="19"/>
      <c r="OVK26" s="19"/>
      <c r="OVL26" s="19"/>
      <c r="OVM26" s="19"/>
      <c r="OVN26" s="19"/>
      <c r="OVO26" s="19"/>
      <c r="OVP26" s="19"/>
      <c r="OVQ26" s="19"/>
      <c r="OVR26" s="19"/>
      <c r="OVS26" s="19"/>
      <c r="OVT26" s="19"/>
      <c r="OVU26" s="19"/>
      <c r="OVV26" s="19"/>
      <c r="OVW26" s="19"/>
      <c r="OVX26" s="19"/>
      <c r="OVY26" s="19"/>
      <c r="OVZ26" s="19"/>
      <c r="OWA26" s="19"/>
      <c r="OWB26" s="19"/>
      <c r="OWC26" s="19"/>
      <c r="OWD26" s="19"/>
      <c r="OWE26" s="19"/>
      <c r="OWF26" s="19"/>
      <c r="OWG26" s="19"/>
      <c r="OWH26" s="19"/>
      <c r="OWI26" s="19"/>
      <c r="OWJ26" s="19"/>
      <c r="OWK26" s="19"/>
      <c r="OWL26" s="19"/>
      <c r="OWM26" s="19"/>
      <c r="OWN26" s="19"/>
      <c r="OWO26" s="19"/>
      <c r="OWP26" s="19"/>
      <c r="OWQ26" s="19"/>
      <c r="OWR26" s="19"/>
      <c r="OWS26" s="19"/>
      <c r="OWT26" s="19"/>
      <c r="OWU26" s="19"/>
      <c r="OWV26" s="19"/>
      <c r="OWW26" s="19"/>
      <c r="OWX26" s="19"/>
      <c r="OWY26" s="19"/>
      <c r="OWZ26" s="19"/>
      <c r="OXA26" s="19"/>
      <c r="OXB26" s="19"/>
      <c r="OXC26" s="19"/>
      <c r="OXD26" s="19"/>
      <c r="OXE26" s="19"/>
      <c r="OXF26" s="19"/>
      <c r="OXG26" s="19"/>
      <c r="OXH26" s="19"/>
      <c r="OXI26" s="19"/>
      <c r="OXJ26" s="19"/>
      <c r="OXK26" s="19"/>
      <c r="OXL26" s="19"/>
      <c r="OXM26" s="19"/>
      <c r="OXN26" s="19"/>
      <c r="OXO26" s="19"/>
      <c r="OXP26" s="19"/>
      <c r="OXQ26" s="19"/>
      <c r="OXR26" s="19"/>
      <c r="OXS26" s="19"/>
      <c r="OXT26" s="19"/>
      <c r="OXU26" s="19"/>
      <c r="OXV26" s="19"/>
      <c r="OXW26" s="19"/>
      <c r="OXX26" s="19"/>
      <c r="OXY26" s="19"/>
      <c r="OXZ26" s="19"/>
      <c r="OYA26" s="19"/>
      <c r="OYB26" s="19"/>
      <c r="OYC26" s="19"/>
      <c r="OYD26" s="19"/>
      <c r="OYE26" s="19"/>
      <c r="OYF26" s="19"/>
      <c r="OYG26" s="19"/>
      <c r="OYH26" s="19"/>
      <c r="OYI26" s="19"/>
      <c r="OYJ26" s="19"/>
      <c r="OYK26" s="19"/>
      <c r="OYL26" s="19"/>
      <c r="OYM26" s="19"/>
      <c r="OYN26" s="19"/>
      <c r="OYO26" s="19"/>
      <c r="OYP26" s="19"/>
      <c r="OYQ26" s="19"/>
      <c r="OYR26" s="19"/>
      <c r="OYS26" s="19"/>
      <c r="OYT26" s="19"/>
      <c r="OYU26" s="19"/>
      <c r="OYV26" s="19"/>
      <c r="OYW26" s="19"/>
      <c r="OYX26" s="19"/>
      <c r="OYY26" s="19"/>
      <c r="OYZ26" s="19"/>
      <c r="OZA26" s="19"/>
      <c r="OZB26" s="19"/>
      <c r="OZC26" s="19"/>
      <c r="OZD26" s="19"/>
      <c r="OZE26" s="19"/>
      <c r="OZF26" s="19"/>
      <c r="OZG26" s="19"/>
      <c r="OZH26" s="19"/>
      <c r="OZI26" s="19"/>
      <c r="OZJ26" s="19"/>
      <c r="OZK26" s="19"/>
      <c r="OZL26" s="19"/>
      <c r="OZM26" s="19"/>
      <c r="OZN26" s="19"/>
      <c r="OZO26" s="19"/>
      <c r="OZP26" s="19"/>
      <c r="OZQ26" s="19"/>
      <c r="OZR26" s="19"/>
      <c r="OZS26" s="19"/>
      <c r="OZT26" s="19"/>
      <c r="OZU26" s="19"/>
      <c r="OZV26" s="19"/>
      <c r="OZW26" s="19"/>
      <c r="OZX26" s="19"/>
      <c r="OZY26" s="19"/>
      <c r="OZZ26" s="19"/>
      <c r="PAA26" s="19"/>
      <c r="PAB26" s="19"/>
      <c r="PAC26" s="19"/>
      <c r="PAD26" s="19"/>
      <c r="PAE26" s="19"/>
      <c r="PAF26" s="19"/>
      <c r="PAG26" s="19"/>
      <c r="PAH26" s="19"/>
      <c r="PAI26" s="19"/>
      <c r="PAJ26" s="19"/>
      <c r="PAK26" s="19"/>
      <c r="PAL26" s="19"/>
      <c r="PAM26" s="19"/>
      <c r="PAN26" s="19"/>
      <c r="PAO26" s="19"/>
      <c r="PAP26" s="19"/>
      <c r="PAQ26" s="19"/>
      <c r="PAR26" s="19"/>
      <c r="PAS26" s="19"/>
      <c r="PAT26" s="19"/>
      <c r="PAU26" s="19"/>
      <c r="PAV26" s="19"/>
      <c r="PAW26" s="19"/>
      <c r="PAX26" s="19"/>
      <c r="PAY26" s="19"/>
      <c r="PAZ26" s="19"/>
      <c r="PBA26" s="19"/>
      <c r="PBB26" s="19"/>
      <c r="PBC26" s="19"/>
      <c r="PBD26" s="19"/>
      <c r="PBE26" s="19"/>
      <c r="PBF26" s="19"/>
      <c r="PBG26" s="19"/>
      <c r="PBH26" s="19"/>
      <c r="PBI26" s="19"/>
      <c r="PBJ26" s="19"/>
      <c r="PBK26" s="19"/>
      <c r="PBL26" s="19"/>
      <c r="PBM26" s="19"/>
      <c r="PBN26" s="19"/>
      <c r="PBO26" s="19"/>
      <c r="PBP26" s="19"/>
      <c r="PBQ26" s="19"/>
      <c r="PBR26" s="19"/>
      <c r="PBS26" s="19"/>
      <c r="PBT26" s="19"/>
      <c r="PBU26" s="19"/>
      <c r="PBV26" s="19"/>
      <c r="PBW26" s="19"/>
      <c r="PBX26" s="19"/>
      <c r="PBY26" s="19"/>
      <c r="PBZ26" s="19"/>
      <c r="PCA26" s="19"/>
      <c r="PCB26" s="19"/>
      <c r="PCC26" s="19"/>
      <c r="PCD26" s="19"/>
      <c r="PCE26" s="19"/>
      <c r="PCF26" s="19"/>
      <c r="PCG26" s="19"/>
      <c r="PCH26" s="19"/>
      <c r="PCI26" s="19"/>
      <c r="PCJ26" s="19"/>
      <c r="PCK26" s="19"/>
      <c r="PCL26" s="19"/>
      <c r="PCM26" s="19"/>
      <c r="PCN26" s="19"/>
      <c r="PCO26" s="19"/>
      <c r="PCP26" s="19"/>
      <c r="PCQ26" s="19"/>
      <c r="PCR26" s="19"/>
      <c r="PCS26" s="19"/>
      <c r="PCT26" s="19"/>
      <c r="PCU26" s="19"/>
      <c r="PCV26" s="19"/>
      <c r="PCW26" s="19"/>
      <c r="PCX26" s="19"/>
      <c r="PCY26" s="19"/>
      <c r="PCZ26" s="19"/>
      <c r="PDA26" s="19"/>
      <c r="PDB26" s="19"/>
      <c r="PDC26" s="19"/>
      <c r="PDD26" s="19"/>
      <c r="PDE26" s="19"/>
      <c r="PDF26" s="19"/>
      <c r="PDG26" s="19"/>
      <c r="PDH26" s="19"/>
      <c r="PDI26" s="19"/>
      <c r="PDJ26" s="19"/>
      <c r="PDK26" s="19"/>
      <c r="PDL26" s="19"/>
      <c r="PDM26" s="19"/>
      <c r="PDN26" s="19"/>
      <c r="PDO26" s="19"/>
      <c r="PDP26" s="19"/>
      <c r="PDQ26" s="19"/>
      <c r="PDR26" s="19"/>
      <c r="PDS26" s="19"/>
      <c r="PDT26" s="19"/>
      <c r="PDU26" s="19"/>
      <c r="PDV26" s="19"/>
      <c r="PDW26" s="19"/>
      <c r="PDX26" s="19"/>
      <c r="PDY26" s="19"/>
      <c r="PDZ26" s="19"/>
      <c r="PEA26" s="19"/>
      <c r="PEB26" s="19"/>
      <c r="PEC26" s="19"/>
      <c r="PED26" s="19"/>
      <c r="PEE26" s="19"/>
      <c r="PEF26" s="19"/>
      <c r="PEG26" s="19"/>
      <c r="PEH26" s="19"/>
      <c r="PEI26" s="19"/>
      <c r="PEJ26" s="19"/>
      <c r="PEK26" s="19"/>
      <c r="PEL26" s="19"/>
      <c r="PEM26" s="19"/>
      <c r="PEN26" s="19"/>
      <c r="PEO26" s="19"/>
      <c r="PEP26" s="19"/>
      <c r="PEQ26" s="19"/>
      <c r="PER26" s="19"/>
      <c r="PES26" s="19"/>
      <c r="PET26" s="19"/>
      <c r="PEU26" s="19"/>
      <c r="PEV26" s="19"/>
      <c r="PEW26" s="19"/>
      <c r="PEX26" s="19"/>
      <c r="PEY26" s="19"/>
      <c r="PEZ26" s="19"/>
      <c r="PFA26" s="19"/>
      <c r="PFB26" s="19"/>
      <c r="PFC26" s="19"/>
      <c r="PFD26" s="19"/>
      <c r="PFE26" s="19"/>
      <c r="PFF26" s="19"/>
      <c r="PFG26" s="19"/>
      <c r="PFH26" s="19"/>
      <c r="PFI26" s="19"/>
      <c r="PFJ26" s="19"/>
      <c r="PFK26" s="19"/>
      <c r="PFL26" s="19"/>
      <c r="PFM26" s="19"/>
      <c r="PFN26" s="19"/>
      <c r="PFO26" s="19"/>
      <c r="PFP26" s="19"/>
      <c r="PFQ26" s="19"/>
      <c r="PFR26" s="19"/>
      <c r="PFS26" s="19"/>
      <c r="PFT26" s="19"/>
      <c r="PFU26" s="19"/>
      <c r="PFV26" s="19"/>
      <c r="PFW26" s="19"/>
      <c r="PFX26" s="19"/>
      <c r="PFY26" s="19"/>
      <c r="PFZ26" s="19"/>
      <c r="PGA26" s="19"/>
      <c r="PGB26" s="19"/>
      <c r="PGC26" s="19"/>
      <c r="PGD26" s="19"/>
      <c r="PGE26" s="19"/>
      <c r="PGF26" s="19"/>
      <c r="PGG26" s="19"/>
      <c r="PGH26" s="19"/>
      <c r="PGI26" s="19"/>
      <c r="PGJ26" s="19"/>
      <c r="PGK26" s="19"/>
      <c r="PGL26" s="19"/>
      <c r="PGM26" s="19"/>
      <c r="PGN26" s="19"/>
      <c r="PGO26" s="19"/>
      <c r="PGP26" s="19"/>
      <c r="PGQ26" s="19"/>
      <c r="PGR26" s="19"/>
      <c r="PGS26" s="19"/>
      <c r="PGT26" s="19"/>
      <c r="PGU26" s="19"/>
      <c r="PGV26" s="19"/>
      <c r="PGW26" s="19"/>
      <c r="PGX26" s="19"/>
      <c r="PGY26" s="19"/>
      <c r="PGZ26" s="19"/>
      <c r="PHA26" s="19"/>
      <c r="PHB26" s="19"/>
      <c r="PHC26" s="19"/>
      <c r="PHD26" s="19"/>
      <c r="PHE26" s="19"/>
      <c r="PHF26" s="19"/>
      <c r="PHG26" s="19"/>
      <c r="PHH26" s="19"/>
      <c r="PHI26" s="19"/>
      <c r="PHJ26" s="19"/>
      <c r="PHK26" s="19"/>
      <c r="PHL26" s="19"/>
      <c r="PHM26" s="19"/>
      <c r="PHN26" s="19"/>
      <c r="PHO26" s="19"/>
      <c r="PHP26" s="19"/>
      <c r="PHQ26" s="19"/>
      <c r="PHR26" s="19"/>
      <c r="PHS26" s="19"/>
      <c r="PHT26" s="19"/>
      <c r="PHU26" s="19"/>
      <c r="PHV26" s="19"/>
      <c r="PHW26" s="19"/>
      <c r="PHX26" s="19"/>
      <c r="PHY26" s="19"/>
      <c r="PHZ26" s="19"/>
      <c r="PIA26" s="19"/>
      <c r="PIB26" s="19"/>
      <c r="PIC26" s="19"/>
      <c r="PID26" s="19"/>
      <c r="PIE26" s="19"/>
      <c r="PIF26" s="19"/>
      <c r="PIG26" s="19"/>
      <c r="PIH26" s="19"/>
      <c r="PII26" s="19"/>
      <c r="PIJ26" s="19"/>
      <c r="PIK26" s="19"/>
      <c r="PIL26" s="19"/>
      <c r="PIM26" s="19"/>
      <c r="PIN26" s="19"/>
      <c r="PIO26" s="19"/>
      <c r="PIP26" s="19"/>
      <c r="PIQ26" s="19"/>
      <c r="PIR26" s="19"/>
      <c r="PIS26" s="19"/>
      <c r="PIT26" s="19"/>
      <c r="PIU26" s="19"/>
      <c r="PIV26" s="19"/>
      <c r="PIW26" s="19"/>
      <c r="PIX26" s="19"/>
      <c r="PIY26" s="19"/>
      <c r="PIZ26" s="19"/>
      <c r="PJA26" s="19"/>
      <c r="PJB26" s="19"/>
      <c r="PJC26" s="19"/>
      <c r="PJD26" s="19"/>
      <c r="PJE26" s="19"/>
      <c r="PJF26" s="19"/>
      <c r="PJG26" s="19"/>
      <c r="PJH26" s="19"/>
      <c r="PJI26" s="19"/>
      <c r="PJJ26" s="19"/>
      <c r="PJK26" s="19"/>
      <c r="PJL26" s="19"/>
      <c r="PJM26" s="19"/>
      <c r="PJN26" s="19"/>
      <c r="PJO26" s="19"/>
      <c r="PJP26" s="19"/>
      <c r="PJQ26" s="19"/>
      <c r="PJR26" s="19"/>
      <c r="PJS26" s="19"/>
      <c r="PJT26" s="19"/>
      <c r="PJU26" s="19"/>
      <c r="PJV26" s="19"/>
      <c r="PJW26" s="19"/>
      <c r="PJX26" s="19"/>
      <c r="PJY26" s="19"/>
      <c r="PJZ26" s="19"/>
      <c r="PKA26" s="19"/>
      <c r="PKB26" s="19"/>
      <c r="PKC26" s="19"/>
      <c r="PKD26" s="19"/>
      <c r="PKE26" s="19"/>
      <c r="PKF26" s="19"/>
      <c r="PKG26" s="19"/>
      <c r="PKH26" s="19"/>
      <c r="PKI26" s="19"/>
      <c r="PKJ26" s="19"/>
      <c r="PKK26" s="19"/>
      <c r="PKL26" s="19"/>
      <c r="PKM26" s="19"/>
      <c r="PKN26" s="19"/>
      <c r="PKO26" s="19"/>
      <c r="PKP26" s="19"/>
      <c r="PKQ26" s="19"/>
      <c r="PKR26" s="19"/>
      <c r="PKS26" s="19"/>
      <c r="PKT26" s="19"/>
      <c r="PKU26" s="19"/>
      <c r="PKV26" s="19"/>
      <c r="PKW26" s="19"/>
      <c r="PKX26" s="19"/>
      <c r="PKY26" s="19"/>
      <c r="PKZ26" s="19"/>
      <c r="PLA26" s="19"/>
      <c r="PLB26" s="19"/>
      <c r="PLC26" s="19"/>
      <c r="PLD26" s="19"/>
      <c r="PLE26" s="19"/>
      <c r="PLF26" s="19"/>
      <c r="PLG26" s="19"/>
      <c r="PLH26" s="19"/>
      <c r="PLI26" s="19"/>
      <c r="PLJ26" s="19"/>
      <c r="PLK26" s="19"/>
      <c r="PLL26" s="19"/>
      <c r="PLM26" s="19"/>
      <c r="PLN26" s="19"/>
      <c r="PLO26" s="19"/>
      <c r="PLP26" s="19"/>
      <c r="PLQ26" s="19"/>
      <c r="PLR26" s="19"/>
      <c r="PLS26" s="19"/>
      <c r="PLT26" s="19"/>
      <c r="PLU26" s="19"/>
      <c r="PLV26" s="19"/>
      <c r="PLW26" s="19"/>
      <c r="PLX26" s="19"/>
      <c r="PLY26" s="19"/>
      <c r="PLZ26" s="19"/>
      <c r="PMA26" s="19"/>
      <c r="PMB26" s="19"/>
      <c r="PMC26" s="19"/>
      <c r="PMD26" s="19"/>
      <c r="PME26" s="19"/>
      <c r="PMF26" s="19"/>
      <c r="PMG26" s="19"/>
      <c r="PMH26" s="19"/>
      <c r="PMI26" s="19"/>
      <c r="PMJ26" s="19"/>
      <c r="PMK26" s="19"/>
      <c r="PML26" s="19"/>
      <c r="PMM26" s="19"/>
      <c r="PMN26" s="19"/>
      <c r="PMO26" s="19"/>
      <c r="PMP26" s="19"/>
      <c r="PMQ26" s="19"/>
      <c r="PMR26" s="19"/>
      <c r="PMS26" s="19"/>
      <c r="PMT26" s="19"/>
      <c r="PMU26" s="19"/>
      <c r="PMV26" s="19"/>
      <c r="PMW26" s="19"/>
      <c r="PMX26" s="19"/>
      <c r="PMY26" s="19"/>
      <c r="PMZ26" s="19"/>
      <c r="PNA26" s="19"/>
      <c r="PNB26" s="19"/>
      <c r="PNC26" s="19"/>
      <c r="PND26" s="19"/>
      <c r="PNE26" s="19"/>
      <c r="PNF26" s="19"/>
      <c r="PNG26" s="19"/>
      <c r="PNH26" s="19"/>
      <c r="PNI26" s="19"/>
      <c r="PNJ26" s="19"/>
      <c r="PNK26" s="19"/>
      <c r="PNL26" s="19"/>
      <c r="PNM26" s="19"/>
      <c r="PNN26" s="19"/>
      <c r="PNO26" s="19"/>
      <c r="PNP26" s="19"/>
      <c r="PNQ26" s="19"/>
      <c r="PNR26" s="19"/>
      <c r="PNS26" s="19"/>
      <c r="PNT26" s="19"/>
      <c r="PNU26" s="19"/>
      <c r="PNV26" s="19"/>
      <c r="PNW26" s="19"/>
      <c r="PNX26" s="19"/>
      <c r="PNY26" s="19"/>
      <c r="PNZ26" s="19"/>
      <c r="POA26" s="19"/>
      <c r="POB26" s="19"/>
      <c r="POC26" s="19"/>
      <c r="POD26" s="19"/>
      <c r="POE26" s="19"/>
      <c r="POF26" s="19"/>
      <c r="POG26" s="19"/>
      <c r="POH26" s="19"/>
      <c r="POI26" s="19"/>
      <c r="POJ26" s="19"/>
      <c r="POK26" s="19"/>
      <c r="POL26" s="19"/>
      <c r="POM26" s="19"/>
      <c r="PON26" s="19"/>
      <c r="POO26" s="19"/>
      <c r="POP26" s="19"/>
      <c r="POQ26" s="19"/>
      <c r="POR26" s="19"/>
      <c r="POS26" s="19"/>
      <c r="POT26" s="19"/>
      <c r="POU26" s="19"/>
      <c r="POV26" s="19"/>
      <c r="POW26" s="19"/>
      <c r="POX26" s="19"/>
      <c r="POY26" s="19"/>
      <c r="POZ26" s="19"/>
      <c r="PPA26" s="19"/>
      <c r="PPB26" s="19"/>
      <c r="PPC26" s="19"/>
      <c r="PPD26" s="19"/>
      <c r="PPE26" s="19"/>
      <c r="PPF26" s="19"/>
      <c r="PPG26" s="19"/>
      <c r="PPH26" s="19"/>
      <c r="PPI26" s="19"/>
      <c r="PPJ26" s="19"/>
      <c r="PPK26" s="19"/>
      <c r="PPL26" s="19"/>
      <c r="PPM26" s="19"/>
      <c r="PPN26" s="19"/>
      <c r="PPO26" s="19"/>
      <c r="PPP26" s="19"/>
      <c r="PPQ26" s="19"/>
      <c r="PPR26" s="19"/>
      <c r="PPS26" s="19"/>
      <c r="PPT26" s="19"/>
      <c r="PPU26" s="19"/>
      <c r="PPV26" s="19"/>
      <c r="PPW26" s="19"/>
      <c r="PPX26" s="19"/>
      <c r="PPY26" s="19"/>
      <c r="PPZ26" s="19"/>
      <c r="PQA26" s="19"/>
      <c r="PQB26" s="19"/>
      <c r="PQC26" s="19"/>
      <c r="PQD26" s="19"/>
      <c r="PQE26" s="19"/>
      <c r="PQF26" s="19"/>
      <c r="PQG26" s="19"/>
      <c r="PQH26" s="19"/>
      <c r="PQI26" s="19"/>
      <c r="PQJ26" s="19"/>
      <c r="PQK26" s="19"/>
      <c r="PQL26" s="19"/>
      <c r="PQM26" s="19"/>
      <c r="PQN26" s="19"/>
      <c r="PQO26" s="19"/>
      <c r="PQP26" s="19"/>
      <c r="PQQ26" s="19"/>
      <c r="PQR26" s="19"/>
      <c r="PQS26" s="19"/>
      <c r="PQT26" s="19"/>
      <c r="PQU26" s="19"/>
      <c r="PQV26" s="19"/>
      <c r="PQW26" s="19"/>
      <c r="PQX26" s="19"/>
      <c r="PQY26" s="19"/>
      <c r="PQZ26" s="19"/>
      <c r="PRA26" s="19"/>
      <c r="PRB26" s="19"/>
      <c r="PRC26" s="19"/>
      <c r="PRD26" s="19"/>
      <c r="PRE26" s="19"/>
      <c r="PRF26" s="19"/>
      <c r="PRG26" s="19"/>
      <c r="PRH26" s="19"/>
      <c r="PRI26" s="19"/>
      <c r="PRJ26" s="19"/>
      <c r="PRK26" s="19"/>
      <c r="PRL26" s="19"/>
      <c r="PRM26" s="19"/>
      <c r="PRN26" s="19"/>
      <c r="PRO26" s="19"/>
      <c r="PRP26" s="19"/>
      <c r="PRQ26" s="19"/>
      <c r="PRR26" s="19"/>
      <c r="PRS26" s="19"/>
      <c r="PRT26" s="19"/>
      <c r="PRU26" s="19"/>
      <c r="PRV26" s="19"/>
      <c r="PRW26" s="19"/>
      <c r="PRX26" s="19"/>
      <c r="PRY26" s="19"/>
      <c r="PRZ26" s="19"/>
      <c r="PSA26" s="19"/>
      <c r="PSB26" s="19"/>
      <c r="PSC26" s="19"/>
      <c r="PSD26" s="19"/>
      <c r="PSE26" s="19"/>
      <c r="PSF26" s="19"/>
      <c r="PSG26" s="19"/>
      <c r="PSH26" s="19"/>
      <c r="PSI26" s="19"/>
      <c r="PSJ26" s="19"/>
      <c r="PSK26" s="19"/>
      <c r="PSL26" s="19"/>
      <c r="PSM26" s="19"/>
      <c r="PSN26" s="19"/>
      <c r="PSO26" s="19"/>
      <c r="PSP26" s="19"/>
      <c r="PSQ26" s="19"/>
      <c r="PSR26" s="19"/>
      <c r="PSS26" s="19"/>
      <c r="PST26" s="19"/>
      <c r="PSU26" s="19"/>
      <c r="PSV26" s="19"/>
      <c r="PSW26" s="19"/>
      <c r="PSX26" s="19"/>
      <c r="PSY26" s="19"/>
      <c r="PSZ26" s="19"/>
      <c r="PTA26" s="19"/>
      <c r="PTB26" s="19"/>
      <c r="PTC26" s="19"/>
      <c r="PTD26" s="19"/>
      <c r="PTE26" s="19"/>
      <c r="PTF26" s="19"/>
      <c r="PTG26" s="19"/>
      <c r="PTH26" s="19"/>
      <c r="PTI26" s="19"/>
      <c r="PTJ26" s="19"/>
      <c r="PTK26" s="19"/>
      <c r="PTL26" s="19"/>
      <c r="PTM26" s="19"/>
      <c r="PTN26" s="19"/>
      <c r="PTO26" s="19"/>
      <c r="PTP26" s="19"/>
      <c r="PTQ26" s="19"/>
      <c r="PTR26" s="19"/>
      <c r="PTS26" s="19"/>
      <c r="PTT26" s="19"/>
      <c r="PTU26" s="19"/>
      <c r="PTV26" s="19"/>
      <c r="PTW26" s="19"/>
      <c r="PTX26" s="19"/>
      <c r="PTY26" s="19"/>
      <c r="PTZ26" s="19"/>
      <c r="PUA26" s="19"/>
      <c r="PUB26" s="19"/>
      <c r="PUC26" s="19"/>
      <c r="PUD26" s="19"/>
      <c r="PUE26" s="19"/>
      <c r="PUF26" s="19"/>
      <c r="PUG26" s="19"/>
      <c r="PUH26" s="19"/>
      <c r="PUI26" s="19"/>
      <c r="PUJ26" s="19"/>
      <c r="PUK26" s="19"/>
      <c r="PUL26" s="19"/>
      <c r="PUM26" s="19"/>
      <c r="PUN26" s="19"/>
      <c r="PUO26" s="19"/>
      <c r="PUP26" s="19"/>
      <c r="PUQ26" s="19"/>
      <c r="PUR26" s="19"/>
      <c r="PUS26" s="19"/>
      <c r="PUT26" s="19"/>
      <c r="PUU26" s="19"/>
      <c r="PUV26" s="19"/>
      <c r="PUW26" s="19"/>
      <c r="PUX26" s="19"/>
      <c r="PUY26" s="19"/>
      <c r="PUZ26" s="19"/>
      <c r="PVA26" s="19"/>
      <c r="PVB26" s="19"/>
      <c r="PVC26" s="19"/>
      <c r="PVD26" s="19"/>
      <c r="PVE26" s="19"/>
      <c r="PVF26" s="19"/>
      <c r="PVG26" s="19"/>
      <c r="PVH26" s="19"/>
      <c r="PVI26" s="19"/>
      <c r="PVJ26" s="19"/>
      <c r="PVK26" s="19"/>
      <c r="PVL26" s="19"/>
      <c r="PVM26" s="19"/>
      <c r="PVN26" s="19"/>
      <c r="PVO26" s="19"/>
      <c r="PVP26" s="19"/>
      <c r="PVQ26" s="19"/>
      <c r="PVR26" s="19"/>
      <c r="PVS26" s="19"/>
      <c r="PVT26" s="19"/>
      <c r="PVU26" s="19"/>
      <c r="PVV26" s="19"/>
      <c r="PVW26" s="19"/>
      <c r="PVX26" s="19"/>
      <c r="PVY26" s="19"/>
      <c r="PVZ26" s="19"/>
      <c r="PWA26" s="19"/>
      <c r="PWB26" s="19"/>
      <c r="PWC26" s="19"/>
      <c r="PWD26" s="19"/>
      <c r="PWE26" s="19"/>
      <c r="PWF26" s="19"/>
      <c r="PWG26" s="19"/>
      <c r="PWH26" s="19"/>
      <c r="PWI26" s="19"/>
      <c r="PWJ26" s="19"/>
      <c r="PWK26" s="19"/>
      <c r="PWL26" s="19"/>
      <c r="PWM26" s="19"/>
      <c r="PWN26" s="19"/>
      <c r="PWO26" s="19"/>
      <c r="PWP26" s="19"/>
      <c r="PWQ26" s="19"/>
      <c r="PWR26" s="19"/>
      <c r="PWS26" s="19"/>
      <c r="PWT26" s="19"/>
      <c r="PWU26" s="19"/>
      <c r="PWV26" s="19"/>
      <c r="PWW26" s="19"/>
      <c r="PWX26" s="19"/>
      <c r="PWY26" s="19"/>
      <c r="PWZ26" s="19"/>
      <c r="PXA26" s="19"/>
      <c r="PXB26" s="19"/>
      <c r="PXC26" s="19"/>
      <c r="PXD26" s="19"/>
      <c r="PXE26" s="19"/>
      <c r="PXF26" s="19"/>
      <c r="PXG26" s="19"/>
      <c r="PXH26" s="19"/>
      <c r="PXI26" s="19"/>
      <c r="PXJ26" s="19"/>
      <c r="PXK26" s="19"/>
      <c r="PXL26" s="19"/>
      <c r="PXM26" s="19"/>
      <c r="PXN26" s="19"/>
      <c r="PXO26" s="19"/>
      <c r="PXP26" s="19"/>
      <c r="PXQ26" s="19"/>
      <c r="PXR26" s="19"/>
      <c r="PXS26" s="19"/>
      <c r="PXT26" s="19"/>
      <c r="PXU26" s="19"/>
      <c r="PXV26" s="19"/>
      <c r="PXW26" s="19"/>
      <c r="PXX26" s="19"/>
      <c r="PXY26" s="19"/>
      <c r="PXZ26" s="19"/>
      <c r="PYA26" s="19"/>
      <c r="PYB26" s="19"/>
      <c r="PYC26" s="19"/>
      <c r="PYD26" s="19"/>
      <c r="PYE26" s="19"/>
      <c r="PYF26" s="19"/>
      <c r="PYG26" s="19"/>
      <c r="PYH26" s="19"/>
      <c r="PYI26" s="19"/>
      <c r="PYJ26" s="19"/>
      <c r="PYK26" s="19"/>
      <c r="PYL26" s="19"/>
      <c r="PYM26" s="19"/>
      <c r="PYN26" s="19"/>
      <c r="PYO26" s="19"/>
      <c r="PYP26" s="19"/>
      <c r="PYQ26" s="19"/>
      <c r="PYR26" s="19"/>
      <c r="PYS26" s="19"/>
      <c r="PYT26" s="19"/>
      <c r="PYU26" s="19"/>
      <c r="PYV26" s="19"/>
      <c r="PYW26" s="19"/>
      <c r="PYX26" s="19"/>
      <c r="PYY26" s="19"/>
      <c r="PYZ26" s="19"/>
      <c r="PZA26" s="19"/>
      <c r="PZB26" s="19"/>
      <c r="PZC26" s="19"/>
      <c r="PZD26" s="19"/>
      <c r="PZE26" s="19"/>
      <c r="PZF26" s="19"/>
      <c r="PZG26" s="19"/>
      <c r="PZH26" s="19"/>
      <c r="PZI26" s="19"/>
      <c r="PZJ26" s="19"/>
      <c r="PZK26" s="19"/>
      <c r="PZL26" s="19"/>
      <c r="PZM26" s="19"/>
      <c r="PZN26" s="19"/>
      <c r="PZO26" s="19"/>
      <c r="PZP26" s="19"/>
      <c r="PZQ26" s="19"/>
      <c r="PZR26" s="19"/>
      <c r="PZS26" s="19"/>
      <c r="PZT26" s="19"/>
      <c r="PZU26" s="19"/>
      <c r="PZV26" s="19"/>
      <c r="PZW26" s="19"/>
      <c r="PZX26" s="19"/>
      <c r="PZY26" s="19"/>
      <c r="PZZ26" s="19"/>
      <c r="QAA26" s="19"/>
      <c r="QAB26" s="19"/>
      <c r="QAC26" s="19"/>
      <c r="QAD26" s="19"/>
      <c r="QAE26" s="19"/>
      <c r="QAF26" s="19"/>
      <c r="QAG26" s="19"/>
      <c r="QAH26" s="19"/>
      <c r="QAI26" s="19"/>
      <c r="QAJ26" s="19"/>
      <c r="QAK26" s="19"/>
      <c r="QAL26" s="19"/>
      <c r="QAM26" s="19"/>
      <c r="QAN26" s="19"/>
      <c r="QAO26" s="19"/>
      <c r="QAP26" s="19"/>
      <c r="QAQ26" s="19"/>
      <c r="QAR26" s="19"/>
      <c r="QAS26" s="19"/>
      <c r="QAT26" s="19"/>
      <c r="QAU26" s="19"/>
      <c r="QAV26" s="19"/>
      <c r="QAW26" s="19"/>
      <c r="QAX26" s="19"/>
      <c r="QAY26" s="19"/>
      <c r="QAZ26" s="19"/>
      <c r="QBA26" s="19"/>
      <c r="QBB26" s="19"/>
      <c r="QBC26" s="19"/>
      <c r="QBD26" s="19"/>
      <c r="QBE26" s="19"/>
      <c r="QBF26" s="19"/>
      <c r="QBG26" s="19"/>
      <c r="QBH26" s="19"/>
      <c r="QBI26" s="19"/>
      <c r="QBJ26" s="19"/>
      <c r="QBK26" s="19"/>
      <c r="QBL26" s="19"/>
      <c r="QBM26" s="19"/>
      <c r="QBN26" s="19"/>
      <c r="QBO26" s="19"/>
      <c r="QBP26" s="19"/>
      <c r="QBQ26" s="19"/>
      <c r="QBR26" s="19"/>
      <c r="QBS26" s="19"/>
      <c r="QBT26" s="19"/>
      <c r="QBU26" s="19"/>
      <c r="QBV26" s="19"/>
      <c r="QBW26" s="19"/>
      <c r="QBX26" s="19"/>
      <c r="QBY26" s="19"/>
      <c r="QBZ26" s="19"/>
      <c r="QCA26" s="19"/>
      <c r="QCB26" s="19"/>
      <c r="QCC26" s="19"/>
      <c r="QCD26" s="19"/>
      <c r="QCE26" s="19"/>
      <c r="QCF26" s="19"/>
      <c r="QCG26" s="19"/>
      <c r="QCH26" s="19"/>
      <c r="QCI26" s="19"/>
      <c r="QCJ26" s="19"/>
      <c r="QCK26" s="19"/>
      <c r="QCL26" s="19"/>
      <c r="QCM26" s="19"/>
      <c r="QCN26" s="19"/>
      <c r="QCO26" s="19"/>
      <c r="QCP26" s="19"/>
      <c r="QCQ26" s="19"/>
      <c r="QCR26" s="19"/>
      <c r="QCS26" s="19"/>
      <c r="QCT26" s="19"/>
      <c r="QCU26" s="19"/>
      <c r="QCV26" s="19"/>
      <c r="QCW26" s="19"/>
      <c r="QCX26" s="19"/>
      <c r="QCY26" s="19"/>
      <c r="QCZ26" s="19"/>
      <c r="QDA26" s="19"/>
      <c r="QDB26" s="19"/>
      <c r="QDC26" s="19"/>
      <c r="QDD26" s="19"/>
      <c r="QDE26" s="19"/>
      <c r="QDF26" s="19"/>
      <c r="QDG26" s="19"/>
      <c r="QDH26" s="19"/>
      <c r="QDI26" s="19"/>
      <c r="QDJ26" s="19"/>
      <c r="QDK26" s="19"/>
      <c r="QDL26" s="19"/>
      <c r="QDM26" s="19"/>
      <c r="QDN26" s="19"/>
      <c r="QDO26" s="19"/>
      <c r="QDP26" s="19"/>
      <c r="QDQ26" s="19"/>
      <c r="QDR26" s="19"/>
      <c r="QDS26" s="19"/>
      <c r="QDT26" s="19"/>
      <c r="QDU26" s="19"/>
      <c r="QDV26" s="19"/>
      <c r="QDW26" s="19"/>
      <c r="QDX26" s="19"/>
      <c r="QDY26" s="19"/>
      <c r="QDZ26" s="19"/>
      <c r="QEA26" s="19"/>
      <c r="QEB26" s="19"/>
      <c r="QEC26" s="19"/>
      <c r="QED26" s="19"/>
      <c r="QEE26" s="19"/>
      <c r="QEF26" s="19"/>
      <c r="QEG26" s="19"/>
      <c r="QEH26" s="19"/>
      <c r="QEI26" s="19"/>
      <c r="QEJ26" s="19"/>
      <c r="QEK26" s="19"/>
      <c r="QEL26" s="19"/>
      <c r="QEM26" s="19"/>
      <c r="QEN26" s="19"/>
      <c r="QEO26" s="19"/>
      <c r="QEP26" s="19"/>
      <c r="QEQ26" s="19"/>
      <c r="QER26" s="19"/>
      <c r="QES26" s="19"/>
      <c r="QET26" s="19"/>
      <c r="QEU26" s="19"/>
      <c r="QEV26" s="19"/>
      <c r="QEW26" s="19"/>
      <c r="QEX26" s="19"/>
      <c r="QEY26" s="19"/>
      <c r="QEZ26" s="19"/>
      <c r="QFA26" s="19"/>
      <c r="QFB26" s="19"/>
      <c r="QFC26" s="19"/>
      <c r="QFD26" s="19"/>
      <c r="QFE26" s="19"/>
      <c r="QFF26" s="19"/>
      <c r="QFG26" s="19"/>
      <c r="QFH26" s="19"/>
      <c r="QFI26" s="19"/>
      <c r="QFJ26" s="19"/>
      <c r="QFK26" s="19"/>
      <c r="QFL26" s="19"/>
      <c r="QFM26" s="19"/>
      <c r="QFN26" s="19"/>
      <c r="QFO26" s="19"/>
      <c r="QFP26" s="19"/>
      <c r="QFQ26" s="19"/>
      <c r="QFR26" s="19"/>
      <c r="QFS26" s="19"/>
      <c r="QFT26" s="19"/>
      <c r="QFU26" s="19"/>
      <c r="QFV26" s="19"/>
      <c r="QFW26" s="19"/>
      <c r="QFX26" s="19"/>
      <c r="QFY26" s="19"/>
      <c r="QFZ26" s="19"/>
      <c r="QGA26" s="19"/>
      <c r="QGB26" s="19"/>
      <c r="QGC26" s="19"/>
      <c r="QGD26" s="19"/>
      <c r="QGE26" s="19"/>
      <c r="QGF26" s="19"/>
      <c r="QGG26" s="19"/>
      <c r="QGH26" s="19"/>
      <c r="QGI26" s="19"/>
      <c r="QGJ26" s="19"/>
      <c r="QGK26" s="19"/>
      <c r="QGL26" s="19"/>
      <c r="QGM26" s="19"/>
      <c r="QGN26" s="19"/>
      <c r="QGO26" s="19"/>
      <c r="QGP26" s="19"/>
      <c r="QGQ26" s="19"/>
      <c r="QGR26" s="19"/>
      <c r="QGS26" s="19"/>
      <c r="QGT26" s="19"/>
      <c r="QGU26" s="19"/>
      <c r="QGV26" s="19"/>
      <c r="QGW26" s="19"/>
      <c r="QGX26" s="19"/>
      <c r="QGY26" s="19"/>
      <c r="QGZ26" s="19"/>
      <c r="QHA26" s="19"/>
      <c r="QHB26" s="19"/>
      <c r="QHC26" s="19"/>
      <c r="QHD26" s="19"/>
      <c r="QHE26" s="19"/>
      <c r="QHF26" s="19"/>
      <c r="QHG26" s="19"/>
      <c r="QHH26" s="19"/>
      <c r="QHI26" s="19"/>
      <c r="QHJ26" s="19"/>
      <c r="QHK26" s="19"/>
      <c r="QHL26" s="19"/>
      <c r="QHM26" s="19"/>
      <c r="QHN26" s="19"/>
      <c r="QHO26" s="19"/>
      <c r="QHP26" s="19"/>
      <c r="QHQ26" s="19"/>
      <c r="QHR26" s="19"/>
      <c r="QHS26" s="19"/>
      <c r="QHT26" s="19"/>
      <c r="QHU26" s="19"/>
      <c r="QHV26" s="19"/>
      <c r="QHW26" s="19"/>
      <c r="QHX26" s="19"/>
      <c r="QHY26" s="19"/>
      <c r="QHZ26" s="19"/>
      <c r="QIA26" s="19"/>
      <c r="QIB26" s="19"/>
      <c r="QIC26" s="19"/>
      <c r="QID26" s="19"/>
      <c r="QIE26" s="19"/>
      <c r="QIF26" s="19"/>
      <c r="QIG26" s="19"/>
      <c r="QIH26" s="19"/>
      <c r="QII26" s="19"/>
      <c r="QIJ26" s="19"/>
      <c r="QIK26" s="19"/>
      <c r="QIL26" s="19"/>
      <c r="QIM26" s="19"/>
      <c r="QIN26" s="19"/>
      <c r="QIO26" s="19"/>
      <c r="QIP26" s="19"/>
      <c r="QIQ26" s="19"/>
      <c r="QIR26" s="19"/>
      <c r="QIS26" s="19"/>
      <c r="QIT26" s="19"/>
      <c r="QIU26" s="19"/>
      <c r="QIV26" s="19"/>
      <c r="QIW26" s="19"/>
      <c r="QIX26" s="19"/>
      <c r="QIY26" s="19"/>
      <c r="QIZ26" s="19"/>
      <c r="QJA26" s="19"/>
      <c r="QJB26" s="19"/>
      <c r="QJC26" s="19"/>
      <c r="QJD26" s="19"/>
      <c r="QJE26" s="19"/>
      <c r="QJF26" s="19"/>
      <c r="QJG26" s="19"/>
      <c r="QJH26" s="19"/>
      <c r="QJI26" s="19"/>
      <c r="QJJ26" s="19"/>
      <c r="QJK26" s="19"/>
      <c r="QJL26" s="19"/>
      <c r="QJM26" s="19"/>
      <c r="QJN26" s="19"/>
      <c r="QJO26" s="19"/>
      <c r="QJP26" s="19"/>
      <c r="QJQ26" s="19"/>
      <c r="QJR26" s="19"/>
      <c r="QJS26" s="19"/>
      <c r="QJT26" s="19"/>
      <c r="QJU26" s="19"/>
      <c r="QJV26" s="19"/>
      <c r="QJW26" s="19"/>
      <c r="QJX26" s="19"/>
      <c r="QJY26" s="19"/>
      <c r="QJZ26" s="19"/>
      <c r="QKA26" s="19"/>
      <c r="QKB26" s="19"/>
      <c r="QKC26" s="19"/>
      <c r="QKD26" s="19"/>
      <c r="QKE26" s="19"/>
      <c r="QKF26" s="19"/>
      <c r="QKG26" s="19"/>
      <c r="QKH26" s="19"/>
      <c r="QKI26" s="19"/>
      <c r="QKJ26" s="19"/>
      <c r="QKK26" s="19"/>
      <c r="QKL26" s="19"/>
      <c r="QKM26" s="19"/>
      <c r="QKN26" s="19"/>
      <c r="QKO26" s="19"/>
      <c r="QKP26" s="19"/>
      <c r="QKQ26" s="19"/>
      <c r="QKR26" s="19"/>
      <c r="QKS26" s="19"/>
      <c r="QKT26" s="19"/>
      <c r="QKU26" s="19"/>
      <c r="QKV26" s="19"/>
      <c r="QKW26" s="19"/>
      <c r="QKX26" s="19"/>
      <c r="QKY26" s="19"/>
      <c r="QKZ26" s="19"/>
      <c r="QLA26" s="19"/>
      <c r="QLB26" s="19"/>
      <c r="QLC26" s="19"/>
      <c r="QLD26" s="19"/>
      <c r="QLE26" s="19"/>
      <c r="QLF26" s="19"/>
      <c r="QLG26" s="19"/>
      <c r="QLH26" s="19"/>
      <c r="QLI26" s="19"/>
      <c r="QLJ26" s="19"/>
      <c r="QLK26" s="19"/>
      <c r="QLL26" s="19"/>
      <c r="QLM26" s="19"/>
      <c r="QLN26" s="19"/>
      <c r="QLO26" s="19"/>
      <c r="QLP26" s="19"/>
      <c r="QLQ26" s="19"/>
      <c r="QLR26" s="19"/>
      <c r="QLS26" s="19"/>
      <c r="QLT26" s="19"/>
      <c r="QLU26" s="19"/>
      <c r="QLV26" s="19"/>
      <c r="QLW26" s="19"/>
      <c r="QLX26" s="19"/>
      <c r="QLY26" s="19"/>
      <c r="QLZ26" s="19"/>
      <c r="QMA26" s="19"/>
      <c r="QMB26" s="19"/>
      <c r="QMC26" s="19"/>
      <c r="QMD26" s="19"/>
      <c r="QME26" s="19"/>
      <c r="QMF26" s="19"/>
      <c r="QMG26" s="19"/>
      <c r="QMH26" s="19"/>
      <c r="QMI26" s="19"/>
      <c r="QMJ26" s="19"/>
      <c r="QMK26" s="19"/>
      <c r="QML26" s="19"/>
      <c r="QMM26" s="19"/>
      <c r="QMN26" s="19"/>
      <c r="QMO26" s="19"/>
      <c r="QMP26" s="19"/>
      <c r="QMQ26" s="19"/>
      <c r="QMR26" s="19"/>
      <c r="QMS26" s="19"/>
      <c r="QMT26" s="19"/>
      <c r="QMU26" s="19"/>
      <c r="QMV26" s="19"/>
      <c r="QMW26" s="19"/>
      <c r="QMX26" s="19"/>
      <c r="QMY26" s="19"/>
      <c r="QMZ26" s="19"/>
      <c r="QNA26" s="19"/>
      <c r="QNB26" s="19"/>
      <c r="QNC26" s="19"/>
      <c r="QND26" s="19"/>
      <c r="QNE26" s="19"/>
      <c r="QNF26" s="19"/>
      <c r="QNG26" s="19"/>
      <c r="QNH26" s="19"/>
      <c r="QNI26" s="19"/>
      <c r="QNJ26" s="19"/>
      <c r="QNK26" s="19"/>
      <c r="QNL26" s="19"/>
      <c r="QNM26" s="19"/>
      <c r="QNN26" s="19"/>
      <c r="QNO26" s="19"/>
      <c r="QNP26" s="19"/>
      <c r="QNQ26" s="19"/>
      <c r="QNR26" s="19"/>
      <c r="QNS26" s="19"/>
      <c r="QNT26" s="19"/>
      <c r="QNU26" s="19"/>
      <c r="QNV26" s="19"/>
      <c r="QNW26" s="19"/>
      <c r="QNX26" s="19"/>
      <c r="QNY26" s="19"/>
      <c r="QNZ26" s="19"/>
      <c r="QOA26" s="19"/>
      <c r="QOB26" s="19"/>
      <c r="QOC26" s="19"/>
      <c r="QOD26" s="19"/>
      <c r="QOE26" s="19"/>
      <c r="QOF26" s="19"/>
      <c r="QOG26" s="19"/>
      <c r="QOH26" s="19"/>
      <c r="QOI26" s="19"/>
      <c r="QOJ26" s="19"/>
      <c r="QOK26" s="19"/>
      <c r="QOL26" s="19"/>
      <c r="QOM26" s="19"/>
      <c r="QON26" s="19"/>
      <c r="QOO26" s="19"/>
      <c r="QOP26" s="19"/>
      <c r="QOQ26" s="19"/>
      <c r="QOR26" s="19"/>
      <c r="QOS26" s="19"/>
      <c r="QOT26" s="19"/>
      <c r="QOU26" s="19"/>
      <c r="QOV26" s="19"/>
      <c r="QOW26" s="19"/>
      <c r="QOX26" s="19"/>
      <c r="QOY26" s="19"/>
      <c r="QOZ26" s="19"/>
      <c r="QPA26" s="19"/>
      <c r="QPB26" s="19"/>
      <c r="QPC26" s="19"/>
      <c r="QPD26" s="19"/>
      <c r="QPE26" s="19"/>
      <c r="QPF26" s="19"/>
      <c r="QPG26" s="19"/>
      <c r="QPH26" s="19"/>
      <c r="QPI26" s="19"/>
      <c r="QPJ26" s="19"/>
      <c r="QPK26" s="19"/>
      <c r="QPL26" s="19"/>
      <c r="QPM26" s="19"/>
      <c r="QPN26" s="19"/>
      <c r="QPO26" s="19"/>
      <c r="QPP26" s="19"/>
      <c r="QPQ26" s="19"/>
      <c r="QPR26" s="19"/>
      <c r="QPS26" s="19"/>
      <c r="QPT26" s="19"/>
      <c r="QPU26" s="19"/>
      <c r="QPV26" s="19"/>
      <c r="QPW26" s="19"/>
      <c r="QPX26" s="19"/>
      <c r="QPY26" s="19"/>
      <c r="QPZ26" s="19"/>
      <c r="QQA26" s="19"/>
      <c r="QQB26" s="19"/>
      <c r="QQC26" s="19"/>
      <c r="QQD26" s="19"/>
      <c r="QQE26" s="19"/>
      <c r="QQF26" s="19"/>
      <c r="QQG26" s="19"/>
      <c r="QQH26" s="19"/>
      <c r="QQI26" s="19"/>
      <c r="QQJ26" s="19"/>
      <c r="QQK26" s="19"/>
      <c r="QQL26" s="19"/>
      <c r="QQM26" s="19"/>
      <c r="QQN26" s="19"/>
      <c r="QQO26" s="19"/>
      <c r="QQP26" s="19"/>
      <c r="QQQ26" s="19"/>
      <c r="QQR26" s="19"/>
      <c r="QQS26" s="19"/>
      <c r="QQT26" s="19"/>
      <c r="QQU26" s="19"/>
      <c r="QQV26" s="19"/>
      <c r="QQW26" s="19"/>
      <c r="QQX26" s="19"/>
      <c r="QQY26" s="19"/>
      <c r="QQZ26" s="19"/>
      <c r="QRA26" s="19"/>
      <c r="QRB26" s="19"/>
      <c r="QRC26" s="19"/>
      <c r="QRD26" s="19"/>
      <c r="QRE26" s="19"/>
      <c r="QRF26" s="19"/>
      <c r="QRG26" s="19"/>
      <c r="QRH26" s="19"/>
      <c r="QRI26" s="19"/>
      <c r="QRJ26" s="19"/>
      <c r="QRK26" s="19"/>
      <c r="QRL26" s="19"/>
      <c r="QRM26" s="19"/>
      <c r="QRN26" s="19"/>
      <c r="QRO26" s="19"/>
      <c r="QRP26" s="19"/>
      <c r="QRQ26" s="19"/>
      <c r="QRR26" s="19"/>
      <c r="QRS26" s="19"/>
      <c r="QRT26" s="19"/>
      <c r="QRU26" s="19"/>
      <c r="QRV26" s="19"/>
      <c r="QRW26" s="19"/>
      <c r="QRX26" s="19"/>
      <c r="QRY26" s="19"/>
      <c r="QRZ26" s="19"/>
      <c r="QSA26" s="19"/>
      <c r="QSB26" s="19"/>
      <c r="QSC26" s="19"/>
      <c r="QSD26" s="19"/>
      <c r="QSE26" s="19"/>
      <c r="QSF26" s="19"/>
      <c r="QSG26" s="19"/>
      <c r="QSH26" s="19"/>
      <c r="QSI26" s="19"/>
      <c r="QSJ26" s="19"/>
      <c r="QSK26" s="19"/>
      <c r="QSL26" s="19"/>
      <c r="QSM26" s="19"/>
      <c r="QSN26" s="19"/>
      <c r="QSO26" s="19"/>
      <c r="QSP26" s="19"/>
      <c r="QSQ26" s="19"/>
      <c r="QSR26" s="19"/>
      <c r="QSS26" s="19"/>
      <c r="QST26" s="19"/>
      <c r="QSU26" s="19"/>
      <c r="QSV26" s="19"/>
      <c r="QSW26" s="19"/>
      <c r="QSX26" s="19"/>
      <c r="QSY26" s="19"/>
      <c r="QSZ26" s="19"/>
      <c r="QTA26" s="19"/>
      <c r="QTB26" s="19"/>
      <c r="QTC26" s="19"/>
      <c r="QTD26" s="19"/>
      <c r="QTE26" s="19"/>
      <c r="QTF26" s="19"/>
      <c r="QTG26" s="19"/>
      <c r="QTH26" s="19"/>
      <c r="QTI26" s="19"/>
      <c r="QTJ26" s="19"/>
      <c r="QTK26" s="19"/>
      <c r="QTL26" s="19"/>
      <c r="QTM26" s="19"/>
      <c r="QTN26" s="19"/>
      <c r="QTO26" s="19"/>
      <c r="QTP26" s="19"/>
      <c r="QTQ26" s="19"/>
      <c r="QTR26" s="19"/>
      <c r="QTS26" s="19"/>
      <c r="QTT26" s="19"/>
      <c r="QTU26" s="19"/>
      <c r="QTV26" s="19"/>
      <c r="QTW26" s="19"/>
      <c r="QTX26" s="19"/>
      <c r="QTY26" s="19"/>
      <c r="QTZ26" s="19"/>
      <c r="QUA26" s="19"/>
      <c r="QUB26" s="19"/>
      <c r="QUC26" s="19"/>
      <c r="QUD26" s="19"/>
      <c r="QUE26" s="19"/>
      <c r="QUF26" s="19"/>
      <c r="QUG26" s="19"/>
      <c r="QUH26" s="19"/>
      <c r="QUI26" s="19"/>
      <c r="QUJ26" s="19"/>
      <c r="QUK26" s="19"/>
      <c r="QUL26" s="19"/>
      <c r="QUM26" s="19"/>
      <c r="QUN26" s="19"/>
      <c r="QUO26" s="19"/>
      <c r="QUP26" s="19"/>
      <c r="QUQ26" s="19"/>
      <c r="QUR26" s="19"/>
      <c r="QUS26" s="19"/>
      <c r="QUT26" s="19"/>
      <c r="QUU26" s="19"/>
      <c r="QUV26" s="19"/>
      <c r="QUW26" s="19"/>
      <c r="QUX26" s="19"/>
      <c r="QUY26" s="19"/>
      <c r="QUZ26" s="19"/>
      <c r="QVA26" s="19"/>
      <c r="QVB26" s="19"/>
      <c r="QVC26" s="19"/>
      <c r="QVD26" s="19"/>
      <c r="QVE26" s="19"/>
      <c r="QVF26" s="19"/>
      <c r="QVG26" s="19"/>
      <c r="QVH26" s="19"/>
      <c r="QVI26" s="19"/>
      <c r="QVJ26" s="19"/>
      <c r="QVK26" s="19"/>
      <c r="QVL26" s="19"/>
      <c r="QVM26" s="19"/>
      <c r="QVN26" s="19"/>
      <c r="QVO26" s="19"/>
      <c r="QVP26" s="19"/>
      <c r="QVQ26" s="19"/>
      <c r="QVR26" s="19"/>
      <c r="QVS26" s="19"/>
      <c r="QVT26" s="19"/>
      <c r="QVU26" s="19"/>
      <c r="QVV26" s="19"/>
      <c r="QVW26" s="19"/>
      <c r="QVX26" s="19"/>
      <c r="QVY26" s="19"/>
      <c r="QVZ26" s="19"/>
      <c r="QWA26" s="19"/>
      <c r="QWB26" s="19"/>
      <c r="QWC26" s="19"/>
      <c r="QWD26" s="19"/>
      <c r="QWE26" s="19"/>
      <c r="QWF26" s="19"/>
      <c r="QWG26" s="19"/>
      <c r="QWH26" s="19"/>
      <c r="QWI26" s="19"/>
      <c r="QWJ26" s="19"/>
      <c r="QWK26" s="19"/>
      <c r="QWL26" s="19"/>
      <c r="QWM26" s="19"/>
      <c r="QWN26" s="19"/>
      <c r="QWO26" s="19"/>
      <c r="QWP26" s="19"/>
      <c r="QWQ26" s="19"/>
      <c r="QWR26" s="19"/>
      <c r="QWS26" s="19"/>
      <c r="QWT26" s="19"/>
      <c r="QWU26" s="19"/>
      <c r="QWV26" s="19"/>
      <c r="QWW26" s="19"/>
      <c r="QWX26" s="19"/>
      <c r="QWY26" s="19"/>
      <c r="QWZ26" s="19"/>
      <c r="QXA26" s="19"/>
      <c r="QXB26" s="19"/>
      <c r="QXC26" s="19"/>
      <c r="QXD26" s="19"/>
      <c r="QXE26" s="19"/>
      <c r="QXF26" s="19"/>
      <c r="QXG26" s="19"/>
      <c r="QXH26" s="19"/>
      <c r="QXI26" s="19"/>
      <c r="QXJ26" s="19"/>
      <c r="QXK26" s="19"/>
      <c r="QXL26" s="19"/>
      <c r="QXM26" s="19"/>
      <c r="QXN26" s="19"/>
      <c r="QXO26" s="19"/>
      <c r="QXP26" s="19"/>
      <c r="QXQ26" s="19"/>
      <c r="QXR26" s="19"/>
      <c r="QXS26" s="19"/>
      <c r="QXT26" s="19"/>
      <c r="QXU26" s="19"/>
      <c r="QXV26" s="19"/>
      <c r="QXW26" s="19"/>
      <c r="QXX26" s="19"/>
      <c r="QXY26" s="19"/>
      <c r="QXZ26" s="19"/>
      <c r="QYA26" s="19"/>
      <c r="QYB26" s="19"/>
      <c r="QYC26" s="19"/>
      <c r="QYD26" s="19"/>
      <c r="QYE26" s="19"/>
      <c r="QYF26" s="19"/>
      <c r="QYG26" s="19"/>
      <c r="QYH26" s="19"/>
      <c r="QYI26" s="19"/>
      <c r="QYJ26" s="19"/>
      <c r="QYK26" s="19"/>
      <c r="QYL26" s="19"/>
      <c r="QYM26" s="19"/>
      <c r="QYN26" s="19"/>
      <c r="QYO26" s="19"/>
      <c r="QYP26" s="19"/>
      <c r="QYQ26" s="19"/>
      <c r="QYR26" s="19"/>
      <c r="QYS26" s="19"/>
      <c r="QYT26" s="19"/>
      <c r="QYU26" s="19"/>
      <c r="QYV26" s="19"/>
      <c r="QYW26" s="19"/>
      <c r="QYX26" s="19"/>
      <c r="QYY26" s="19"/>
      <c r="QYZ26" s="19"/>
      <c r="QZA26" s="19"/>
      <c r="QZB26" s="19"/>
      <c r="QZC26" s="19"/>
      <c r="QZD26" s="19"/>
      <c r="QZE26" s="19"/>
      <c r="QZF26" s="19"/>
      <c r="QZG26" s="19"/>
      <c r="QZH26" s="19"/>
      <c r="QZI26" s="19"/>
      <c r="QZJ26" s="19"/>
      <c r="QZK26" s="19"/>
      <c r="QZL26" s="19"/>
      <c r="QZM26" s="19"/>
      <c r="QZN26" s="19"/>
      <c r="QZO26" s="19"/>
      <c r="QZP26" s="19"/>
      <c r="QZQ26" s="19"/>
      <c r="QZR26" s="19"/>
      <c r="QZS26" s="19"/>
      <c r="QZT26" s="19"/>
      <c r="QZU26" s="19"/>
      <c r="QZV26" s="19"/>
      <c r="QZW26" s="19"/>
      <c r="QZX26" s="19"/>
      <c r="QZY26" s="19"/>
      <c r="QZZ26" s="19"/>
      <c r="RAA26" s="19"/>
      <c r="RAB26" s="19"/>
      <c r="RAC26" s="19"/>
      <c r="RAD26" s="19"/>
      <c r="RAE26" s="19"/>
      <c r="RAF26" s="19"/>
      <c r="RAG26" s="19"/>
      <c r="RAH26" s="19"/>
      <c r="RAI26" s="19"/>
      <c r="RAJ26" s="19"/>
      <c r="RAK26" s="19"/>
      <c r="RAL26" s="19"/>
      <c r="RAM26" s="19"/>
      <c r="RAN26" s="19"/>
      <c r="RAO26" s="19"/>
      <c r="RAP26" s="19"/>
      <c r="RAQ26" s="19"/>
      <c r="RAR26" s="19"/>
      <c r="RAS26" s="19"/>
      <c r="RAT26" s="19"/>
      <c r="RAU26" s="19"/>
      <c r="RAV26" s="19"/>
      <c r="RAW26" s="19"/>
      <c r="RAX26" s="19"/>
      <c r="RAY26" s="19"/>
      <c r="RAZ26" s="19"/>
      <c r="RBA26" s="19"/>
      <c r="RBB26" s="19"/>
      <c r="RBC26" s="19"/>
      <c r="RBD26" s="19"/>
      <c r="RBE26" s="19"/>
      <c r="RBF26" s="19"/>
      <c r="RBG26" s="19"/>
      <c r="RBH26" s="19"/>
      <c r="RBI26" s="19"/>
      <c r="RBJ26" s="19"/>
      <c r="RBK26" s="19"/>
      <c r="RBL26" s="19"/>
      <c r="RBM26" s="19"/>
      <c r="RBN26" s="19"/>
      <c r="RBO26" s="19"/>
      <c r="RBP26" s="19"/>
      <c r="RBQ26" s="19"/>
      <c r="RBR26" s="19"/>
      <c r="RBS26" s="19"/>
      <c r="RBT26" s="19"/>
      <c r="RBU26" s="19"/>
      <c r="RBV26" s="19"/>
      <c r="RBW26" s="19"/>
      <c r="RBX26" s="19"/>
      <c r="RBY26" s="19"/>
      <c r="RBZ26" s="19"/>
      <c r="RCA26" s="19"/>
      <c r="RCB26" s="19"/>
      <c r="RCC26" s="19"/>
      <c r="RCD26" s="19"/>
      <c r="RCE26" s="19"/>
      <c r="RCF26" s="19"/>
      <c r="RCG26" s="19"/>
      <c r="RCH26" s="19"/>
      <c r="RCI26" s="19"/>
      <c r="RCJ26" s="19"/>
      <c r="RCK26" s="19"/>
      <c r="RCL26" s="19"/>
      <c r="RCM26" s="19"/>
      <c r="RCN26" s="19"/>
      <c r="RCO26" s="19"/>
      <c r="RCP26" s="19"/>
      <c r="RCQ26" s="19"/>
      <c r="RCR26" s="19"/>
      <c r="RCS26" s="19"/>
      <c r="RCT26" s="19"/>
      <c r="RCU26" s="19"/>
      <c r="RCV26" s="19"/>
      <c r="RCW26" s="19"/>
      <c r="RCX26" s="19"/>
      <c r="RCY26" s="19"/>
      <c r="RCZ26" s="19"/>
      <c r="RDA26" s="19"/>
      <c r="RDB26" s="19"/>
      <c r="RDC26" s="19"/>
      <c r="RDD26" s="19"/>
      <c r="RDE26" s="19"/>
      <c r="RDF26" s="19"/>
      <c r="RDG26" s="19"/>
      <c r="RDH26" s="19"/>
      <c r="RDI26" s="19"/>
      <c r="RDJ26" s="19"/>
      <c r="RDK26" s="19"/>
      <c r="RDL26" s="19"/>
      <c r="RDM26" s="19"/>
      <c r="RDN26" s="19"/>
      <c r="RDO26" s="19"/>
      <c r="RDP26" s="19"/>
      <c r="RDQ26" s="19"/>
      <c r="RDR26" s="19"/>
      <c r="RDS26" s="19"/>
      <c r="RDT26" s="19"/>
      <c r="RDU26" s="19"/>
      <c r="RDV26" s="19"/>
      <c r="RDW26" s="19"/>
      <c r="RDX26" s="19"/>
      <c r="RDY26" s="19"/>
      <c r="RDZ26" s="19"/>
      <c r="REA26" s="19"/>
      <c r="REB26" s="19"/>
      <c r="REC26" s="19"/>
      <c r="RED26" s="19"/>
      <c r="REE26" s="19"/>
      <c r="REF26" s="19"/>
      <c r="REG26" s="19"/>
      <c r="REH26" s="19"/>
      <c r="REI26" s="19"/>
      <c r="REJ26" s="19"/>
      <c r="REK26" s="19"/>
      <c r="REL26" s="19"/>
      <c r="REM26" s="19"/>
      <c r="REN26" s="19"/>
      <c r="REO26" s="19"/>
      <c r="REP26" s="19"/>
      <c r="REQ26" s="19"/>
      <c r="RER26" s="19"/>
      <c r="RES26" s="19"/>
      <c r="RET26" s="19"/>
      <c r="REU26" s="19"/>
      <c r="REV26" s="19"/>
      <c r="REW26" s="19"/>
      <c r="REX26" s="19"/>
      <c r="REY26" s="19"/>
      <c r="REZ26" s="19"/>
      <c r="RFA26" s="19"/>
      <c r="RFB26" s="19"/>
      <c r="RFC26" s="19"/>
      <c r="RFD26" s="19"/>
      <c r="RFE26" s="19"/>
      <c r="RFF26" s="19"/>
      <c r="RFG26" s="19"/>
      <c r="RFH26" s="19"/>
      <c r="RFI26" s="19"/>
      <c r="RFJ26" s="19"/>
      <c r="RFK26" s="19"/>
      <c r="RFL26" s="19"/>
      <c r="RFM26" s="19"/>
      <c r="RFN26" s="19"/>
      <c r="RFO26" s="19"/>
      <c r="RFP26" s="19"/>
      <c r="RFQ26" s="19"/>
      <c r="RFR26" s="19"/>
      <c r="RFS26" s="19"/>
      <c r="RFT26" s="19"/>
      <c r="RFU26" s="19"/>
      <c r="RFV26" s="19"/>
      <c r="RFW26" s="19"/>
      <c r="RFX26" s="19"/>
      <c r="RFY26" s="19"/>
      <c r="RFZ26" s="19"/>
      <c r="RGA26" s="19"/>
      <c r="RGB26" s="19"/>
      <c r="RGC26" s="19"/>
      <c r="RGD26" s="19"/>
      <c r="RGE26" s="19"/>
      <c r="RGF26" s="19"/>
      <c r="RGG26" s="19"/>
      <c r="RGH26" s="19"/>
      <c r="RGI26" s="19"/>
      <c r="RGJ26" s="19"/>
      <c r="RGK26" s="19"/>
      <c r="RGL26" s="19"/>
      <c r="RGM26" s="19"/>
      <c r="RGN26" s="19"/>
      <c r="RGO26" s="19"/>
      <c r="RGP26" s="19"/>
      <c r="RGQ26" s="19"/>
      <c r="RGR26" s="19"/>
      <c r="RGS26" s="19"/>
      <c r="RGT26" s="19"/>
      <c r="RGU26" s="19"/>
      <c r="RGV26" s="19"/>
      <c r="RGW26" s="19"/>
      <c r="RGX26" s="19"/>
      <c r="RGY26" s="19"/>
      <c r="RGZ26" s="19"/>
      <c r="RHA26" s="19"/>
      <c r="RHB26" s="19"/>
      <c r="RHC26" s="19"/>
      <c r="RHD26" s="19"/>
      <c r="RHE26" s="19"/>
      <c r="RHF26" s="19"/>
      <c r="RHG26" s="19"/>
      <c r="RHH26" s="19"/>
      <c r="RHI26" s="19"/>
      <c r="RHJ26" s="19"/>
      <c r="RHK26" s="19"/>
      <c r="RHL26" s="19"/>
      <c r="RHM26" s="19"/>
      <c r="RHN26" s="19"/>
      <c r="RHO26" s="19"/>
      <c r="RHP26" s="19"/>
      <c r="RHQ26" s="19"/>
      <c r="RHR26" s="19"/>
      <c r="RHS26" s="19"/>
      <c r="RHT26" s="19"/>
      <c r="RHU26" s="19"/>
      <c r="RHV26" s="19"/>
      <c r="RHW26" s="19"/>
      <c r="RHX26" s="19"/>
      <c r="RHY26" s="19"/>
      <c r="RHZ26" s="19"/>
      <c r="RIA26" s="19"/>
      <c r="RIB26" s="19"/>
      <c r="RIC26" s="19"/>
      <c r="RID26" s="19"/>
      <c r="RIE26" s="19"/>
      <c r="RIF26" s="19"/>
      <c r="RIG26" s="19"/>
      <c r="RIH26" s="19"/>
      <c r="RII26" s="19"/>
      <c r="RIJ26" s="19"/>
      <c r="RIK26" s="19"/>
      <c r="RIL26" s="19"/>
      <c r="RIM26" s="19"/>
      <c r="RIN26" s="19"/>
      <c r="RIO26" s="19"/>
      <c r="RIP26" s="19"/>
      <c r="RIQ26" s="19"/>
      <c r="RIR26" s="19"/>
      <c r="RIS26" s="19"/>
      <c r="RIT26" s="19"/>
      <c r="RIU26" s="19"/>
      <c r="RIV26" s="19"/>
      <c r="RIW26" s="19"/>
      <c r="RIX26" s="19"/>
      <c r="RIY26" s="19"/>
      <c r="RIZ26" s="19"/>
      <c r="RJA26" s="19"/>
      <c r="RJB26" s="19"/>
      <c r="RJC26" s="19"/>
      <c r="RJD26" s="19"/>
      <c r="RJE26" s="19"/>
      <c r="RJF26" s="19"/>
      <c r="RJG26" s="19"/>
      <c r="RJH26" s="19"/>
      <c r="RJI26" s="19"/>
      <c r="RJJ26" s="19"/>
      <c r="RJK26" s="19"/>
      <c r="RJL26" s="19"/>
      <c r="RJM26" s="19"/>
      <c r="RJN26" s="19"/>
      <c r="RJO26" s="19"/>
      <c r="RJP26" s="19"/>
      <c r="RJQ26" s="19"/>
      <c r="RJR26" s="19"/>
      <c r="RJS26" s="19"/>
      <c r="RJT26" s="19"/>
      <c r="RJU26" s="19"/>
      <c r="RJV26" s="19"/>
      <c r="RJW26" s="19"/>
      <c r="RJX26" s="19"/>
      <c r="RJY26" s="19"/>
      <c r="RJZ26" s="19"/>
      <c r="RKA26" s="19"/>
      <c r="RKB26" s="19"/>
      <c r="RKC26" s="19"/>
      <c r="RKD26" s="19"/>
      <c r="RKE26" s="19"/>
      <c r="RKF26" s="19"/>
      <c r="RKG26" s="19"/>
      <c r="RKH26" s="19"/>
      <c r="RKI26" s="19"/>
      <c r="RKJ26" s="19"/>
      <c r="RKK26" s="19"/>
      <c r="RKL26" s="19"/>
      <c r="RKM26" s="19"/>
      <c r="RKN26" s="19"/>
      <c r="RKO26" s="19"/>
      <c r="RKP26" s="19"/>
      <c r="RKQ26" s="19"/>
      <c r="RKR26" s="19"/>
      <c r="RKS26" s="19"/>
      <c r="RKT26" s="19"/>
      <c r="RKU26" s="19"/>
      <c r="RKV26" s="19"/>
      <c r="RKW26" s="19"/>
      <c r="RKX26" s="19"/>
      <c r="RKY26" s="19"/>
      <c r="RKZ26" s="19"/>
      <c r="RLA26" s="19"/>
      <c r="RLB26" s="19"/>
      <c r="RLC26" s="19"/>
      <c r="RLD26" s="19"/>
      <c r="RLE26" s="19"/>
      <c r="RLF26" s="19"/>
      <c r="RLG26" s="19"/>
      <c r="RLH26" s="19"/>
      <c r="RLI26" s="19"/>
      <c r="RLJ26" s="19"/>
      <c r="RLK26" s="19"/>
      <c r="RLL26" s="19"/>
      <c r="RLM26" s="19"/>
      <c r="RLN26" s="19"/>
      <c r="RLO26" s="19"/>
      <c r="RLP26" s="19"/>
      <c r="RLQ26" s="19"/>
      <c r="RLR26" s="19"/>
      <c r="RLS26" s="19"/>
      <c r="RLT26" s="19"/>
      <c r="RLU26" s="19"/>
      <c r="RLV26" s="19"/>
      <c r="RLW26" s="19"/>
      <c r="RLX26" s="19"/>
      <c r="RLY26" s="19"/>
      <c r="RLZ26" s="19"/>
      <c r="RMA26" s="19"/>
      <c r="RMB26" s="19"/>
      <c r="RMC26" s="19"/>
      <c r="RMD26" s="19"/>
      <c r="RME26" s="19"/>
      <c r="RMF26" s="19"/>
      <c r="RMG26" s="19"/>
      <c r="RMH26" s="19"/>
      <c r="RMI26" s="19"/>
      <c r="RMJ26" s="19"/>
      <c r="RMK26" s="19"/>
      <c r="RML26" s="19"/>
      <c r="RMM26" s="19"/>
      <c r="RMN26" s="19"/>
      <c r="RMO26" s="19"/>
      <c r="RMP26" s="19"/>
      <c r="RMQ26" s="19"/>
      <c r="RMR26" s="19"/>
      <c r="RMS26" s="19"/>
      <c r="RMT26" s="19"/>
      <c r="RMU26" s="19"/>
      <c r="RMV26" s="19"/>
      <c r="RMW26" s="19"/>
      <c r="RMX26" s="19"/>
      <c r="RMY26" s="19"/>
      <c r="RMZ26" s="19"/>
      <c r="RNA26" s="19"/>
      <c r="RNB26" s="19"/>
      <c r="RNC26" s="19"/>
      <c r="RND26" s="19"/>
      <c r="RNE26" s="19"/>
      <c r="RNF26" s="19"/>
      <c r="RNG26" s="19"/>
      <c r="RNH26" s="19"/>
      <c r="RNI26" s="19"/>
      <c r="RNJ26" s="19"/>
      <c r="RNK26" s="19"/>
      <c r="RNL26" s="19"/>
      <c r="RNM26" s="19"/>
      <c r="RNN26" s="19"/>
      <c r="RNO26" s="19"/>
      <c r="RNP26" s="19"/>
      <c r="RNQ26" s="19"/>
      <c r="RNR26" s="19"/>
      <c r="RNS26" s="19"/>
      <c r="RNT26" s="19"/>
      <c r="RNU26" s="19"/>
      <c r="RNV26" s="19"/>
      <c r="RNW26" s="19"/>
      <c r="RNX26" s="19"/>
      <c r="RNY26" s="19"/>
      <c r="RNZ26" s="19"/>
      <c r="ROA26" s="19"/>
      <c r="ROB26" s="19"/>
      <c r="ROC26" s="19"/>
      <c r="ROD26" s="19"/>
      <c r="ROE26" s="19"/>
      <c r="ROF26" s="19"/>
      <c r="ROG26" s="19"/>
      <c r="ROH26" s="19"/>
      <c r="ROI26" s="19"/>
      <c r="ROJ26" s="19"/>
      <c r="ROK26" s="19"/>
      <c r="ROL26" s="19"/>
      <c r="ROM26" s="19"/>
      <c r="RON26" s="19"/>
      <c r="ROO26" s="19"/>
      <c r="ROP26" s="19"/>
      <c r="ROQ26" s="19"/>
      <c r="ROR26" s="19"/>
      <c r="ROS26" s="19"/>
      <c r="ROT26" s="19"/>
      <c r="ROU26" s="19"/>
      <c r="ROV26" s="19"/>
      <c r="ROW26" s="19"/>
      <c r="ROX26" s="19"/>
      <c r="ROY26" s="19"/>
      <c r="ROZ26" s="19"/>
      <c r="RPA26" s="19"/>
      <c r="RPB26" s="19"/>
      <c r="RPC26" s="19"/>
      <c r="RPD26" s="19"/>
      <c r="RPE26" s="19"/>
      <c r="RPF26" s="19"/>
      <c r="RPG26" s="19"/>
      <c r="RPH26" s="19"/>
      <c r="RPI26" s="19"/>
      <c r="RPJ26" s="19"/>
      <c r="RPK26" s="19"/>
      <c r="RPL26" s="19"/>
      <c r="RPM26" s="19"/>
      <c r="RPN26" s="19"/>
      <c r="RPO26" s="19"/>
      <c r="RPP26" s="19"/>
      <c r="RPQ26" s="19"/>
      <c r="RPR26" s="19"/>
      <c r="RPS26" s="19"/>
      <c r="RPT26" s="19"/>
      <c r="RPU26" s="19"/>
      <c r="RPV26" s="19"/>
      <c r="RPW26" s="19"/>
      <c r="RPX26" s="19"/>
      <c r="RPY26" s="19"/>
      <c r="RPZ26" s="19"/>
      <c r="RQA26" s="19"/>
      <c r="RQB26" s="19"/>
      <c r="RQC26" s="19"/>
      <c r="RQD26" s="19"/>
      <c r="RQE26" s="19"/>
      <c r="RQF26" s="19"/>
      <c r="RQG26" s="19"/>
      <c r="RQH26" s="19"/>
      <c r="RQI26" s="19"/>
      <c r="RQJ26" s="19"/>
      <c r="RQK26" s="19"/>
      <c r="RQL26" s="19"/>
      <c r="RQM26" s="19"/>
      <c r="RQN26" s="19"/>
      <c r="RQO26" s="19"/>
      <c r="RQP26" s="19"/>
      <c r="RQQ26" s="19"/>
      <c r="RQR26" s="19"/>
      <c r="RQS26" s="19"/>
      <c r="RQT26" s="19"/>
      <c r="RQU26" s="19"/>
      <c r="RQV26" s="19"/>
      <c r="RQW26" s="19"/>
      <c r="RQX26" s="19"/>
      <c r="RQY26" s="19"/>
      <c r="RQZ26" s="19"/>
      <c r="RRA26" s="19"/>
      <c r="RRB26" s="19"/>
      <c r="RRC26" s="19"/>
      <c r="RRD26" s="19"/>
      <c r="RRE26" s="19"/>
      <c r="RRF26" s="19"/>
      <c r="RRG26" s="19"/>
      <c r="RRH26" s="19"/>
      <c r="RRI26" s="19"/>
      <c r="RRJ26" s="19"/>
      <c r="RRK26" s="19"/>
      <c r="RRL26" s="19"/>
      <c r="RRM26" s="19"/>
      <c r="RRN26" s="19"/>
      <c r="RRO26" s="19"/>
      <c r="RRP26" s="19"/>
      <c r="RRQ26" s="19"/>
      <c r="RRR26" s="19"/>
      <c r="RRS26" s="19"/>
      <c r="RRT26" s="19"/>
      <c r="RRU26" s="19"/>
      <c r="RRV26" s="19"/>
      <c r="RRW26" s="19"/>
      <c r="RRX26" s="19"/>
      <c r="RRY26" s="19"/>
      <c r="RRZ26" s="19"/>
      <c r="RSA26" s="19"/>
      <c r="RSB26" s="19"/>
      <c r="RSC26" s="19"/>
      <c r="RSD26" s="19"/>
      <c r="RSE26" s="19"/>
      <c r="RSF26" s="19"/>
      <c r="RSG26" s="19"/>
      <c r="RSH26" s="19"/>
      <c r="RSI26" s="19"/>
      <c r="RSJ26" s="19"/>
      <c r="RSK26" s="19"/>
      <c r="RSL26" s="19"/>
      <c r="RSM26" s="19"/>
      <c r="RSN26" s="19"/>
      <c r="RSO26" s="19"/>
      <c r="RSP26" s="19"/>
      <c r="RSQ26" s="19"/>
      <c r="RSR26" s="19"/>
      <c r="RSS26" s="19"/>
      <c r="RST26" s="19"/>
      <c r="RSU26" s="19"/>
      <c r="RSV26" s="19"/>
      <c r="RSW26" s="19"/>
      <c r="RSX26" s="19"/>
      <c r="RSY26" s="19"/>
      <c r="RSZ26" s="19"/>
      <c r="RTA26" s="19"/>
      <c r="RTB26" s="19"/>
      <c r="RTC26" s="19"/>
      <c r="RTD26" s="19"/>
      <c r="RTE26" s="19"/>
      <c r="RTF26" s="19"/>
      <c r="RTG26" s="19"/>
      <c r="RTH26" s="19"/>
      <c r="RTI26" s="19"/>
      <c r="RTJ26" s="19"/>
      <c r="RTK26" s="19"/>
      <c r="RTL26" s="19"/>
      <c r="RTM26" s="19"/>
      <c r="RTN26" s="19"/>
      <c r="RTO26" s="19"/>
      <c r="RTP26" s="19"/>
      <c r="RTQ26" s="19"/>
      <c r="RTR26" s="19"/>
      <c r="RTS26" s="19"/>
      <c r="RTT26" s="19"/>
      <c r="RTU26" s="19"/>
      <c r="RTV26" s="19"/>
      <c r="RTW26" s="19"/>
      <c r="RTX26" s="19"/>
      <c r="RTY26" s="19"/>
      <c r="RTZ26" s="19"/>
      <c r="RUA26" s="19"/>
      <c r="RUB26" s="19"/>
      <c r="RUC26" s="19"/>
      <c r="RUD26" s="19"/>
      <c r="RUE26" s="19"/>
      <c r="RUF26" s="19"/>
      <c r="RUG26" s="19"/>
      <c r="RUH26" s="19"/>
      <c r="RUI26" s="19"/>
      <c r="RUJ26" s="19"/>
      <c r="RUK26" s="19"/>
      <c r="RUL26" s="19"/>
      <c r="RUM26" s="19"/>
      <c r="RUN26" s="19"/>
      <c r="RUO26" s="19"/>
      <c r="RUP26" s="19"/>
      <c r="RUQ26" s="19"/>
      <c r="RUR26" s="19"/>
      <c r="RUS26" s="19"/>
      <c r="RUT26" s="19"/>
      <c r="RUU26" s="19"/>
      <c r="RUV26" s="19"/>
      <c r="RUW26" s="19"/>
      <c r="RUX26" s="19"/>
      <c r="RUY26" s="19"/>
      <c r="RUZ26" s="19"/>
      <c r="RVA26" s="19"/>
      <c r="RVB26" s="19"/>
      <c r="RVC26" s="19"/>
      <c r="RVD26" s="19"/>
      <c r="RVE26" s="19"/>
      <c r="RVF26" s="19"/>
      <c r="RVG26" s="19"/>
      <c r="RVH26" s="19"/>
      <c r="RVI26" s="19"/>
      <c r="RVJ26" s="19"/>
      <c r="RVK26" s="19"/>
      <c r="RVL26" s="19"/>
      <c r="RVM26" s="19"/>
      <c r="RVN26" s="19"/>
      <c r="RVO26" s="19"/>
      <c r="RVP26" s="19"/>
      <c r="RVQ26" s="19"/>
      <c r="RVR26" s="19"/>
      <c r="RVS26" s="19"/>
      <c r="RVT26" s="19"/>
      <c r="RVU26" s="19"/>
      <c r="RVV26" s="19"/>
      <c r="RVW26" s="19"/>
      <c r="RVX26" s="19"/>
      <c r="RVY26" s="19"/>
      <c r="RVZ26" s="19"/>
      <c r="RWA26" s="19"/>
      <c r="RWB26" s="19"/>
      <c r="RWC26" s="19"/>
      <c r="RWD26" s="19"/>
      <c r="RWE26" s="19"/>
      <c r="RWF26" s="19"/>
      <c r="RWG26" s="19"/>
      <c r="RWH26" s="19"/>
      <c r="RWI26" s="19"/>
      <c r="RWJ26" s="19"/>
      <c r="RWK26" s="19"/>
      <c r="RWL26" s="19"/>
      <c r="RWM26" s="19"/>
      <c r="RWN26" s="19"/>
      <c r="RWO26" s="19"/>
      <c r="RWP26" s="19"/>
      <c r="RWQ26" s="19"/>
      <c r="RWR26" s="19"/>
      <c r="RWS26" s="19"/>
      <c r="RWT26" s="19"/>
      <c r="RWU26" s="19"/>
      <c r="RWV26" s="19"/>
      <c r="RWW26" s="19"/>
      <c r="RWX26" s="19"/>
      <c r="RWY26" s="19"/>
      <c r="RWZ26" s="19"/>
      <c r="RXA26" s="19"/>
      <c r="RXB26" s="19"/>
      <c r="RXC26" s="19"/>
      <c r="RXD26" s="19"/>
      <c r="RXE26" s="19"/>
      <c r="RXF26" s="19"/>
      <c r="RXG26" s="19"/>
      <c r="RXH26" s="19"/>
      <c r="RXI26" s="19"/>
      <c r="RXJ26" s="19"/>
      <c r="RXK26" s="19"/>
      <c r="RXL26" s="19"/>
      <c r="RXM26" s="19"/>
      <c r="RXN26" s="19"/>
      <c r="RXO26" s="19"/>
      <c r="RXP26" s="19"/>
      <c r="RXQ26" s="19"/>
      <c r="RXR26" s="19"/>
      <c r="RXS26" s="19"/>
      <c r="RXT26" s="19"/>
      <c r="RXU26" s="19"/>
      <c r="RXV26" s="19"/>
      <c r="RXW26" s="19"/>
      <c r="RXX26" s="19"/>
      <c r="RXY26" s="19"/>
      <c r="RXZ26" s="19"/>
      <c r="RYA26" s="19"/>
      <c r="RYB26" s="19"/>
      <c r="RYC26" s="19"/>
      <c r="RYD26" s="19"/>
      <c r="RYE26" s="19"/>
      <c r="RYF26" s="19"/>
      <c r="RYG26" s="19"/>
      <c r="RYH26" s="19"/>
      <c r="RYI26" s="19"/>
      <c r="RYJ26" s="19"/>
      <c r="RYK26" s="19"/>
      <c r="RYL26" s="19"/>
      <c r="RYM26" s="19"/>
      <c r="RYN26" s="19"/>
      <c r="RYO26" s="19"/>
      <c r="RYP26" s="19"/>
      <c r="RYQ26" s="19"/>
      <c r="RYR26" s="19"/>
      <c r="RYS26" s="19"/>
      <c r="RYT26" s="19"/>
      <c r="RYU26" s="19"/>
      <c r="RYV26" s="19"/>
      <c r="RYW26" s="19"/>
      <c r="RYX26" s="19"/>
      <c r="RYY26" s="19"/>
      <c r="RYZ26" s="19"/>
      <c r="RZA26" s="19"/>
      <c r="RZB26" s="19"/>
      <c r="RZC26" s="19"/>
      <c r="RZD26" s="19"/>
      <c r="RZE26" s="19"/>
      <c r="RZF26" s="19"/>
      <c r="RZG26" s="19"/>
      <c r="RZH26" s="19"/>
      <c r="RZI26" s="19"/>
      <c r="RZJ26" s="19"/>
      <c r="RZK26" s="19"/>
      <c r="RZL26" s="19"/>
      <c r="RZM26" s="19"/>
      <c r="RZN26" s="19"/>
      <c r="RZO26" s="19"/>
      <c r="RZP26" s="19"/>
      <c r="RZQ26" s="19"/>
      <c r="RZR26" s="19"/>
      <c r="RZS26" s="19"/>
      <c r="RZT26" s="19"/>
      <c r="RZU26" s="19"/>
      <c r="RZV26" s="19"/>
      <c r="RZW26" s="19"/>
      <c r="RZX26" s="19"/>
      <c r="RZY26" s="19"/>
      <c r="RZZ26" s="19"/>
      <c r="SAA26" s="19"/>
      <c r="SAB26" s="19"/>
      <c r="SAC26" s="19"/>
      <c r="SAD26" s="19"/>
      <c r="SAE26" s="19"/>
      <c r="SAF26" s="19"/>
      <c r="SAG26" s="19"/>
      <c r="SAH26" s="19"/>
      <c r="SAI26" s="19"/>
      <c r="SAJ26" s="19"/>
      <c r="SAK26" s="19"/>
      <c r="SAL26" s="19"/>
      <c r="SAM26" s="19"/>
      <c r="SAN26" s="19"/>
      <c r="SAO26" s="19"/>
      <c r="SAP26" s="19"/>
      <c r="SAQ26" s="19"/>
      <c r="SAR26" s="19"/>
      <c r="SAS26" s="19"/>
      <c r="SAT26" s="19"/>
      <c r="SAU26" s="19"/>
      <c r="SAV26" s="19"/>
      <c r="SAW26" s="19"/>
      <c r="SAX26" s="19"/>
      <c r="SAY26" s="19"/>
      <c r="SAZ26" s="19"/>
      <c r="SBA26" s="19"/>
      <c r="SBB26" s="19"/>
      <c r="SBC26" s="19"/>
      <c r="SBD26" s="19"/>
      <c r="SBE26" s="19"/>
      <c r="SBF26" s="19"/>
      <c r="SBG26" s="19"/>
      <c r="SBH26" s="19"/>
      <c r="SBI26" s="19"/>
      <c r="SBJ26" s="19"/>
      <c r="SBK26" s="19"/>
      <c r="SBL26" s="19"/>
      <c r="SBM26" s="19"/>
      <c r="SBN26" s="19"/>
      <c r="SBO26" s="19"/>
      <c r="SBP26" s="19"/>
      <c r="SBQ26" s="19"/>
      <c r="SBR26" s="19"/>
      <c r="SBS26" s="19"/>
      <c r="SBT26" s="19"/>
      <c r="SBU26" s="19"/>
      <c r="SBV26" s="19"/>
      <c r="SBW26" s="19"/>
      <c r="SBX26" s="19"/>
      <c r="SBY26" s="19"/>
      <c r="SBZ26" s="19"/>
      <c r="SCA26" s="19"/>
      <c r="SCB26" s="19"/>
      <c r="SCC26" s="19"/>
      <c r="SCD26" s="19"/>
      <c r="SCE26" s="19"/>
      <c r="SCF26" s="19"/>
      <c r="SCG26" s="19"/>
      <c r="SCH26" s="19"/>
      <c r="SCI26" s="19"/>
      <c r="SCJ26" s="19"/>
      <c r="SCK26" s="19"/>
      <c r="SCL26" s="19"/>
      <c r="SCM26" s="19"/>
      <c r="SCN26" s="19"/>
      <c r="SCO26" s="19"/>
      <c r="SCP26" s="19"/>
      <c r="SCQ26" s="19"/>
      <c r="SCR26" s="19"/>
      <c r="SCS26" s="19"/>
      <c r="SCT26" s="19"/>
      <c r="SCU26" s="19"/>
      <c r="SCV26" s="19"/>
      <c r="SCW26" s="19"/>
      <c r="SCX26" s="19"/>
      <c r="SCY26" s="19"/>
      <c r="SCZ26" s="19"/>
      <c r="SDA26" s="19"/>
      <c r="SDB26" s="19"/>
      <c r="SDC26" s="19"/>
      <c r="SDD26" s="19"/>
      <c r="SDE26" s="19"/>
      <c r="SDF26" s="19"/>
      <c r="SDG26" s="19"/>
      <c r="SDH26" s="19"/>
      <c r="SDI26" s="19"/>
      <c r="SDJ26" s="19"/>
      <c r="SDK26" s="19"/>
      <c r="SDL26" s="19"/>
      <c r="SDM26" s="19"/>
      <c r="SDN26" s="19"/>
      <c r="SDO26" s="19"/>
      <c r="SDP26" s="19"/>
      <c r="SDQ26" s="19"/>
      <c r="SDR26" s="19"/>
      <c r="SDS26" s="19"/>
      <c r="SDT26" s="19"/>
      <c r="SDU26" s="19"/>
      <c r="SDV26" s="19"/>
      <c r="SDW26" s="19"/>
      <c r="SDX26" s="19"/>
      <c r="SDY26" s="19"/>
      <c r="SDZ26" s="19"/>
      <c r="SEA26" s="19"/>
      <c r="SEB26" s="19"/>
      <c r="SEC26" s="19"/>
      <c r="SED26" s="19"/>
      <c r="SEE26" s="19"/>
      <c r="SEF26" s="19"/>
      <c r="SEG26" s="19"/>
      <c r="SEH26" s="19"/>
      <c r="SEI26" s="19"/>
      <c r="SEJ26" s="19"/>
      <c r="SEK26" s="19"/>
      <c r="SEL26" s="19"/>
      <c r="SEM26" s="19"/>
      <c r="SEN26" s="19"/>
      <c r="SEO26" s="19"/>
      <c r="SEP26" s="19"/>
      <c r="SEQ26" s="19"/>
      <c r="SER26" s="19"/>
      <c r="SES26" s="19"/>
      <c r="SET26" s="19"/>
      <c r="SEU26" s="19"/>
      <c r="SEV26" s="19"/>
      <c r="SEW26" s="19"/>
      <c r="SEX26" s="19"/>
      <c r="SEY26" s="19"/>
      <c r="SEZ26" s="19"/>
      <c r="SFA26" s="19"/>
      <c r="SFB26" s="19"/>
      <c r="SFC26" s="19"/>
      <c r="SFD26" s="19"/>
      <c r="SFE26" s="19"/>
      <c r="SFF26" s="19"/>
      <c r="SFG26" s="19"/>
      <c r="SFH26" s="19"/>
      <c r="SFI26" s="19"/>
      <c r="SFJ26" s="19"/>
      <c r="SFK26" s="19"/>
      <c r="SFL26" s="19"/>
      <c r="SFM26" s="19"/>
      <c r="SFN26" s="19"/>
      <c r="SFO26" s="19"/>
      <c r="SFP26" s="19"/>
      <c r="SFQ26" s="19"/>
      <c r="SFR26" s="19"/>
      <c r="SFS26" s="19"/>
      <c r="SFT26" s="19"/>
      <c r="SFU26" s="19"/>
      <c r="SFV26" s="19"/>
      <c r="SFW26" s="19"/>
      <c r="SFX26" s="19"/>
      <c r="SFY26" s="19"/>
      <c r="SFZ26" s="19"/>
      <c r="SGA26" s="19"/>
      <c r="SGB26" s="19"/>
      <c r="SGC26" s="19"/>
      <c r="SGD26" s="19"/>
      <c r="SGE26" s="19"/>
      <c r="SGF26" s="19"/>
      <c r="SGG26" s="19"/>
      <c r="SGH26" s="19"/>
      <c r="SGI26" s="19"/>
      <c r="SGJ26" s="19"/>
      <c r="SGK26" s="19"/>
      <c r="SGL26" s="19"/>
      <c r="SGM26" s="19"/>
      <c r="SGN26" s="19"/>
      <c r="SGO26" s="19"/>
      <c r="SGP26" s="19"/>
      <c r="SGQ26" s="19"/>
      <c r="SGR26" s="19"/>
      <c r="SGS26" s="19"/>
      <c r="SGT26" s="19"/>
      <c r="SGU26" s="19"/>
      <c r="SGV26" s="19"/>
      <c r="SGW26" s="19"/>
      <c r="SGX26" s="19"/>
      <c r="SGY26" s="19"/>
      <c r="SGZ26" s="19"/>
      <c r="SHA26" s="19"/>
      <c r="SHB26" s="19"/>
      <c r="SHC26" s="19"/>
      <c r="SHD26" s="19"/>
      <c r="SHE26" s="19"/>
      <c r="SHF26" s="19"/>
      <c r="SHG26" s="19"/>
      <c r="SHH26" s="19"/>
      <c r="SHI26" s="19"/>
      <c r="SHJ26" s="19"/>
      <c r="SHK26" s="19"/>
      <c r="SHL26" s="19"/>
      <c r="SHM26" s="19"/>
      <c r="SHN26" s="19"/>
      <c r="SHO26" s="19"/>
      <c r="SHP26" s="19"/>
      <c r="SHQ26" s="19"/>
      <c r="SHR26" s="19"/>
      <c r="SHS26" s="19"/>
      <c r="SHT26" s="19"/>
      <c r="SHU26" s="19"/>
      <c r="SHV26" s="19"/>
      <c r="SHW26" s="19"/>
      <c r="SHX26" s="19"/>
      <c r="SHY26" s="19"/>
      <c r="SHZ26" s="19"/>
      <c r="SIA26" s="19"/>
      <c r="SIB26" s="19"/>
      <c r="SIC26" s="19"/>
      <c r="SID26" s="19"/>
      <c r="SIE26" s="19"/>
      <c r="SIF26" s="19"/>
      <c r="SIG26" s="19"/>
      <c r="SIH26" s="19"/>
      <c r="SII26" s="19"/>
      <c r="SIJ26" s="19"/>
      <c r="SIK26" s="19"/>
      <c r="SIL26" s="19"/>
      <c r="SIM26" s="19"/>
      <c r="SIN26" s="19"/>
      <c r="SIO26" s="19"/>
      <c r="SIP26" s="19"/>
      <c r="SIQ26" s="19"/>
      <c r="SIR26" s="19"/>
      <c r="SIS26" s="19"/>
      <c r="SIT26" s="19"/>
      <c r="SIU26" s="19"/>
      <c r="SIV26" s="19"/>
      <c r="SIW26" s="19"/>
      <c r="SIX26" s="19"/>
      <c r="SIY26" s="19"/>
      <c r="SIZ26" s="19"/>
      <c r="SJA26" s="19"/>
      <c r="SJB26" s="19"/>
      <c r="SJC26" s="19"/>
      <c r="SJD26" s="19"/>
      <c r="SJE26" s="19"/>
      <c r="SJF26" s="19"/>
      <c r="SJG26" s="19"/>
      <c r="SJH26" s="19"/>
      <c r="SJI26" s="19"/>
      <c r="SJJ26" s="19"/>
      <c r="SJK26" s="19"/>
      <c r="SJL26" s="19"/>
      <c r="SJM26" s="19"/>
      <c r="SJN26" s="19"/>
      <c r="SJO26" s="19"/>
      <c r="SJP26" s="19"/>
      <c r="SJQ26" s="19"/>
      <c r="SJR26" s="19"/>
      <c r="SJS26" s="19"/>
      <c r="SJT26" s="19"/>
      <c r="SJU26" s="19"/>
      <c r="SJV26" s="19"/>
      <c r="SJW26" s="19"/>
      <c r="SJX26" s="19"/>
      <c r="SJY26" s="19"/>
      <c r="SJZ26" s="19"/>
      <c r="SKA26" s="19"/>
      <c r="SKB26" s="19"/>
      <c r="SKC26" s="19"/>
      <c r="SKD26" s="19"/>
      <c r="SKE26" s="19"/>
      <c r="SKF26" s="19"/>
      <c r="SKG26" s="19"/>
      <c r="SKH26" s="19"/>
      <c r="SKI26" s="19"/>
      <c r="SKJ26" s="19"/>
      <c r="SKK26" s="19"/>
      <c r="SKL26" s="19"/>
      <c r="SKM26" s="19"/>
      <c r="SKN26" s="19"/>
      <c r="SKO26" s="19"/>
      <c r="SKP26" s="19"/>
      <c r="SKQ26" s="19"/>
      <c r="SKR26" s="19"/>
      <c r="SKS26" s="19"/>
      <c r="SKT26" s="19"/>
      <c r="SKU26" s="19"/>
      <c r="SKV26" s="19"/>
      <c r="SKW26" s="19"/>
      <c r="SKX26" s="19"/>
      <c r="SKY26" s="19"/>
      <c r="SKZ26" s="19"/>
      <c r="SLA26" s="19"/>
      <c r="SLB26" s="19"/>
      <c r="SLC26" s="19"/>
      <c r="SLD26" s="19"/>
      <c r="SLE26" s="19"/>
      <c r="SLF26" s="19"/>
      <c r="SLG26" s="19"/>
      <c r="SLH26" s="19"/>
      <c r="SLI26" s="19"/>
      <c r="SLJ26" s="19"/>
      <c r="SLK26" s="19"/>
      <c r="SLL26" s="19"/>
      <c r="SLM26" s="19"/>
      <c r="SLN26" s="19"/>
      <c r="SLO26" s="19"/>
      <c r="SLP26" s="19"/>
      <c r="SLQ26" s="19"/>
      <c r="SLR26" s="19"/>
      <c r="SLS26" s="19"/>
      <c r="SLT26" s="19"/>
      <c r="SLU26" s="19"/>
      <c r="SLV26" s="19"/>
      <c r="SLW26" s="19"/>
      <c r="SLX26" s="19"/>
      <c r="SLY26" s="19"/>
      <c r="SLZ26" s="19"/>
      <c r="SMA26" s="19"/>
      <c r="SMB26" s="19"/>
      <c r="SMC26" s="19"/>
      <c r="SMD26" s="19"/>
      <c r="SME26" s="19"/>
      <c r="SMF26" s="19"/>
      <c r="SMG26" s="19"/>
      <c r="SMH26" s="19"/>
      <c r="SMI26" s="19"/>
      <c r="SMJ26" s="19"/>
      <c r="SMK26" s="19"/>
      <c r="SML26" s="19"/>
      <c r="SMM26" s="19"/>
      <c r="SMN26" s="19"/>
      <c r="SMO26" s="19"/>
      <c r="SMP26" s="19"/>
      <c r="SMQ26" s="19"/>
      <c r="SMR26" s="19"/>
      <c r="SMS26" s="19"/>
      <c r="SMT26" s="19"/>
      <c r="SMU26" s="19"/>
      <c r="SMV26" s="19"/>
      <c r="SMW26" s="19"/>
      <c r="SMX26" s="19"/>
      <c r="SMY26" s="19"/>
      <c r="SMZ26" s="19"/>
      <c r="SNA26" s="19"/>
      <c r="SNB26" s="19"/>
      <c r="SNC26" s="19"/>
      <c r="SND26" s="19"/>
      <c r="SNE26" s="19"/>
      <c r="SNF26" s="19"/>
      <c r="SNG26" s="19"/>
      <c r="SNH26" s="19"/>
      <c r="SNI26" s="19"/>
      <c r="SNJ26" s="19"/>
      <c r="SNK26" s="19"/>
      <c r="SNL26" s="19"/>
      <c r="SNM26" s="19"/>
      <c r="SNN26" s="19"/>
      <c r="SNO26" s="19"/>
      <c r="SNP26" s="19"/>
      <c r="SNQ26" s="19"/>
      <c r="SNR26" s="19"/>
      <c r="SNS26" s="19"/>
      <c r="SNT26" s="19"/>
      <c r="SNU26" s="19"/>
      <c r="SNV26" s="19"/>
      <c r="SNW26" s="19"/>
      <c r="SNX26" s="19"/>
      <c r="SNY26" s="19"/>
      <c r="SNZ26" s="19"/>
      <c r="SOA26" s="19"/>
      <c r="SOB26" s="19"/>
      <c r="SOC26" s="19"/>
      <c r="SOD26" s="19"/>
      <c r="SOE26" s="19"/>
      <c r="SOF26" s="19"/>
      <c r="SOG26" s="19"/>
      <c r="SOH26" s="19"/>
      <c r="SOI26" s="19"/>
      <c r="SOJ26" s="19"/>
      <c r="SOK26" s="19"/>
      <c r="SOL26" s="19"/>
      <c r="SOM26" s="19"/>
      <c r="SON26" s="19"/>
      <c r="SOO26" s="19"/>
      <c r="SOP26" s="19"/>
      <c r="SOQ26" s="19"/>
      <c r="SOR26" s="19"/>
      <c r="SOS26" s="19"/>
      <c r="SOT26" s="19"/>
      <c r="SOU26" s="19"/>
      <c r="SOV26" s="19"/>
      <c r="SOW26" s="19"/>
      <c r="SOX26" s="19"/>
      <c r="SOY26" s="19"/>
      <c r="SOZ26" s="19"/>
      <c r="SPA26" s="19"/>
      <c r="SPB26" s="19"/>
      <c r="SPC26" s="19"/>
      <c r="SPD26" s="19"/>
      <c r="SPE26" s="19"/>
      <c r="SPF26" s="19"/>
      <c r="SPG26" s="19"/>
      <c r="SPH26" s="19"/>
      <c r="SPI26" s="19"/>
      <c r="SPJ26" s="19"/>
      <c r="SPK26" s="19"/>
      <c r="SPL26" s="19"/>
      <c r="SPM26" s="19"/>
      <c r="SPN26" s="19"/>
      <c r="SPO26" s="19"/>
      <c r="SPP26" s="19"/>
      <c r="SPQ26" s="19"/>
      <c r="SPR26" s="19"/>
      <c r="SPS26" s="19"/>
      <c r="SPT26" s="19"/>
      <c r="SPU26" s="19"/>
      <c r="SPV26" s="19"/>
      <c r="SPW26" s="19"/>
      <c r="SPX26" s="19"/>
      <c r="SPY26" s="19"/>
      <c r="SPZ26" s="19"/>
      <c r="SQA26" s="19"/>
      <c r="SQB26" s="19"/>
      <c r="SQC26" s="19"/>
      <c r="SQD26" s="19"/>
      <c r="SQE26" s="19"/>
      <c r="SQF26" s="19"/>
      <c r="SQG26" s="19"/>
      <c r="SQH26" s="19"/>
      <c r="SQI26" s="19"/>
      <c r="SQJ26" s="19"/>
      <c r="SQK26" s="19"/>
      <c r="SQL26" s="19"/>
      <c r="SQM26" s="19"/>
      <c r="SQN26" s="19"/>
      <c r="SQO26" s="19"/>
      <c r="SQP26" s="19"/>
      <c r="SQQ26" s="19"/>
      <c r="SQR26" s="19"/>
      <c r="SQS26" s="19"/>
      <c r="SQT26" s="19"/>
      <c r="SQU26" s="19"/>
      <c r="SQV26" s="19"/>
      <c r="SQW26" s="19"/>
      <c r="SQX26" s="19"/>
      <c r="SQY26" s="19"/>
      <c r="SQZ26" s="19"/>
      <c r="SRA26" s="19"/>
      <c r="SRB26" s="19"/>
      <c r="SRC26" s="19"/>
      <c r="SRD26" s="19"/>
      <c r="SRE26" s="19"/>
      <c r="SRF26" s="19"/>
      <c r="SRG26" s="19"/>
      <c r="SRH26" s="19"/>
      <c r="SRI26" s="19"/>
      <c r="SRJ26" s="19"/>
      <c r="SRK26" s="19"/>
      <c r="SRL26" s="19"/>
      <c r="SRM26" s="19"/>
      <c r="SRN26" s="19"/>
      <c r="SRO26" s="19"/>
      <c r="SRP26" s="19"/>
      <c r="SRQ26" s="19"/>
      <c r="SRR26" s="19"/>
      <c r="SRS26" s="19"/>
      <c r="SRT26" s="19"/>
      <c r="SRU26" s="19"/>
      <c r="SRV26" s="19"/>
      <c r="SRW26" s="19"/>
      <c r="SRX26" s="19"/>
      <c r="SRY26" s="19"/>
      <c r="SRZ26" s="19"/>
      <c r="SSA26" s="19"/>
      <c r="SSB26" s="19"/>
      <c r="SSC26" s="19"/>
      <c r="SSD26" s="19"/>
      <c r="SSE26" s="19"/>
      <c r="SSF26" s="19"/>
      <c r="SSG26" s="19"/>
      <c r="SSH26" s="19"/>
      <c r="SSI26" s="19"/>
      <c r="SSJ26" s="19"/>
      <c r="SSK26" s="19"/>
      <c r="SSL26" s="19"/>
      <c r="SSM26" s="19"/>
      <c r="SSN26" s="19"/>
      <c r="SSO26" s="19"/>
      <c r="SSP26" s="19"/>
      <c r="SSQ26" s="19"/>
      <c r="SSR26" s="19"/>
      <c r="SSS26" s="19"/>
      <c r="SST26" s="19"/>
      <c r="SSU26" s="19"/>
      <c r="SSV26" s="19"/>
      <c r="SSW26" s="19"/>
      <c r="SSX26" s="19"/>
      <c r="SSY26" s="19"/>
      <c r="SSZ26" s="19"/>
      <c r="STA26" s="19"/>
      <c r="STB26" s="19"/>
      <c r="STC26" s="19"/>
      <c r="STD26" s="19"/>
      <c r="STE26" s="19"/>
      <c r="STF26" s="19"/>
      <c r="STG26" s="19"/>
      <c r="STH26" s="19"/>
      <c r="STI26" s="19"/>
      <c r="STJ26" s="19"/>
      <c r="STK26" s="19"/>
      <c r="STL26" s="19"/>
      <c r="STM26" s="19"/>
      <c r="STN26" s="19"/>
      <c r="STO26" s="19"/>
      <c r="STP26" s="19"/>
      <c r="STQ26" s="19"/>
      <c r="STR26" s="19"/>
      <c r="STS26" s="19"/>
      <c r="STT26" s="19"/>
      <c r="STU26" s="19"/>
      <c r="STV26" s="19"/>
      <c r="STW26" s="19"/>
      <c r="STX26" s="19"/>
      <c r="STY26" s="19"/>
      <c r="STZ26" s="19"/>
      <c r="SUA26" s="19"/>
      <c r="SUB26" s="19"/>
      <c r="SUC26" s="19"/>
      <c r="SUD26" s="19"/>
      <c r="SUE26" s="19"/>
      <c r="SUF26" s="19"/>
      <c r="SUG26" s="19"/>
      <c r="SUH26" s="19"/>
      <c r="SUI26" s="19"/>
      <c r="SUJ26" s="19"/>
      <c r="SUK26" s="19"/>
      <c r="SUL26" s="19"/>
      <c r="SUM26" s="19"/>
      <c r="SUN26" s="19"/>
      <c r="SUO26" s="19"/>
      <c r="SUP26" s="19"/>
      <c r="SUQ26" s="19"/>
      <c r="SUR26" s="19"/>
      <c r="SUS26" s="19"/>
      <c r="SUT26" s="19"/>
      <c r="SUU26" s="19"/>
      <c r="SUV26" s="19"/>
      <c r="SUW26" s="19"/>
      <c r="SUX26" s="19"/>
      <c r="SUY26" s="19"/>
      <c r="SUZ26" s="19"/>
      <c r="SVA26" s="19"/>
      <c r="SVB26" s="19"/>
      <c r="SVC26" s="19"/>
      <c r="SVD26" s="19"/>
      <c r="SVE26" s="19"/>
      <c r="SVF26" s="19"/>
      <c r="SVG26" s="19"/>
      <c r="SVH26" s="19"/>
      <c r="SVI26" s="19"/>
      <c r="SVJ26" s="19"/>
      <c r="SVK26" s="19"/>
      <c r="SVL26" s="19"/>
      <c r="SVM26" s="19"/>
      <c r="SVN26" s="19"/>
      <c r="SVO26" s="19"/>
      <c r="SVP26" s="19"/>
      <c r="SVQ26" s="19"/>
      <c r="SVR26" s="19"/>
      <c r="SVS26" s="19"/>
      <c r="SVT26" s="19"/>
      <c r="SVU26" s="19"/>
      <c r="SVV26" s="19"/>
      <c r="SVW26" s="19"/>
      <c r="SVX26" s="19"/>
      <c r="SVY26" s="19"/>
      <c r="SVZ26" s="19"/>
      <c r="SWA26" s="19"/>
      <c r="SWB26" s="19"/>
      <c r="SWC26" s="19"/>
      <c r="SWD26" s="19"/>
      <c r="SWE26" s="19"/>
      <c r="SWF26" s="19"/>
      <c r="SWG26" s="19"/>
      <c r="SWH26" s="19"/>
      <c r="SWI26" s="19"/>
      <c r="SWJ26" s="19"/>
      <c r="SWK26" s="19"/>
      <c r="SWL26" s="19"/>
      <c r="SWM26" s="19"/>
      <c r="SWN26" s="19"/>
      <c r="SWO26" s="19"/>
      <c r="SWP26" s="19"/>
      <c r="SWQ26" s="19"/>
      <c r="SWR26" s="19"/>
      <c r="SWS26" s="19"/>
      <c r="SWT26" s="19"/>
      <c r="SWU26" s="19"/>
      <c r="SWV26" s="19"/>
      <c r="SWW26" s="19"/>
      <c r="SWX26" s="19"/>
      <c r="SWY26" s="19"/>
      <c r="SWZ26" s="19"/>
      <c r="SXA26" s="19"/>
      <c r="SXB26" s="19"/>
      <c r="SXC26" s="19"/>
      <c r="SXD26" s="19"/>
      <c r="SXE26" s="19"/>
      <c r="SXF26" s="19"/>
      <c r="SXG26" s="19"/>
      <c r="SXH26" s="19"/>
      <c r="SXI26" s="19"/>
      <c r="SXJ26" s="19"/>
      <c r="SXK26" s="19"/>
      <c r="SXL26" s="19"/>
      <c r="SXM26" s="19"/>
      <c r="SXN26" s="19"/>
      <c r="SXO26" s="19"/>
      <c r="SXP26" s="19"/>
      <c r="SXQ26" s="19"/>
      <c r="SXR26" s="19"/>
      <c r="SXS26" s="19"/>
      <c r="SXT26" s="19"/>
      <c r="SXU26" s="19"/>
      <c r="SXV26" s="19"/>
      <c r="SXW26" s="19"/>
      <c r="SXX26" s="19"/>
      <c r="SXY26" s="19"/>
      <c r="SXZ26" s="19"/>
      <c r="SYA26" s="19"/>
      <c r="SYB26" s="19"/>
      <c r="SYC26" s="19"/>
      <c r="SYD26" s="19"/>
      <c r="SYE26" s="19"/>
      <c r="SYF26" s="19"/>
      <c r="SYG26" s="19"/>
      <c r="SYH26" s="19"/>
      <c r="SYI26" s="19"/>
      <c r="SYJ26" s="19"/>
      <c r="SYK26" s="19"/>
      <c r="SYL26" s="19"/>
      <c r="SYM26" s="19"/>
      <c r="SYN26" s="19"/>
      <c r="SYO26" s="19"/>
      <c r="SYP26" s="19"/>
      <c r="SYQ26" s="19"/>
      <c r="SYR26" s="19"/>
      <c r="SYS26" s="19"/>
      <c r="SYT26" s="19"/>
      <c r="SYU26" s="19"/>
      <c r="SYV26" s="19"/>
      <c r="SYW26" s="19"/>
      <c r="SYX26" s="19"/>
      <c r="SYY26" s="19"/>
      <c r="SYZ26" s="19"/>
      <c r="SZA26" s="19"/>
      <c r="SZB26" s="19"/>
      <c r="SZC26" s="19"/>
      <c r="SZD26" s="19"/>
      <c r="SZE26" s="19"/>
      <c r="SZF26" s="19"/>
      <c r="SZG26" s="19"/>
      <c r="SZH26" s="19"/>
      <c r="SZI26" s="19"/>
      <c r="SZJ26" s="19"/>
      <c r="SZK26" s="19"/>
      <c r="SZL26" s="19"/>
      <c r="SZM26" s="19"/>
      <c r="SZN26" s="19"/>
      <c r="SZO26" s="19"/>
      <c r="SZP26" s="19"/>
      <c r="SZQ26" s="19"/>
      <c r="SZR26" s="19"/>
      <c r="SZS26" s="19"/>
      <c r="SZT26" s="19"/>
      <c r="SZU26" s="19"/>
      <c r="SZV26" s="19"/>
      <c r="SZW26" s="19"/>
      <c r="SZX26" s="19"/>
      <c r="SZY26" s="19"/>
      <c r="SZZ26" s="19"/>
      <c r="TAA26" s="19"/>
      <c r="TAB26" s="19"/>
      <c r="TAC26" s="19"/>
      <c r="TAD26" s="19"/>
      <c r="TAE26" s="19"/>
      <c r="TAF26" s="19"/>
      <c r="TAG26" s="19"/>
      <c r="TAH26" s="19"/>
      <c r="TAI26" s="19"/>
      <c r="TAJ26" s="19"/>
      <c r="TAK26" s="19"/>
      <c r="TAL26" s="19"/>
      <c r="TAM26" s="19"/>
      <c r="TAN26" s="19"/>
      <c r="TAO26" s="19"/>
      <c r="TAP26" s="19"/>
      <c r="TAQ26" s="19"/>
      <c r="TAR26" s="19"/>
      <c r="TAS26" s="19"/>
      <c r="TAT26" s="19"/>
      <c r="TAU26" s="19"/>
      <c r="TAV26" s="19"/>
      <c r="TAW26" s="19"/>
      <c r="TAX26" s="19"/>
      <c r="TAY26" s="19"/>
      <c r="TAZ26" s="19"/>
      <c r="TBA26" s="19"/>
      <c r="TBB26" s="19"/>
      <c r="TBC26" s="19"/>
      <c r="TBD26" s="19"/>
      <c r="TBE26" s="19"/>
      <c r="TBF26" s="19"/>
      <c r="TBG26" s="19"/>
      <c r="TBH26" s="19"/>
      <c r="TBI26" s="19"/>
      <c r="TBJ26" s="19"/>
      <c r="TBK26" s="19"/>
      <c r="TBL26" s="19"/>
      <c r="TBM26" s="19"/>
      <c r="TBN26" s="19"/>
      <c r="TBO26" s="19"/>
      <c r="TBP26" s="19"/>
      <c r="TBQ26" s="19"/>
      <c r="TBR26" s="19"/>
      <c r="TBS26" s="19"/>
      <c r="TBT26" s="19"/>
      <c r="TBU26" s="19"/>
      <c r="TBV26" s="19"/>
      <c r="TBW26" s="19"/>
      <c r="TBX26" s="19"/>
      <c r="TBY26" s="19"/>
      <c r="TBZ26" s="19"/>
      <c r="TCA26" s="19"/>
      <c r="TCB26" s="19"/>
      <c r="TCC26" s="19"/>
      <c r="TCD26" s="19"/>
      <c r="TCE26" s="19"/>
      <c r="TCF26" s="19"/>
      <c r="TCG26" s="19"/>
      <c r="TCH26" s="19"/>
      <c r="TCI26" s="19"/>
      <c r="TCJ26" s="19"/>
      <c r="TCK26" s="19"/>
      <c r="TCL26" s="19"/>
      <c r="TCM26" s="19"/>
      <c r="TCN26" s="19"/>
      <c r="TCO26" s="19"/>
      <c r="TCP26" s="19"/>
      <c r="TCQ26" s="19"/>
      <c r="TCR26" s="19"/>
      <c r="TCS26" s="19"/>
      <c r="TCT26" s="19"/>
      <c r="TCU26" s="19"/>
      <c r="TCV26" s="19"/>
      <c r="TCW26" s="19"/>
      <c r="TCX26" s="19"/>
      <c r="TCY26" s="19"/>
      <c r="TCZ26" s="19"/>
      <c r="TDA26" s="19"/>
      <c r="TDB26" s="19"/>
      <c r="TDC26" s="19"/>
      <c r="TDD26" s="19"/>
      <c r="TDE26" s="19"/>
      <c r="TDF26" s="19"/>
      <c r="TDG26" s="19"/>
      <c r="TDH26" s="19"/>
      <c r="TDI26" s="19"/>
      <c r="TDJ26" s="19"/>
      <c r="TDK26" s="19"/>
      <c r="TDL26" s="19"/>
      <c r="TDM26" s="19"/>
      <c r="TDN26" s="19"/>
      <c r="TDO26" s="19"/>
      <c r="TDP26" s="19"/>
      <c r="TDQ26" s="19"/>
      <c r="TDR26" s="19"/>
      <c r="TDS26" s="19"/>
      <c r="TDT26" s="19"/>
      <c r="TDU26" s="19"/>
      <c r="TDV26" s="19"/>
      <c r="TDW26" s="19"/>
      <c r="TDX26" s="19"/>
      <c r="TDY26" s="19"/>
      <c r="TDZ26" s="19"/>
      <c r="TEA26" s="19"/>
      <c r="TEB26" s="19"/>
      <c r="TEC26" s="19"/>
      <c r="TED26" s="19"/>
      <c r="TEE26" s="19"/>
      <c r="TEF26" s="19"/>
      <c r="TEG26" s="19"/>
      <c r="TEH26" s="19"/>
      <c r="TEI26" s="19"/>
      <c r="TEJ26" s="19"/>
      <c r="TEK26" s="19"/>
      <c r="TEL26" s="19"/>
      <c r="TEM26" s="19"/>
      <c r="TEN26" s="19"/>
      <c r="TEO26" s="19"/>
      <c r="TEP26" s="19"/>
      <c r="TEQ26" s="19"/>
      <c r="TER26" s="19"/>
      <c r="TES26" s="19"/>
      <c r="TET26" s="19"/>
      <c r="TEU26" s="19"/>
      <c r="TEV26" s="19"/>
      <c r="TEW26" s="19"/>
      <c r="TEX26" s="19"/>
      <c r="TEY26" s="19"/>
      <c r="TEZ26" s="19"/>
      <c r="TFA26" s="19"/>
      <c r="TFB26" s="19"/>
      <c r="TFC26" s="19"/>
      <c r="TFD26" s="19"/>
      <c r="TFE26" s="19"/>
      <c r="TFF26" s="19"/>
      <c r="TFG26" s="19"/>
      <c r="TFH26" s="19"/>
      <c r="TFI26" s="19"/>
      <c r="TFJ26" s="19"/>
      <c r="TFK26" s="19"/>
      <c r="TFL26" s="19"/>
      <c r="TFM26" s="19"/>
      <c r="TFN26" s="19"/>
      <c r="TFO26" s="19"/>
      <c r="TFP26" s="19"/>
      <c r="TFQ26" s="19"/>
      <c r="TFR26" s="19"/>
      <c r="TFS26" s="19"/>
      <c r="TFT26" s="19"/>
      <c r="TFU26" s="19"/>
      <c r="TFV26" s="19"/>
      <c r="TFW26" s="19"/>
      <c r="TFX26" s="19"/>
      <c r="TFY26" s="19"/>
      <c r="TFZ26" s="19"/>
      <c r="TGA26" s="19"/>
      <c r="TGB26" s="19"/>
      <c r="TGC26" s="19"/>
      <c r="TGD26" s="19"/>
      <c r="TGE26" s="19"/>
      <c r="TGF26" s="19"/>
      <c r="TGG26" s="19"/>
      <c r="TGH26" s="19"/>
      <c r="TGI26" s="19"/>
      <c r="TGJ26" s="19"/>
      <c r="TGK26" s="19"/>
      <c r="TGL26" s="19"/>
      <c r="TGM26" s="19"/>
      <c r="TGN26" s="19"/>
      <c r="TGO26" s="19"/>
      <c r="TGP26" s="19"/>
      <c r="TGQ26" s="19"/>
      <c r="TGR26" s="19"/>
      <c r="TGS26" s="19"/>
      <c r="TGT26" s="19"/>
      <c r="TGU26" s="19"/>
      <c r="TGV26" s="19"/>
      <c r="TGW26" s="19"/>
      <c r="TGX26" s="19"/>
      <c r="TGY26" s="19"/>
      <c r="TGZ26" s="19"/>
      <c r="THA26" s="19"/>
      <c r="THB26" s="19"/>
      <c r="THC26" s="19"/>
      <c r="THD26" s="19"/>
      <c r="THE26" s="19"/>
      <c r="THF26" s="19"/>
      <c r="THG26" s="19"/>
      <c r="THH26" s="19"/>
      <c r="THI26" s="19"/>
      <c r="THJ26" s="19"/>
      <c r="THK26" s="19"/>
      <c r="THL26" s="19"/>
      <c r="THM26" s="19"/>
      <c r="THN26" s="19"/>
      <c r="THO26" s="19"/>
      <c r="THP26" s="19"/>
      <c r="THQ26" s="19"/>
      <c r="THR26" s="19"/>
      <c r="THS26" s="19"/>
      <c r="THT26" s="19"/>
      <c r="THU26" s="19"/>
      <c r="THV26" s="19"/>
      <c r="THW26" s="19"/>
      <c r="THX26" s="19"/>
      <c r="THY26" s="19"/>
      <c r="THZ26" s="19"/>
      <c r="TIA26" s="19"/>
      <c r="TIB26" s="19"/>
      <c r="TIC26" s="19"/>
      <c r="TID26" s="19"/>
      <c r="TIE26" s="19"/>
      <c r="TIF26" s="19"/>
      <c r="TIG26" s="19"/>
      <c r="TIH26" s="19"/>
      <c r="TII26" s="19"/>
      <c r="TIJ26" s="19"/>
      <c r="TIK26" s="19"/>
      <c r="TIL26" s="19"/>
      <c r="TIM26" s="19"/>
      <c r="TIN26" s="19"/>
      <c r="TIO26" s="19"/>
      <c r="TIP26" s="19"/>
      <c r="TIQ26" s="19"/>
      <c r="TIR26" s="19"/>
      <c r="TIS26" s="19"/>
      <c r="TIT26" s="19"/>
      <c r="TIU26" s="19"/>
      <c r="TIV26" s="19"/>
      <c r="TIW26" s="19"/>
      <c r="TIX26" s="19"/>
      <c r="TIY26" s="19"/>
      <c r="TIZ26" s="19"/>
      <c r="TJA26" s="19"/>
      <c r="TJB26" s="19"/>
      <c r="TJC26" s="19"/>
      <c r="TJD26" s="19"/>
      <c r="TJE26" s="19"/>
      <c r="TJF26" s="19"/>
      <c r="TJG26" s="19"/>
      <c r="TJH26" s="19"/>
      <c r="TJI26" s="19"/>
      <c r="TJJ26" s="19"/>
      <c r="TJK26" s="19"/>
      <c r="TJL26" s="19"/>
      <c r="TJM26" s="19"/>
      <c r="TJN26" s="19"/>
      <c r="TJO26" s="19"/>
      <c r="TJP26" s="19"/>
      <c r="TJQ26" s="19"/>
      <c r="TJR26" s="19"/>
      <c r="TJS26" s="19"/>
      <c r="TJT26" s="19"/>
      <c r="TJU26" s="19"/>
      <c r="TJV26" s="19"/>
      <c r="TJW26" s="19"/>
      <c r="TJX26" s="19"/>
      <c r="TJY26" s="19"/>
      <c r="TJZ26" s="19"/>
      <c r="TKA26" s="19"/>
      <c r="TKB26" s="19"/>
      <c r="TKC26" s="19"/>
      <c r="TKD26" s="19"/>
      <c r="TKE26" s="19"/>
      <c r="TKF26" s="19"/>
      <c r="TKG26" s="19"/>
      <c r="TKH26" s="19"/>
      <c r="TKI26" s="19"/>
      <c r="TKJ26" s="19"/>
      <c r="TKK26" s="19"/>
      <c r="TKL26" s="19"/>
      <c r="TKM26" s="19"/>
      <c r="TKN26" s="19"/>
      <c r="TKO26" s="19"/>
      <c r="TKP26" s="19"/>
      <c r="TKQ26" s="19"/>
      <c r="TKR26" s="19"/>
      <c r="TKS26" s="19"/>
      <c r="TKT26" s="19"/>
      <c r="TKU26" s="19"/>
      <c r="TKV26" s="19"/>
      <c r="TKW26" s="19"/>
      <c r="TKX26" s="19"/>
      <c r="TKY26" s="19"/>
      <c r="TKZ26" s="19"/>
      <c r="TLA26" s="19"/>
      <c r="TLB26" s="19"/>
      <c r="TLC26" s="19"/>
      <c r="TLD26" s="19"/>
      <c r="TLE26" s="19"/>
      <c r="TLF26" s="19"/>
      <c r="TLG26" s="19"/>
      <c r="TLH26" s="19"/>
      <c r="TLI26" s="19"/>
      <c r="TLJ26" s="19"/>
      <c r="TLK26" s="19"/>
      <c r="TLL26" s="19"/>
      <c r="TLM26" s="19"/>
      <c r="TLN26" s="19"/>
      <c r="TLO26" s="19"/>
      <c r="TLP26" s="19"/>
      <c r="TLQ26" s="19"/>
      <c r="TLR26" s="19"/>
      <c r="TLS26" s="19"/>
      <c r="TLT26" s="19"/>
      <c r="TLU26" s="19"/>
      <c r="TLV26" s="19"/>
      <c r="TLW26" s="19"/>
      <c r="TLX26" s="19"/>
      <c r="TLY26" s="19"/>
      <c r="TLZ26" s="19"/>
      <c r="TMA26" s="19"/>
      <c r="TMB26" s="19"/>
      <c r="TMC26" s="19"/>
      <c r="TMD26" s="19"/>
      <c r="TME26" s="19"/>
      <c r="TMF26" s="19"/>
      <c r="TMG26" s="19"/>
      <c r="TMH26" s="19"/>
      <c r="TMI26" s="19"/>
      <c r="TMJ26" s="19"/>
      <c r="TMK26" s="19"/>
      <c r="TML26" s="19"/>
      <c r="TMM26" s="19"/>
      <c r="TMN26" s="19"/>
      <c r="TMO26" s="19"/>
      <c r="TMP26" s="19"/>
      <c r="TMQ26" s="19"/>
      <c r="TMR26" s="19"/>
      <c r="TMS26" s="19"/>
      <c r="TMT26" s="19"/>
      <c r="TMU26" s="19"/>
      <c r="TMV26" s="19"/>
      <c r="TMW26" s="19"/>
      <c r="TMX26" s="19"/>
      <c r="TMY26" s="19"/>
      <c r="TMZ26" s="19"/>
      <c r="TNA26" s="19"/>
      <c r="TNB26" s="19"/>
      <c r="TNC26" s="19"/>
      <c r="TND26" s="19"/>
      <c r="TNE26" s="19"/>
      <c r="TNF26" s="19"/>
      <c r="TNG26" s="19"/>
      <c r="TNH26" s="19"/>
      <c r="TNI26" s="19"/>
      <c r="TNJ26" s="19"/>
      <c r="TNK26" s="19"/>
      <c r="TNL26" s="19"/>
      <c r="TNM26" s="19"/>
      <c r="TNN26" s="19"/>
      <c r="TNO26" s="19"/>
      <c r="TNP26" s="19"/>
      <c r="TNQ26" s="19"/>
      <c r="TNR26" s="19"/>
      <c r="TNS26" s="19"/>
      <c r="TNT26" s="19"/>
      <c r="TNU26" s="19"/>
      <c r="TNV26" s="19"/>
      <c r="TNW26" s="19"/>
      <c r="TNX26" s="19"/>
      <c r="TNY26" s="19"/>
      <c r="TNZ26" s="19"/>
      <c r="TOA26" s="19"/>
      <c r="TOB26" s="19"/>
      <c r="TOC26" s="19"/>
      <c r="TOD26" s="19"/>
      <c r="TOE26" s="19"/>
      <c r="TOF26" s="19"/>
      <c r="TOG26" s="19"/>
      <c r="TOH26" s="19"/>
      <c r="TOI26" s="19"/>
      <c r="TOJ26" s="19"/>
      <c r="TOK26" s="19"/>
      <c r="TOL26" s="19"/>
      <c r="TOM26" s="19"/>
      <c r="TON26" s="19"/>
      <c r="TOO26" s="19"/>
      <c r="TOP26" s="19"/>
      <c r="TOQ26" s="19"/>
      <c r="TOR26" s="19"/>
      <c r="TOS26" s="19"/>
      <c r="TOT26" s="19"/>
      <c r="TOU26" s="19"/>
      <c r="TOV26" s="19"/>
      <c r="TOW26" s="19"/>
      <c r="TOX26" s="19"/>
      <c r="TOY26" s="19"/>
      <c r="TOZ26" s="19"/>
      <c r="TPA26" s="19"/>
      <c r="TPB26" s="19"/>
      <c r="TPC26" s="19"/>
      <c r="TPD26" s="19"/>
      <c r="TPE26" s="19"/>
      <c r="TPF26" s="19"/>
      <c r="TPG26" s="19"/>
      <c r="TPH26" s="19"/>
      <c r="TPI26" s="19"/>
      <c r="TPJ26" s="19"/>
      <c r="TPK26" s="19"/>
      <c r="TPL26" s="19"/>
      <c r="TPM26" s="19"/>
      <c r="TPN26" s="19"/>
      <c r="TPO26" s="19"/>
      <c r="TPP26" s="19"/>
      <c r="TPQ26" s="19"/>
      <c r="TPR26" s="19"/>
      <c r="TPS26" s="19"/>
      <c r="TPT26" s="19"/>
      <c r="TPU26" s="19"/>
      <c r="TPV26" s="19"/>
      <c r="TPW26" s="19"/>
      <c r="TPX26" s="19"/>
      <c r="TPY26" s="19"/>
      <c r="TPZ26" s="19"/>
      <c r="TQA26" s="19"/>
      <c r="TQB26" s="19"/>
      <c r="TQC26" s="19"/>
      <c r="TQD26" s="19"/>
      <c r="TQE26" s="19"/>
      <c r="TQF26" s="19"/>
      <c r="TQG26" s="19"/>
      <c r="TQH26" s="19"/>
      <c r="TQI26" s="19"/>
      <c r="TQJ26" s="19"/>
      <c r="TQK26" s="19"/>
      <c r="TQL26" s="19"/>
      <c r="TQM26" s="19"/>
      <c r="TQN26" s="19"/>
      <c r="TQO26" s="19"/>
      <c r="TQP26" s="19"/>
      <c r="TQQ26" s="19"/>
      <c r="TQR26" s="19"/>
      <c r="TQS26" s="19"/>
      <c r="TQT26" s="19"/>
      <c r="TQU26" s="19"/>
      <c r="TQV26" s="19"/>
      <c r="TQW26" s="19"/>
      <c r="TQX26" s="19"/>
      <c r="TQY26" s="19"/>
      <c r="TQZ26" s="19"/>
      <c r="TRA26" s="19"/>
      <c r="TRB26" s="19"/>
      <c r="TRC26" s="19"/>
      <c r="TRD26" s="19"/>
      <c r="TRE26" s="19"/>
      <c r="TRF26" s="19"/>
      <c r="TRG26" s="19"/>
      <c r="TRH26" s="19"/>
      <c r="TRI26" s="19"/>
      <c r="TRJ26" s="19"/>
      <c r="TRK26" s="19"/>
      <c r="TRL26" s="19"/>
      <c r="TRM26" s="19"/>
      <c r="TRN26" s="19"/>
      <c r="TRO26" s="19"/>
      <c r="TRP26" s="19"/>
      <c r="TRQ26" s="19"/>
      <c r="TRR26" s="19"/>
      <c r="TRS26" s="19"/>
      <c r="TRT26" s="19"/>
      <c r="TRU26" s="19"/>
      <c r="TRV26" s="19"/>
      <c r="TRW26" s="19"/>
      <c r="TRX26" s="19"/>
      <c r="TRY26" s="19"/>
      <c r="TRZ26" s="19"/>
      <c r="TSA26" s="19"/>
      <c r="TSB26" s="19"/>
      <c r="TSC26" s="19"/>
      <c r="TSD26" s="19"/>
      <c r="TSE26" s="19"/>
      <c r="TSF26" s="19"/>
      <c r="TSG26" s="19"/>
      <c r="TSH26" s="19"/>
      <c r="TSI26" s="19"/>
      <c r="TSJ26" s="19"/>
      <c r="TSK26" s="19"/>
      <c r="TSL26" s="19"/>
      <c r="TSM26" s="19"/>
      <c r="TSN26" s="19"/>
      <c r="TSO26" s="19"/>
      <c r="TSP26" s="19"/>
      <c r="TSQ26" s="19"/>
      <c r="TSR26" s="19"/>
      <c r="TSS26" s="19"/>
      <c r="TST26" s="19"/>
      <c r="TSU26" s="19"/>
      <c r="TSV26" s="19"/>
      <c r="TSW26" s="19"/>
      <c r="TSX26" s="19"/>
      <c r="TSY26" s="19"/>
      <c r="TSZ26" s="19"/>
      <c r="TTA26" s="19"/>
      <c r="TTB26" s="19"/>
      <c r="TTC26" s="19"/>
      <c r="TTD26" s="19"/>
      <c r="TTE26" s="19"/>
      <c r="TTF26" s="19"/>
      <c r="TTG26" s="19"/>
      <c r="TTH26" s="19"/>
      <c r="TTI26" s="19"/>
      <c r="TTJ26" s="19"/>
      <c r="TTK26" s="19"/>
      <c r="TTL26" s="19"/>
      <c r="TTM26" s="19"/>
      <c r="TTN26" s="19"/>
      <c r="TTO26" s="19"/>
      <c r="TTP26" s="19"/>
      <c r="TTQ26" s="19"/>
      <c r="TTR26" s="19"/>
      <c r="TTS26" s="19"/>
      <c r="TTT26" s="19"/>
      <c r="TTU26" s="19"/>
      <c r="TTV26" s="19"/>
      <c r="TTW26" s="19"/>
      <c r="TTX26" s="19"/>
      <c r="TTY26" s="19"/>
      <c r="TTZ26" s="19"/>
      <c r="TUA26" s="19"/>
      <c r="TUB26" s="19"/>
      <c r="TUC26" s="19"/>
      <c r="TUD26" s="19"/>
      <c r="TUE26" s="19"/>
      <c r="TUF26" s="19"/>
      <c r="TUG26" s="19"/>
      <c r="TUH26" s="19"/>
      <c r="TUI26" s="19"/>
      <c r="TUJ26" s="19"/>
      <c r="TUK26" s="19"/>
      <c r="TUL26" s="19"/>
      <c r="TUM26" s="19"/>
      <c r="TUN26" s="19"/>
      <c r="TUO26" s="19"/>
      <c r="TUP26" s="19"/>
      <c r="TUQ26" s="19"/>
      <c r="TUR26" s="19"/>
      <c r="TUS26" s="19"/>
      <c r="TUT26" s="19"/>
      <c r="TUU26" s="19"/>
      <c r="TUV26" s="19"/>
      <c r="TUW26" s="19"/>
      <c r="TUX26" s="19"/>
      <c r="TUY26" s="19"/>
      <c r="TUZ26" s="19"/>
      <c r="TVA26" s="19"/>
      <c r="TVB26" s="19"/>
      <c r="TVC26" s="19"/>
      <c r="TVD26" s="19"/>
      <c r="TVE26" s="19"/>
      <c r="TVF26" s="19"/>
      <c r="TVG26" s="19"/>
      <c r="TVH26" s="19"/>
      <c r="TVI26" s="19"/>
      <c r="TVJ26" s="19"/>
      <c r="TVK26" s="19"/>
      <c r="TVL26" s="19"/>
      <c r="TVM26" s="19"/>
      <c r="TVN26" s="19"/>
      <c r="TVO26" s="19"/>
      <c r="TVP26" s="19"/>
      <c r="TVQ26" s="19"/>
      <c r="TVR26" s="19"/>
      <c r="TVS26" s="19"/>
      <c r="TVT26" s="19"/>
      <c r="TVU26" s="19"/>
      <c r="TVV26" s="19"/>
      <c r="TVW26" s="19"/>
      <c r="TVX26" s="19"/>
      <c r="TVY26" s="19"/>
      <c r="TVZ26" s="19"/>
      <c r="TWA26" s="19"/>
      <c r="TWB26" s="19"/>
      <c r="TWC26" s="19"/>
      <c r="TWD26" s="19"/>
      <c r="TWE26" s="19"/>
      <c r="TWF26" s="19"/>
      <c r="TWG26" s="19"/>
      <c r="TWH26" s="19"/>
      <c r="TWI26" s="19"/>
      <c r="TWJ26" s="19"/>
      <c r="TWK26" s="19"/>
      <c r="TWL26" s="19"/>
      <c r="TWM26" s="19"/>
      <c r="TWN26" s="19"/>
      <c r="TWO26" s="19"/>
      <c r="TWP26" s="19"/>
      <c r="TWQ26" s="19"/>
      <c r="TWR26" s="19"/>
      <c r="TWS26" s="19"/>
      <c r="TWT26" s="19"/>
      <c r="TWU26" s="19"/>
      <c r="TWV26" s="19"/>
      <c r="TWW26" s="19"/>
      <c r="TWX26" s="19"/>
      <c r="TWY26" s="19"/>
      <c r="TWZ26" s="19"/>
      <c r="TXA26" s="19"/>
      <c r="TXB26" s="19"/>
      <c r="TXC26" s="19"/>
      <c r="TXD26" s="19"/>
      <c r="TXE26" s="19"/>
      <c r="TXF26" s="19"/>
      <c r="TXG26" s="19"/>
      <c r="TXH26" s="19"/>
      <c r="TXI26" s="19"/>
      <c r="TXJ26" s="19"/>
      <c r="TXK26" s="19"/>
      <c r="TXL26" s="19"/>
      <c r="TXM26" s="19"/>
      <c r="TXN26" s="19"/>
      <c r="TXO26" s="19"/>
      <c r="TXP26" s="19"/>
      <c r="TXQ26" s="19"/>
      <c r="TXR26" s="19"/>
      <c r="TXS26" s="19"/>
      <c r="TXT26" s="19"/>
      <c r="TXU26" s="19"/>
      <c r="TXV26" s="19"/>
      <c r="TXW26" s="19"/>
      <c r="TXX26" s="19"/>
      <c r="TXY26" s="19"/>
      <c r="TXZ26" s="19"/>
      <c r="TYA26" s="19"/>
      <c r="TYB26" s="19"/>
      <c r="TYC26" s="19"/>
      <c r="TYD26" s="19"/>
      <c r="TYE26" s="19"/>
      <c r="TYF26" s="19"/>
      <c r="TYG26" s="19"/>
      <c r="TYH26" s="19"/>
      <c r="TYI26" s="19"/>
      <c r="TYJ26" s="19"/>
      <c r="TYK26" s="19"/>
      <c r="TYL26" s="19"/>
      <c r="TYM26" s="19"/>
      <c r="TYN26" s="19"/>
      <c r="TYO26" s="19"/>
      <c r="TYP26" s="19"/>
      <c r="TYQ26" s="19"/>
      <c r="TYR26" s="19"/>
      <c r="TYS26" s="19"/>
      <c r="TYT26" s="19"/>
      <c r="TYU26" s="19"/>
      <c r="TYV26" s="19"/>
      <c r="TYW26" s="19"/>
      <c r="TYX26" s="19"/>
      <c r="TYY26" s="19"/>
      <c r="TYZ26" s="19"/>
      <c r="TZA26" s="19"/>
      <c r="TZB26" s="19"/>
      <c r="TZC26" s="19"/>
      <c r="TZD26" s="19"/>
      <c r="TZE26" s="19"/>
      <c r="TZF26" s="19"/>
      <c r="TZG26" s="19"/>
      <c r="TZH26" s="19"/>
      <c r="TZI26" s="19"/>
      <c r="TZJ26" s="19"/>
      <c r="TZK26" s="19"/>
      <c r="TZL26" s="19"/>
      <c r="TZM26" s="19"/>
      <c r="TZN26" s="19"/>
      <c r="TZO26" s="19"/>
      <c r="TZP26" s="19"/>
      <c r="TZQ26" s="19"/>
      <c r="TZR26" s="19"/>
      <c r="TZS26" s="19"/>
      <c r="TZT26" s="19"/>
      <c r="TZU26" s="19"/>
      <c r="TZV26" s="19"/>
      <c r="TZW26" s="19"/>
      <c r="TZX26" s="19"/>
      <c r="TZY26" s="19"/>
      <c r="TZZ26" s="19"/>
      <c r="UAA26" s="19"/>
      <c r="UAB26" s="19"/>
      <c r="UAC26" s="19"/>
      <c r="UAD26" s="19"/>
      <c r="UAE26" s="19"/>
      <c r="UAF26" s="19"/>
      <c r="UAG26" s="19"/>
      <c r="UAH26" s="19"/>
      <c r="UAI26" s="19"/>
      <c r="UAJ26" s="19"/>
      <c r="UAK26" s="19"/>
      <c r="UAL26" s="19"/>
      <c r="UAM26" s="19"/>
      <c r="UAN26" s="19"/>
      <c r="UAO26" s="19"/>
      <c r="UAP26" s="19"/>
      <c r="UAQ26" s="19"/>
      <c r="UAR26" s="19"/>
      <c r="UAS26" s="19"/>
      <c r="UAT26" s="19"/>
      <c r="UAU26" s="19"/>
      <c r="UAV26" s="19"/>
      <c r="UAW26" s="19"/>
      <c r="UAX26" s="19"/>
      <c r="UAY26" s="19"/>
      <c r="UAZ26" s="19"/>
      <c r="UBA26" s="19"/>
      <c r="UBB26" s="19"/>
      <c r="UBC26" s="19"/>
      <c r="UBD26" s="19"/>
      <c r="UBE26" s="19"/>
      <c r="UBF26" s="19"/>
      <c r="UBG26" s="19"/>
      <c r="UBH26" s="19"/>
      <c r="UBI26" s="19"/>
      <c r="UBJ26" s="19"/>
      <c r="UBK26" s="19"/>
      <c r="UBL26" s="19"/>
      <c r="UBM26" s="19"/>
      <c r="UBN26" s="19"/>
      <c r="UBO26" s="19"/>
      <c r="UBP26" s="19"/>
      <c r="UBQ26" s="19"/>
      <c r="UBR26" s="19"/>
      <c r="UBS26" s="19"/>
      <c r="UBT26" s="19"/>
      <c r="UBU26" s="19"/>
      <c r="UBV26" s="19"/>
      <c r="UBW26" s="19"/>
      <c r="UBX26" s="19"/>
      <c r="UBY26" s="19"/>
      <c r="UBZ26" s="19"/>
      <c r="UCA26" s="19"/>
      <c r="UCB26" s="19"/>
      <c r="UCC26" s="19"/>
      <c r="UCD26" s="19"/>
      <c r="UCE26" s="19"/>
      <c r="UCF26" s="19"/>
      <c r="UCG26" s="19"/>
      <c r="UCH26" s="19"/>
      <c r="UCI26" s="19"/>
      <c r="UCJ26" s="19"/>
      <c r="UCK26" s="19"/>
      <c r="UCL26" s="19"/>
      <c r="UCM26" s="19"/>
      <c r="UCN26" s="19"/>
      <c r="UCO26" s="19"/>
      <c r="UCP26" s="19"/>
      <c r="UCQ26" s="19"/>
      <c r="UCR26" s="19"/>
      <c r="UCS26" s="19"/>
      <c r="UCT26" s="19"/>
      <c r="UCU26" s="19"/>
      <c r="UCV26" s="19"/>
      <c r="UCW26" s="19"/>
      <c r="UCX26" s="19"/>
      <c r="UCY26" s="19"/>
      <c r="UCZ26" s="19"/>
      <c r="UDA26" s="19"/>
      <c r="UDB26" s="19"/>
      <c r="UDC26" s="19"/>
      <c r="UDD26" s="19"/>
      <c r="UDE26" s="19"/>
      <c r="UDF26" s="19"/>
      <c r="UDG26" s="19"/>
      <c r="UDH26" s="19"/>
      <c r="UDI26" s="19"/>
      <c r="UDJ26" s="19"/>
      <c r="UDK26" s="19"/>
      <c r="UDL26" s="19"/>
      <c r="UDM26" s="19"/>
      <c r="UDN26" s="19"/>
      <c r="UDO26" s="19"/>
      <c r="UDP26" s="19"/>
      <c r="UDQ26" s="19"/>
      <c r="UDR26" s="19"/>
      <c r="UDS26" s="19"/>
      <c r="UDT26" s="19"/>
      <c r="UDU26" s="19"/>
      <c r="UDV26" s="19"/>
      <c r="UDW26" s="19"/>
      <c r="UDX26" s="19"/>
      <c r="UDY26" s="19"/>
      <c r="UDZ26" s="19"/>
      <c r="UEA26" s="19"/>
      <c r="UEB26" s="19"/>
      <c r="UEC26" s="19"/>
      <c r="UED26" s="19"/>
      <c r="UEE26" s="19"/>
      <c r="UEF26" s="19"/>
      <c r="UEG26" s="19"/>
      <c r="UEH26" s="19"/>
      <c r="UEI26" s="19"/>
      <c r="UEJ26" s="19"/>
      <c r="UEK26" s="19"/>
      <c r="UEL26" s="19"/>
      <c r="UEM26" s="19"/>
      <c r="UEN26" s="19"/>
      <c r="UEO26" s="19"/>
      <c r="UEP26" s="19"/>
      <c r="UEQ26" s="19"/>
      <c r="UER26" s="19"/>
      <c r="UES26" s="19"/>
      <c r="UET26" s="19"/>
      <c r="UEU26" s="19"/>
      <c r="UEV26" s="19"/>
      <c r="UEW26" s="19"/>
      <c r="UEX26" s="19"/>
      <c r="UEY26" s="19"/>
      <c r="UEZ26" s="19"/>
      <c r="UFA26" s="19"/>
      <c r="UFB26" s="19"/>
      <c r="UFC26" s="19"/>
      <c r="UFD26" s="19"/>
      <c r="UFE26" s="19"/>
      <c r="UFF26" s="19"/>
      <c r="UFG26" s="19"/>
      <c r="UFH26" s="19"/>
      <c r="UFI26" s="19"/>
      <c r="UFJ26" s="19"/>
      <c r="UFK26" s="19"/>
      <c r="UFL26" s="19"/>
      <c r="UFM26" s="19"/>
      <c r="UFN26" s="19"/>
      <c r="UFO26" s="19"/>
      <c r="UFP26" s="19"/>
      <c r="UFQ26" s="19"/>
      <c r="UFR26" s="19"/>
      <c r="UFS26" s="19"/>
      <c r="UFT26" s="19"/>
      <c r="UFU26" s="19"/>
      <c r="UFV26" s="19"/>
      <c r="UFW26" s="19"/>
      <c r="UFX26" s="19"/>
      <c r="UFY26" s="19"/>
      <c r="UFZ26" s="19"/>
      <c r="UGA26" s="19"/>
      <c r="UGB26" s="19"/>
      <c r="UGC26" s="19"/>
      <c r="UGD26" s="19"/>
      <c r="UGE26" s="19"/>
      <c r="UGF26" s="19"/>
      <c r="UGG26" s="19"/>
      <c r="UGH26" s="19"/>
      <c r="UGI26" s="19"/>
      <c r="UGJ26" s="19"/>
      <c r="UGK26" s="19"/>
      <c r="UGL26" s="19"/>
      <c r="UGM26" s="19"/>
      <c r="UGN26" s="19"/>
      <c r="UGO26" s="19"/>
      <c r="UGP26" s="19"/>
      <c r="UGQ26" s="19"/>
      <c r="UGR26" s="19"/>
      <c r="UGS26" s="19"/>
      <c r="UGT26" s="19"/>
      <c r="UGU26" s="19"/>
      <c r="UGV26" s="19"/>
      <c r="UGW26" s="19"/>
      <c r="UGX26" s="19"/>
      <c r="UGY26" s="19"/>
      <c r="UGZ26" s="19"/>
      <c r="UHA26" s="19"/>
      <c r="UHB26" s="19"/>
      <c r="UHC26" s="19"/>
      <c r="UHD26" s="19"/>
      <c r="UHE26" s="19"/>
      <c r="UHF26" s="19"/>
      <c r="UHG26" s="19"/>
      <c r="UHH26" s="19"/>
      <c r="UHI26" s="19"/>
      <c r="UHJ26" s="19"/>
      <c r="UHK26" s="19"/>
      <c r="UHL26" s="19"/>
      <c r="UHM26" s="19"/>
      <c r="UHN26" s="19"/>
      <c r="UHO26" s="19"/>
      <c r="UHP26" s="19"/>
      <c r="UHQ26" s="19"/>
      <c r="UHR26" s="19"/>
      <c r="UHS26" s="19"/>
      <c r="UHT26" s="19"/>
      <c r="UHU26" s="19"/>
      <c r="UHV26" s="19"/>
      <c r="UHW26" s="19"/>
      <c r="UHX26" s="19"/>
      <c r="UHY26" s="19"/>
      <c r="UHZ26" s="19"/>
      <c r="UIA26" s="19"/>
      <c r="UIB26" s="19"/>
      <c r="UIC26" s="19"/>
      <c r="UID26" s="19"/>
      <c r="UIE26" s="19"/>
      <c r="UIF26" s="19"/>
      <c r="UIG26" s="19"/>
      <c r="UIH26" s="19"/>
      <c r="UII26" s="19"/>
      <c r="UIJ26" s="19"/>
      <c r="UIK26" s="19"/>
      <c r="UIL26" s="19"/>
      <c r="UIM26" s="19"/>
      <c r="UIN26" s="19"/>
      <c r="UIO26" s="19"/>
      <c r="UIP26" s="19"/>
      <c r="UIQ26" s="19"/>
      <c r="UIR26" s="19"/>
      <c r="UIS26" s="19"/>
      <c r="UIT26" s="19"/>
      <c r="UIU26" s="19"/>
      <c r="UIV26" s="19"/>
      <c r="UIW26" s="19"/>
      <c r="UIX26" s="19"/>
      <c r="UIY26" s="19"/>
      <c r="UIZ26" s="19"/>
      <c r="UJA26" s="19"/>
      <c r="UJB26" s="19"/>
      <c r="UJC26" s="19"/>
      <c r="UJD26" s="19"/>
      <c r="UJE26" s="19"/>
      <c r="UJF26" s="19"/>
      <c r="UJG26" s="19"/>
      <c r="UJH26" s="19"/>
      <c r="UJI26" s="19"/>
      <c r="UJJ26" s="19"/>
      <c r="UJK26" s="19"/>
      <c r="UJL26" s="19"/>
      <c r="UJM26" s="19"/>
      <c r="UJN26" s="19"/>
      <c r="UJO26" s="19"/>
      <c r="UJP26" s="19"/>
      <c r="UJQ26" s="19"/>
      <c r="UJR26" s="19"/>
      <c r="UJS26" s="19"/>
      <c r="UJT26" s="19"/>
      <c r="UJU26" s="19"/>
      <c r="UJV26" s="19"/>
      <c r="UJW26" s="19"/>
      <c r="UJX26" s="19"/>
      <c r="UJY26" s="19"/>
      <c r="UJZ26" s="19"/>
      <c r="UKA26" s="19"/>
      <c r="UKB26" s="19"/>
      <c r="UKC26" s="19"/>
      <c r="UKD26" s="19"/>
      <c r="UKE26" s="19"/>
      <c r="UKF26" s="19"/>
      <c r="UKG26" s="19"/>
      <c r="UKH26" s="19"/>
      <c r="UKI26" s="19"/>
      <c r="UKJ26" s="19"/>
      <c r="UKK26" s="19"/>
      <c r="UKL26" s="19"/>
      <c r="UKM26" s="19"/>
      <c r="UKN26" s="19"/>
      <c r="UKO26" s="19"/>
      <c r="UKP26" s="19"/>
      <c r="UKQ26" s="19"/>
      <c r="UKR26" s="19"/>
      <c r="UKS26" s="19"/>
      <c r="UKT26" s="19"/>
      <c r="UKU26" s="19"/>
      <c r="UKV26" s="19"/>
      <c r="UKW26" s="19"/>
      <c r="UKX26" s="19"/>
      <c r="UKY26" s="19"/>
      <c r="UKZ26" s="19"/>
      <c r="ULA26" s="19"/>
      <c r="ULB26" s="19"/>
      <c r="ULC26" s="19"/>
      <c r="ULD26" s="19"/>
      <c r="ULE26" s="19"/>
      <c r="ULF26" s="19"/>
      <c r="ULG26" s="19"/>
      <c r="ULH26" s="19"/>
      <c r="ULI26" s="19"/>
      <c r="ULJ26" s="19"/>
      <c r="ULK26" s="19"/>
      <c r="ULL26" s="19"/>
      <c r="ULM26" s="19"/>
      <c r="ULN26" s="19"/>
      <c r="ULO26" s="19"/>
      <c r="ULP26" s="19"/>
      <c r="ULQ26" s="19"/>
      <c r="ULR26" s="19"/>
      <c r="ULS26" s="19"/>
      <c r="ULT26" s="19"/>
      <c r="ULU26" s="19"/>
      <c r="ULV26" s="19"/>
      <c r="ULW26" s="19"/>
      <c r="ULX26" s="19"/>
      <c r="ULY26" s="19"/>
      <c r="ULZ26" s="19"/>
      <c r="UMA26" s="19"/>
      <c r="UMB26" s="19"/>
      <c r="UMC26" s="19"/>
      <c r="UMD26" s="19"/>
      <c r="UME26" s="19"/>
      <c r="UMF26" s="19"/>
      <c r="UMG26" s="19"/>
      <c r="UMH26" s="19"/>
      <c r="UMI26" s="19"/>
      <c r="UMJ26" s="19"/>
      <c r="UMK26" s="19"/>
      <c r="UML26" s="19"/>
      <c r="UMM26" s="19"/>
      <c r="UMN26" s="19"/>
      <c r="UMO26" s="19"/>
      <c r="UMP26" s="19"/>
      <c r="UMQ26" s="19"/>
      <c r="UMR26" s="19"/>
      <c r="UMS26" s="19"/>
      <c r="UMT26" s="19"/>
      <c r="UMU26" s="19"/>
      <c r="UMV26" s="19"/>
      <c r="UMW26" s="19"/>
      <c r="UMX26" s="19"/>
      <c r="UMY26" s="19"/>
      <c r="UMZ26" s="19"/>
      <c r="UNA26" s="19"/>
      <c r="UNB26" s="19"/>
      <c r="UNC26" s="19"/>
      <c r="UND26" s="19"/>
      <c r="UNE26" s="19"/>
      <c r="UNF26" s="19"/>
      <c r="UNG26" s="19"/>
      <c r="UNH26" s="19"/>
      <c r="UNI26" s="19"/>
      <c r="UNJ26" s="19"/>
      <c r="UNK26" s="19"/>
      <c r="UNL26" s="19"/>
      <c r="UNM26" s="19"/>
      <c r="UNN26" s="19"/>
      <c r="UNO26" s="19"/>
      <c r="UNP26" s="19"/>
      <c r="UNQ26" s="19"/>
      <c r="UNR26" s="19"/>
      <c r="UNS26" s="19"/>
      <c r="UNT26" s="19"/>
      <c r="UNU26" s="19"/>
      <c r="UNV26" s="19"/>
      <c r="UNW26" s="19"/>
      <c r="UNX26" s="19"/>
      <c r="UNY26" s="19"/>
      <c r="UNZ26" s="19"/>
      <c r="UOA26" s="19"/>
      <c r="UOB26" s="19"/>
      <c r="UOC26" s="19"/>
      <c r="UOD26" s="19"/>
      <c r="UOE26" s="19"/>
      <c r="UOF26" s="19"/>
      <c r="UOG26" s="19"/>
      <c r="UOH26" s="19"/>
      <c r="UOI26" s="19"/>
      <c r="UOJ26" s="19"/>
      <c r="UOK26" s="19"/>
      <c r="UOL26" s="19"/>
      <c r="UOM26" s="19"/>
      <c r="UON26" s="19"/>
      <c r="UOO26" s="19"/>
      <c r="UOP26" s="19"/>
      <c r="UOQ26" s="19"/>
      <c r="UOR26" s="19"/>
      <c r="UOS26" s="19"/>
      <c r="UOT26" s="19"/>
      <c r="UOU26" s="19"/>
      <c r="UOV26" s="19"/>
      <c r="UOW26" s="19"/>
      <c r="UOX26" s="19"/>
      <c r="UOY26" s="19"/>
      <c r="UOZ26" s="19"/>
      <c r="UPA26" s="19"/>
      <c r="UPB26" s="19"/>
      <c r="UPC26" s="19"/>
      <c r="UPD26" s="19"/>
      <c r="UPE26" s="19"/>
      <c r="UPF26" s="19"/>
      <c r="UPG26" s="19"/>
      <c r="UPH26" s="19"/>
      <c r="UPI26" s="19"/>
      <c r="UPJ26" s="19"/>
      <c r="UPK26" s="19"/>
      <c r="UPL26" s="19"/>
      <c r="UPM26" s="19"/>
      <c r="UPN26" s="19"/>
      <c r="UPO26" s="19"/>
      <c r="UPP26" s="19"/>
      <c r="UPQ26" s="19"/>
      <c r="UPR26" s="19"/>
      <c r="UPS26" s="19"/>
      <c r="UPT26" s="19"/>
      <c r="UPU26" s="19"/>
      <c r="UPV26" s="19"/>
      <c r="UPW26" s="19"/>
      <c r="UPX26" s="19"/>
      <c r="UPY26" s="19"/>
      <c r="UPZ26" s="19"/>
      <c r="UQA26" s="19"/>
      <c r="UQB26" s="19"/>
      <c r="UQC26" s="19"/>
      <c r="UQD26" s="19"/>
      <c r="UQE26" s="19"/>
      <c r="UQF26" s="19"/>
      <c r="UQG26" s="19"/>
      <c r="UQH26" s="19"/>
      <c r="UQI26" s="19"/>
      <c r="UQJ26" s="19"/>
      <c r="UQK26" s="19"/>
      <c r="UQL26" s="19"/>
      <c r="UQM26" s="19"/>
      <c r="UQN26" s="19"/>
      <c r="UQO26" s="19"/>
      <c r="UQP26" s="19"/>
      <c r="UQQ26" s="19"/>
      <c r="UQR26" s="19"/>
      <c r="UQS26" s="19"/>
      <c r="UQT26" s="19"/>
      <c r="UQU26" s="19"/>
      <c r="UQV26" s="19"/>
      <c r="UQW26" s="19"/>
      <c r="UQX26" s="19"/>
      <c r="UQY26" s="19"/>
      <c r="UQZ26" s="19"/>
      <c r="URA26" s="19"/>
      <c r="URB26" s="19"/>
      <c r="URC26" s="19"/>
      <c r="URD26" s="19"/>
      <c r="URE26" s="19"/>
      <c r="URF26" s="19"/>
      <c r="URG26" s="19"/>
      <c r="URH26" s="19"/>
      <c r="URI26" s="19"/>
      <c r="URJ26" s="19"/>
      <c r="URK26" s="19"/>
      <c r="URL26" s="19"/>
      <c r="URM26" s="19"/>
      <c r="URN26" s="19"/>
      <c r="URO26" s="19"/>
      <c r="URP26" s="19"/>
      <c r="URQ26" s="19"/>
      <c r="URR26" s="19"/>
      <c r="URS26" s="19"/>
      <c r="URT26" s="19"/>
      <c r="URU26" s="19"/>
      <c r="URV26" s="19"/>
      <c r="URW26" s="19"/>
      <c r="URX26" s="19"/>
      <c r="URY26" s="19"/>
      <c r="URZ26" s="19"/>
      <c r="USA26" s="19"/>
      <c r="USB26" s="19"/>
      <c r="USC26" s="19"/>
      <c r="USD26" s="19"/>
      <c r="USE26" s="19"/>
      <c r="USF26" s="19"/>
      <c r="USG26" s="19"/>
      <c r="USH26" s="19"/>
      <c r="USI26" s="19"/>
      <c r="USJ26" s="19"/>
      <c r="USK26" s="19"/>
      <c r="USL26" s="19"/>
      <c r="USM26" s="19"/>
      <c r="USN26" s="19"/>
      <c r="USO26" s="19"/>
      <c r="USP26" s="19"/>
      <c r="USQ26" s="19"/>
      <c r="USR26" s="19"/>
      <c r="USS26" s="19"/>
      <c r="UST26" s="19"/>
      <c r="USU26" s="19"/>
      <c r="USV26" s="19"/>
      <c r="USW26" s="19"/>
      <c r="USX26" s="19"/>
      <c r="USY26" s="19"/>
      <c r="USZ26" s="19"/>
      <c r="UTA26" s="19"/>
      <c r="UTB26" s="19"/>
      <c r="UTC26" s="19"/>
      <c r="UTD26" s="19"/>
      <c r="UTE26" s="19"/>
      <c r="UTF26" s="19"/>
      <c r="UTG26" s="19"/>
      <c r="UTH26" s="19"/>
      <c r="UTI26" s="19"/>
      <c r="UTJ26" s="19"/>
      <c r="UTK26" s="19"/>
      <c r="UTL26" s="19"/>
      <c r="UTM26" s="19"/>
      <c r="UTN26" s="19"/>
      <c r="UTO26" s="19"/>
      <c r="UTP26" s="19"/>
      <c r="UTQ26" s="19"/>
      <c r="UTR26" s="19"/>
      <c r="UTS26" s="19"/>
      <c r="UTT26" s="19"/>
      <c r="UTU26" s="19"/>
      <c r="UTV26" s="19"/>
      <c r="UTW26" s="19"/>
      <c r="UTX26" s="19"/>
      <c r="UTY26" s="19"/>
      <c r="UTZ26" s="19"/>
      <c r="UUA26" s="19"/>
      <c r="UUB26" s="19"/>
      <c r="UUC26" s="19"/>
      <c r="UUD26" s="19"/>
      <c r="UUE26" s="19"/>
      <c r="UUF26" s="19"/>
      <c r="UUG26" s="19"/>
      <c r="UUH26" s="19"/>
      <c r="UUI26" s="19"/>
      <c r="UUJ26" s="19"/>
      <c r="UUK26" s="19"/>
      <c r="UUL26" s="19"/>
      <c r="UUM26" s="19"/>
      <c r="UUN26" s="19"/>
      <c r="UUO26" s="19"/>
      <c r="UUP26" s="19"/>
      <c r="UUQ26" s="19"/>
      <c r="UUR26" s="19"/>
      <c r="UUS26" s="19"/>
      <c r="UUT26" s="19"/>
      <c r="UUU26" s="19"/>
      <c r="UUV26" s="19"/>
      <c r="UUW26" s="19"/>
      <c r="UUX26" s="19"/>
      <c r="UUY26" s="19"/>
      <c r="UUZ26" s="19"/>
      <c r="UVA26" s="19"/>
      <c r="UVB26" s="19"/>
      <c r="UVC26" s="19"/>
      <c r="UVD26" s="19"/>
      <c r="UVE26" s="19"/>
      <c r="UVF26" s="19"/>
      <c r="UVG26" s="19"/>
      <c r="UVH26" s="19"/>
      <c r="UVI26" s="19"/>
      <c r="UVJ26" s="19"/>
      <c r="UVK26" s="19"/>
      <c r="UVL26" s="19"/>
      <c r="UVM26" s="19"/>
      <c r="UVN26" s="19"/>
      <c r="UVO26" s="19"/>
      <c r="UVP26" s="19"/>
      <c r="UVQ26" s="19"/>
      <c r="UVR26" s="19"/>
      <c r="UVS26" s="19"/>
      <c r="UVT26" s="19"/>
      <c r="UVU26" s="19"/>
      <c r="UVV26" s="19"/>
      <c r="UVW26" s="19"/>
      <c r="UVX26" s="19"/>
      <c r="UVY26" s="19"/>
      <c r="UVZ26" s="19"/>
      <c r="UWA26" s="19"/>
      <c r="UWB26" s="19"/>
      <c r="UWC26" s="19"/>
      <c r="UWD26" s="19"/>
      <c r="UWE26" s="19"/>
      <c r="UWF26" s="19"/>
      <c r="UWG26" s="19"/>
      <c r="UWH26" s="19"/>
      <c r="UWI26" s="19"/>
      <c r="UWJ26" s="19"/>
      <c r="UWK26" s="19"/>
      <c r="UWL26" s="19"/>
      <c r="UWM26" s="19"/>
      <c r="UWN26" s="19"/>
      <c r="UWO26" s="19"/>
      <c r="UWP26" s="19"/>
      <c r="UWQ26" s="19"/>
      <c r="UWR26" s="19"/>
      <c r="UWS26" s="19"/>
      <c r="UWT26" s="19"/>
      <c r="UWU26" s="19"/>
      <c r="UWV26" s="19"/>
      <c r="UWW26" s="19"/>
      <c r="UWX26" s="19"/>
      <c r="UWY26" s="19"/>
      <c r="UWZ26" s="19"/>
      <c r="UXA26" s="19"/>
      <c r="UXB26" s="19"/>
      <c r="UXC26" s="19"/>
      <c r="UXD26" s="19"/>
      <c r="UXE26" s="19"/>
      <c r="UXF26" s="19"/>
      <c r="UXG26" s="19"/>
      <c r="UXH26" s="19"/>
      <c r="UXI26" s="19"/>
      <c r="UXJ26" s="19"/>
      <c r="UXK26" s="19"/>
      <c r="UXL26" s="19"/>
      <c r="UXM26" s="19"/>
      <c r="UXN26" s="19"/>
      <c r="UXO26" s="19"/>
      <c r="UXP26" s="19"/>
      <c r="UXQ26" s="19"/>
      <c r="UXR26" s="19"/>
      <c r="UXS26" s="19"/>
      <c r="UXT26" s="19"/>
      <c r="UXU26" s="19"/>
      <c r="UXV26" s="19"/>
      <c r="UXW26" s="19"/>
      <c r="UXX26" s="19"/>
      <c r="UXY26" s="19"/>
      <c r="UXZ26" s="19"/>
      <c r="UYA26" s="19"/>
      <c r="UYB26" s="19"/>
      <c r="UYC26" s="19"/>
      <c r="UYD26" s="19"/>
      <c r="UYE26" s="19"/>
      <c r="UYF26" s="19"/>
      <c r="UYG26" s="19"/>
      <c r="UYH26" s="19"/>
      <c r="UYI26" s="19"/>
      <c r="UYJ26" s="19"/>
      <c r="UYK26" s="19"/>
      <c r="UYL26" s="19"/>
      <c r="UYM26" s="19"/>
      <c r="UYN26" s="19"/>
      <c r="UYO26" s="19"/>
      <c r="UYP26" s="19"/>
      <c r="UYQ26" s="19"/>
      <c r="UYR26" s="19"/>
      <c r="UYS26" s="19"/>
      <c r="UYT26" s="19"/>
      <c r="UYU26" s="19"/>
      <c r="UYV26" s="19"/>
      <c r="UYW26" s="19"/>
      <c r="UYX26" s="19"/>
      <c r="UYY26" s="19"/>
      <c r="UYZ26" s="19"/>
      <c r="UZA26" s="19"/>
      <c r="UZB26" s="19"/>
      <c r="UZC26" s="19"/>
      <c r="UZD26" s="19"/>
      <c r="UZE26" s="19"/>
      <c r="UZF26" s="19"/>
      <c r="UZG26" s="19"/>
      <c r="UZH26" s="19"/>
      <c r="UZI26" s="19"/>
      <c r="UZJ26" s="19"/>
      <c r="UZK26" s="19"/>
      <c r="UZL26" s="19"/>
      <c r="UZM26" s="19"/>
      <c r="UZN26" s="19"/>
      <c r="UZO26" s="19"/>
      <c r="UZP26" s="19"/>
      <c r="UZQ26" s="19"/>
      <c r="UZR26" s="19"/>
      <c r="UZS26" s="19"/>
      <c r="UZT26" s="19"/>
      <c r="UZU26" s="19"/>
      <c r="UZV26" s="19"/>
      <c r="UZW26" s="19"/>
      <c r="UZX26" s="19"/>
      <c r="UZY26" s="19"/>
      <c r="UZZ26" s="19"/>
      <c r="VAA26" s="19"/>
      <c r="VAB26" s="19"/>
      <c r="VAC26" s="19"/>
      <c r="VAD26" s="19"/>
      <c r="VAE26" s="19"/>
      <c r="VAF26" s="19"/>
      <c r="VAG26" s="19"/>
      <c r="VAH26" s="19"/>
      <c r="VAI26" s="19"/>
      <c r="VAJ26" s="19"/>
      <c r="VAK26" s="19"/>
      <c r="VAL26" s="19"/>
      <c r="VAM26" s="19"/>
      <c r="VAN26" s="19"/>
      <c r="VAO26" s="19"/>
      <c r="VAP26" s="19"/>
      <c r="VAQ26" s="19"/>
      <c r="VAR26" s="19"/>
      <c r="VAS26" s="19"/>
      <c r="VAT26" s="19"/>
      <c r="VAU26" s="19"/>
      <c r="VAV26" s="19"/>
      <c r="VAW26" s="19"/>
      <c r="VAX26" s="19"/>
      <c r="VAY26" s="19"/>
      <c r="VAZ26" s="19"/>
      <c r="VBA26" s="19"/>
      <c r="VBB26" s="19"/>
      <c r="VBC26" s="19"/>
      <c r="VBD26" s="19"/>
      <c r="VBE26" s="19"/>
      <c r="VBF26" s="19"/>
      <c r="VBG26" s="19"/>
      <c r="VBH26" s="19"/>
      <c r="VBI26" s="19"/>
      <c r="VBJ26" s="19"/>
      <c r="VBK26" s="19"/>
      <c r="VBL26" s="19"/>
      <c r="VBM26" s="19"/>
      <c r="VBN26" s="19"/>
      <c r="VBO26" s="19"/>
      <c r="VBP26" s="19"/>
      <c r="VBQ26" s="19"/>
      <c r="VBR26" s="19"/>
      <c r="VBS26" s="19"/>
      <c r="VBT26" s="19"/>
      <c r="VBU26" s="19"/>
      <c r="VBV26" s="19"/>
      <c r="VBW26" s="19"/>
      <c r="VBX26" s="19"/>
      <c r="VBY26" s="19"/>
      <c r="VBZ26" s="19"/>
      <c r="VCA26" s="19"/>
      <c r="VCB26" s="19"/>
      <c r="VCC26" s="19"/>
      <c r="VCD26" s="19"/>
      <c r="VCE26" s="19"/>
      <c r="VCF26" s="19"/>
      <c r="VCG26" s="19"/>
      <c r="VCH26" s="19"/>
      <c r="VCI26" s="19"/>
      <c r="VCJ26" s="19"/>
      <c r="VCK26" s="19"/>
      <c r="VCL26" s="19"/>
      <c r="VCM26" s="19"/>
      <c r="VCN26" s="19"/>
      <c r="VCO26" s="19"/>
      <c r="VCP26" s="19"/>
      <c r="VCQ26" s="19"/>
      <c r="VCR26" s="19"/>
      <c r="VCS26" s="19"/>
      <c r="VCT26" s="19"/>
      <c r="VCU26" s="19"/>
      <c r="VCV26" s="19"/>
      <c r="VCW26" s="19"/>
      <c r="VCX26" s="19"/>
      <c r="VCY26" s="19"/>
      <c r="VCZ26" s="19"/>
      <c r="VDA26" s="19"/>
      <c r="VDB26" s="19"/>
      <c r="VDC26" s="19"/>
      <c r="VDD26" s="19"/>
      <c r="VDE26" s="19"/>
      <c r="VDF26" s="19"/>
      <c r="VDG26" s="19"/>
      <c r="VDH26" s="19"/>
      <c r="VDI26" s="19"/>
      <c r="VDJ26" s="19"/>
      <c r="VDK26" s="19"/>
      <c r="VDL26" s="19"/>
      <c r="VDM26" s="19"/>
      <c r="VDN26" s="19"/>
      <c r="VDO26" s="19"/>
      <c r="VDP26" s="19"/>
      <c r="VDQ26" s="19"/>
      <c r="VDR26" s="19"/>
      <c r="VDS26" s="19"/>
      <c r="VDT26" s="19"/>
      <c r="VDU26" s="19"/>
      <c r="VDV26" s="19"/>
      <c r="VDW26" s="19"/>
      <c r="VDX26" s="19"/>
      <c r="VDY26" s="19"/>
      <c r="VDZ26" s="19"/>
      <c r="VEA26" s="19"/>
      <c r="VEB26" s="19"/>
      <c r="VEC26" s="19"/>
      <c r="VED26" s="19"/>
      <c r="VEE26" s="19"/>
      <c r="VEF26" s="19"/>
      <c r="VEG26" s="19"/>
      <c r="VEH26" s="19"/>
      <c r="VEI26" s="19"/>
      <c r="VEJ26" s="19"/>
      <c r="VEK26" s="19"/>
      <c r="VEL26" s="19"/>
      <c r="VEM26" s="19"/>
      <c r="VEN26" s="19"/>
      <c r="VEO26" s="19"/>
      <c r="VEP26" s="19"/>
      <c r="VEQ26" s="19"/>
      <c r="VER26" s="19"/>
      <c r="VES26" s="19"/>
      <c r="VET26" s="19"/>
      <c r="VEU26" s="19"/>
      <c r="VEV26" s="19"/>
      <c r="VEW26" s="19"/>
      <c r="VEX26" s="19"/>
      <c r="VEY26" s="19"/>
      <c r="VEZ26" s="19"/>
      <c r="VFA26" s="19"/>
      <c r="VFB26" s="19"/>
      <c r="VFC26" s="19"/>
      <c r="VFD26" s="19"/>
      <c r="VFE26" s="19"/>
      <c r="VFF26" s="19"/>
      <c r="VFG26" s="19"/>
      <c r="VFH26" s="19"/>
      <c r="VFI26" s="19"/>
      <c r="VFJ26" s="19"/>
      <c r="VFK26" s="19"/>
      <c r="VFL26" s="19"/>
      <c r="VFM26" s="19"/>
      <c r="VFN26" s="19"/>
      <c r="VFO26" s="19"/>
      <c r="VFP26" s="19"/>
      <c r="VFQ26" s="19"/>
      <c r="VFR26" s="19"/>
      <c r="VFS26" s="19"/>
      <c r="VFT26" s="19"/>
      <c r="VFU26" s="19"/>
      <c r="VFV26" s="19"/>
      <c r="VFW26" s="19"/>
      <c r="VFX26" s="19"/>
      <c r="VFY26" s="19"/>
      <c r="VFZ26" s="19"/>
      <c r="VGA26" s="19"/>
      <c r="VGB26" s="19"/>
      <c r="VGC26" s="19"/>
      <c r="VGD26" s="19"/>
      <c r="VGE26" s="19"/>
      <c r="VGF26" s="19"/>
      <c r="VGG26" s="19"/>
      <c r="VGH26" s="19"/>
      <c r="VGI26" s="19"/>
      <c r="VGJ26" s="19"/>
      <c r="VGK26" s="19"/>
      <c r="VGL26" s="19"/>
      <c r="VGM26" s="19"/>
      <c r="VGN26" s="19"/>
      <c r="VGO26" s="19"/>
      <c r="VGP26" s="19"/>
      <c r="VGQ26" s="19"/>
      <c r="VGR26" s="19"/>
      <c r="VGS26" s="19"/>
      <c r="VGT26" s="19"/>
      <c r="VGU26" s="19"/>
      <c r="VGV26" s="19"/>
      <c r="VGW26" s="19"/>
      <c r="VGX26" s="19"/>
      <c r="VGY26" s="19"/>
      <c r="VGZ26" s="19"/>
      <c r="VHA26" s="19"/>
      <c r="VHB26" s="19"/>
      <c r="VHC26" s="19"/>
      <c r="VHD26" s="19"/>
      <c r="VHE26" s="19"/>
      <c r="VHF26" s="19"/>
      <c r="VHG26" s="19"/>
      <c r="VHH26" s="19"/>
      <c r="VHI26" s="19"/>
      <c r="VHJ26" s="19"/>
      <c r="VHK26" s="19"/>
      <c r="VHL26" s="19"/>
      <c r="VHM26" s="19"/>
      <c r="VHN26" s="19"/>
      <c r="VHO26" s="19"/>
      <c r="VHP26" s="19"/>
      <c r="VHQ26" s="19"/>
      <c r="VHR26" s="19"/>
      <c r="VHS26" s="19"/>
      <c r="VHT26" s="19"/>
      <c r="VHU26" s="19"/>
      <c r="VHV26" s="19"/>
      <c r="VHW26" s="19"/>
      <c r="VHX26" s="19"/>
      <c r="VHY26" s="19"/>
      <c r="VHZ26" s="19"/>
      <c r="VIA26" s="19"/>
      <c r="VIB26" s="19"/>
      <c r="VIC26" s="19"/>
      <c r="VID26" s="19"/>
      <c r="VIE26" s="19"/>
      <c r="VIF26" s="19"/>
      <c r="VIG26" s="19"/>
      <c r="VIH26" s="19"/>
      <c r="VII26" s="19"/>
      <c r="VIJ26" s="19"/>
      <c r="VIK26" s="19"/>
      <c r="VIL26" s="19"/>
      <c r="VIM26" s="19"/>
      <c r="VIN26" s="19"/>
      <c r="VIO26" s="19"/>
      <c r="VIP26" s="19"/>
      <c r="VIQ26" s="19"/>
      <c r="VIR26" s="19"/>
      <c r="VIS26" s="19"/>
      <c r="VIT26" s="19"/>
      <c r="VIU26" s="19"/>
      <c r="VIV26" s="19"/>
      <c r="VIW26" s="19"/>
      <c r="VIX26" s="19"/>
      <c r="VIY26" s="19"/>
      <c r="VIZ26" s="19"/>
      <c r="VJA26" s="19"/>
      <c r="VJB26" s="19"/>
      <c r="VJC26" s="19"/>
      <c r="VJD26" s="19"/>
      <c r="VJE26" s="19"/>
      <c r="VJF26" s="19"/>
      <c r="VJG26" s="19"/>
      <c r="VJH26" s="19"/>
      <c r="VJI26" s="19"/>
      <c r="VJJ26" s="19"/>
      <c r="VJK26" s="19"/>
      <c r="VJL26" s="19"/>
      <c r="VJM26" s="19"/>
      <c r="VJN26" s="19"/>
      <c r="VJO26" s="19"/>
      <c r="VJP26" s="19"/>
      <c r="VJQ26" s="19"/>
      <c r="VJR26" s="19"/>
      <c r="VJS26" s="19"/>
      <c r="VJT26" s="19"/>
      <c r="VJU26" s="19"/>
      <c r="VJV26" s="19"/>
      <c r="VJW26" s="19"/>
      <c r="VJX26" s="19"/>
      <c r="VJY26" s="19"/>
      <c r="VJZ26" s="19"/>
      <c r="VKA26" s="19"/>
      <c r="VKB26" s="19"/>
      <c r="VKC26" s="19"/>
      <c r="VKD26" s="19"/>
      <c r="VKE26" s="19"/>
      <c r="VKF26" s="19"/>
      <c r="VKG26" s="19"/>
      <c r="VKH26" s="19"/>
      <c r="VKI26" s="19"/>
      <c r="VKJ26" s="19"/>
      <c r="VKK26" s="19"/>
      <c r="VKL26" s="19"/>
      <c r="VKM26" s="19"/>
      <c r="VKN26" s="19"/>
      <c r="VKO26" s="19"/>
      <c r="VKP26" s="19"/>
      <c r="VKQ26" s="19"/>
      <c r="VKR26" s="19"/>
      <c r="VKS26" s="19"/>
      <c r="VKT26" s="19"/>
      <c r="VKU26" s="19"/>
      <c r="VKV26" s="19"/>
      <c r="VKW26" s="19"/>
      <c r="VKX26" s="19"/>
      <c r="VKY26" s="19"/>
      <c r="VKZ26" s="19"/>
      <c r="VLA26" s="19"/>
      <c r="VLB26" s="19"/>
      <c r="VLC26" s="19"/>
      <c r="VLD26" s="19"/>
      <c r="VLE26" s="19"/>
      <c r="VLF26" s="19"/>
      <c r="VLG26" s="19"/>
      <c r="VLH26" s="19"/>
      <c r="VLI26" s="19"/>
      <c r="VLJ26" s="19"/>
      <c r="VLK26" s="19"/>
      <c r="VLL26" s="19"/>
      <c r="VLM26" s="19"/>
      <c r="VLN26" s="19"/>
      <c r="VLO26" s="19"/>
      <c r="VLP26" s="19"/>
      <c r="VLQ26" s="19"/>
      <c r="VLR26" s="19"/>
      <c r="VLS26" s="19"/>
      <c r="VLT26" s="19"/>
      <c r="VLU26" s="19"/>
      <c r="VLV26" s="19"/>
      <c r="VLW26" s="19"/>
      <c r="VLX26" s="19"/>
      <c r="VLY26" s="19"/>
      <c r="VLZ26" s="19"/>
      <c r="VMA26" s="19"/>
      <c r="VMB26" s="19"/>
      <c r="VMC26" s="19"/>
      <c r="VMD26" s="19"/>
      <c r="VME26" s="19"/>
      <c r="VMF26" s="19"/>
      <c r="VMG26" s="19"/>
      <c r="VMH26" s="19"/>
      <c r="VMI26" s="19"/>
      <c r="VMJ26" s="19"/>
      <c r="VMK26" s="19"/>
      <c r="VML26" s="19"/>
      <c r="VMM26" s="19"/>
      <c r="VMN26" s="19"/>
      <c r="VMO26" s="19"/>
      <c r="VMP26" s="19"/>
      <c r="VMQ26" s="19"/>
      <c r="VMR26" s="19"/>
      <c r="VMS26" s="19"/>
      <c r="VMT26" s="19"/>
      <c r="VMU26" s="19"/>
      <c r="VMV26" s="19"/>
      <c r="VMW26" s="19"/>
      <c r="VMX26" s="19"/>
      <c r="VMY26" s="19"/>
      <c r="VMZ26" s="19"/>
      <c r="VNA26" s="19"/>
      <c r="VNB26" s="19"/>
      <c r="VNC26" s="19"/>
      <c r="VND26" s="19"/>
      <c r="VNE26" s="19"/>
      <c r="VNF26" s="19"/>
      <c r="VNG26" s="19"/>
      <c r="VNH26" s="19"/>
      <c r="VNI26" s="19"/>
      <c r="VNJ26" s="19"/>
      <c r="VNK26" s="19"/>
      <c r="VNL26" s="19"/>
      <c r="VNM26" s="19"/>
      <c r="VNN26" s="19"/>
      <c r="VNO26" s="19"/>
      <c r="VNP26" s="19"/>
      <c r="VNQ26" s="19"/>
      <c r="VNR26" s="19"/>
      <c r="VNS26" s="19"/>
      <c r="VNT26" s="19"/>
      <c r="VNU26" s="19"/>
      <c r="VNV26" s="19"/>
      <c r="VNW26" s="19"/>
      <c r="VNX26" s="19"/>
      <c r="VNY26" s="19"/>
      <c r="VNZ26" s="19"/>
      <c r="VOA26" s="19"/>
      <c r="VOB26" s="19"/>
      <c r="VOC26" s="19"/>
      <c r="VOD26" s="19"/>
      <c r="VOE26" s="19"/>
      <c r="VOF26" s="19"/>
      <c r="VOG26" s="19"/>
      <c r="VOH26" s="19"/>
      <c r="VOI26" s="19"/>
      <c r="VOJ26" s="19"/>
      <c r="VOK26" s="19"/>
      <c r="VOL26" s="19"/>
      <c r="VOM26" s="19"/>
      <c r="VON26" s="19"/>
      <c r="VOO26" s="19"/>
      <c r="VOP26" s="19"/>
      <c r="VOQ26" s="19"/>
      <c r="VOR26" s="19"/>
      <c r="VOS26" s="19"/>
      <c r="VOT26" s="19"/>
      <c r="VOU26" s="19"/>
      <c r="VOV26" s="19"/>
      <c r="VOW26" s="19"/>
      <c r="VOX26" s="19"/>
      <c r="VOY26" s="19"/>
      <c r="VOZ26" s="19"/>
      <c r="VPA26" s="19"/>
      <c r="VPB26" s="19"/>
      <c r="VPC26" s="19"/>
      <c r="VPD26" s="19"/>
      <c r="VPE26" s="19"/>
      <c r="VPF26" s="19"/>
      <c r="VPG26" s="19"/>
      <c r="VPH26" s="19"/>
      <c r="VPI26" s="19"/>
      <c r="VPJ26" s="19"/>
      <c r="VPK26" s="19"/>
      <c r="VPL26" s="19"/>
      <c r="VPM26" s="19"/>
      <c r="VPN26" s="19"/>
      <c r="VPO26" s="19"/>
      <c r="VPP26" s="19"/>
      <c r="VPQ26" s="19"/>
      <c r="VPR26" s="19"/>
      <c r="VPS26" s="19"/>
      <c r="VPT26" s="19"/>
      <c r="VPU26" s="19"/>
      <c r="VPV26" s="19"/>
      <c r="VPW26" s="19"/>
      <c r="VPX26" s="19"/>
      <c r="VPY26" s="19"/>
      <c r="VPZ26" s="19"/>
      <c r="VQA26" s="19"/>
      <c r="VQB26" s="19"/>
      <c r="VQC26" s="19"/>
      <c r="VQD26" s="19"/>
      <c r="VQE26" s="19"/>
      <c r="VQF26" s="19"/>
      <c r="VQG26" s="19"/>
      <c r="VQH26" s="19"/>
      <c r="VQI26" s="19"/>
      <c r="VQJ26" s="19"/>
      <c r="VQK26" s="19"/>
      <c r="VQL26" s="19"/>
      <c r="VQM26" s="19"/>
      <c r="VQN26" s="19"/>
      <c r="VQO26" s="19"/>
      <c r="VQP26" s="19"/>
      <c r="VQQ26" s="19"/>
      <c r="VQR26" s="19"/>
      <c r="VQS26" s="19"/>
      <c r="VQT26" s="19"/>
      <c r="VQU26" s="19"/>
      <c r="VQV26" s="19"/>
      <c r="VQW26" s="19"/>
      <c r="VQX26" s="19"/>
      <c r="VQY26" s="19"/>
      <c r="VQZ26" s="19"/>
      <c r="VRA26" s="19"/>
      <c r="VRB26" s="19"/>
      <c r="VRC26" s="19"/>
      <c r="VRD26" s="19"/>
      <c r="VRE26" s="19"/>
      <c r="VRF26" s="19"/>
      <c r="VRG26" s="19"/>
      <c r="VRH26" s="19"/>
      <c r="VRI26" s="19"/>
      <c r="VRJ26" s="19"/>
      <c r="VRK26" s="19"/>
      <c r="VRL26" s="19"/>
      <c r="VRM26" s="19"/>
      <c r="VRN26" s="19"/>
      <c r="VRO26" s="19"/>
      <c r="VRP26" s="19"/>
      <c r="VRQ26" s="19"/>
      <c r="VRR26" s="19"/>
      <c r="VRS26" s="19"/>
      <c r="VRT26" s="19"/>
      <c r="VRU26" s="19"/>
      <c r="VRV26" s="19"/>
      <c r="VRW26" s="19"/>
      <c r="VRX26" s="19"/>
      <c r="VRY26" s="19"/>
      <c r="VRZ26" s="19"/>
      <c r="VSA26" s="19"/>
      <c r="VSB26" s="19"/>
      <c r="VSC26" s="19"/>
      <c r="VSD26" s="19"/>
      <c r="VSE26" s="19"/>
      <c r="VSF26" s="19"/>
      <c r="VSG26" s="19"/>
      <c r="VSH26" s="19"/>
      <c r="VSI26" s="19"/>
      <c r="VSJ26" s="19"/>
      <c r="VSK26" s="19"/>
      <c r="VSL26" s="19"/>
      <c r="VSM26" s="19"/>
      <c r="VSN26" s="19"/>
      <c r="VSO26" s="19"/>
      <c r="VSP26" s="19"/>
      <c r="VSQ26" s="19"/>
      <c r="VSR26" s="19"/>
      <c r="VSS26" s="19"/>
      <c r="VST26" s="19"/>
      <c r="VSU26" s="19"/>
      <c r="VSV26" s="19"/>
      <c r="VSW26" s="19"/>
      <c r="VSX26" s="19"/>
      <c r="VSY26" s="19"/>
      <c r="VSZ26" s="19"/>
      <c r="VTA26" s="19"/>
      <c r="VTB26" s="19"/>
      <c r="VTC26" s="19"/>
      <c r="VTD26" s="19"/>
      <c r="VTE26" s="19"/>
      <c r="VTF26" s="19"/>
      <c r="VTG26" s="19"/>
      <c r="VTH26" s="19"/>
      <c r="VTI26" s="19"/>
      <c r="VTJ26" s="19"/>
      <c r="VTK26" s="19"/>
      <c r="VTL26" s="19"/>
      <c r="VTM26" s="19"/>
      <c r="VTN26" s="19"/>
      <c r="VTO26" s="19"/>
      <c r="VTP26" s="19"/>
      <c r="VTQ26" s="19"/>
      <c r="VTR26" s="19"/>
      <c r="VTS26" s="19"/>
      <c r="VTT26" s="19"/>
      <c r="VTU26" s="19"/>
      <c r="VTV26" s="19"/>
      <c r="VTW26" s="19"/>
      <c r="VTX26" s="19"/>
      <c r="VTY26" s="19"/>
      <c r="VTZ26" s="19"/>
      <c r="VUA26" s="19"/>
      <c r="VUB26" s="19"/>
      <c r="VUC26" s="19"/>
      <c r="VUD26" s="19"/>
      <c r="VUE26" s="19"/>
      <c r="VUF26" s="19"/>
      <c r="VUG26" s="19"/>
      <c r="VUH26" s="19"/>
      <c r="VUI26" s="19"/>
      <c r="VUJ26" s="19"/>
      <c r="VUK26" s="19"/>
      <c r="VUL26" s="19"/>
      <c r="VUM26" s="19"/>
      <c r="VUN26" s="19"/>
      <c r="VUO26" s="19"/>
      <c r="VUP26" s="19"/>
      <c r="VUQ26" s="19"/>
      <c r="VUR26" s="19"/>
      <c r="VUS26" s="19"/>
      <c r="VUT26" s="19"/>
      <c r="VUU26" s="19"/>
      <c r="VUV26" s="19"/>
      <c r="VUW26" s="19"/>
      <c r="VUX26" s="19"/>
      <c r="VUY26" s="19"/>
      <c r="VUZ26" s="19"/>
      <c r="VVA26" s="19"/>
      <c r="VVB26" s="19"/>
      <c r="VVC26" s="19"/>
      <c r="VVD26" s="19"/>
      <c r="VVE26" s="19"/>
      <c r="VVF26" s="19"/>
      <c r="VVG26" s="19"/>
      <c r="VVH26" s="19"/>
      <c r="VVI26" s="19"/>
      <c r="VVJ26" s="19"/>
      <c r="VVK26" s="19"/>
      <c r="VVL26" s="19"/>
      <c r="VVM26" s="19"/>
      <c r="VVN26" s="19"/>
      <c r="VVO26" s="19"/>
      <c r="VVP26" s="19"/>
      <c r="VVQ26" s="19"/>
      <c r="VVR26" s="19"/>
      <c r="VVS26" s="19"/>
      <c r="VVT26" s="19"/>
      <c r="VVU26" s="19"/>
      <c r="VVV26" s="19"/>
      <c r="VVW26" s="19"/>
      <c r="VVX26" s="19"/>
      <c r="VVY26" s="19"/>
      <c r="VVZ26" s="19"/>
      <c r="VWA26" s="19"/>
      <c r="VWB26" s="19"/>
      <c r="VWC26" s="19"/>
      <c r="VWD26" s="19"/>
      <c r="VWE26" s="19"/>
      <c r="VWF26" s="19"/>
      <c r="VWG26" s="19"/>
      <c r="VWH26" s="19"/>
      <c r="VWI26" s="19"/>
      <c r="VWJ26" s="19"/>
      <c r="VWK26" s="19"/>
      <c r="VWL26" s="19"/>
      <c r="VWM26" s="19"/>
      <c r="VWN26" s="19"/>
      <c r="VWO26" s="19"/>
      <c r="VWP26" s="19"/>
      <c r="VWQ26" s="19"/>
      <c r="VWR26" s="19"/>
      <c r="VWS26" s="19"/>
      <c r="VWT26" s="19"/>
      <c r="VWU26" s="19"/>
      <c r="VWV26" s="19"/>
      <c r="VWW26" s="19"/>
      <c r="VWX26" s="19"/>
      <c r="VWY26" s="19"/>
      <c r="VWZ26" s="19"/>
      <c r="VXA26" s="19"/>
      <c r="VXB26" s="19"/>
      <c r="VXC26" s="19"/>
      <c r="VXD26" s="19"/>
      <c r="VXE26" s="19"/>
      <c r="VXF26" s="19"/>
      <c r="VXG26" s="19"/>
      <c r="VXH26" s="19"/>
      <c r="VXI26" s="19"/>
      <c r="VXJ26" s="19"/>
      <c r="VXK26" s="19"/>
      <c r="VXL26" s="19"/>
      <c r="VXM26" s="19"/>
      <c r="VXN26" s="19"/>
      <c r="VXO26" s="19"/>
      <c r="VXP26" s="19"/>
      <c r="VXQ26" s="19"/>
      <c r="VXR26" s="19"/>
      <c r="VXS26" s="19"/>
      <c r="VXT26" s="19"/>
      <c r="VXU26" s="19"/>
      <c r="VXV26" s="19"/>
      <c r="VXW26" s="19"/>
      <c r="VXX26" s="19"/>
      <c r="VXY26" s="19"/>
      <c r="VXZ26" s="19"/>
      <c r="VYA26" s="19"/>
      <c r="VYB26" s="19"/>
      <c r="VYC26" s="19"/>
      <c r="VYD26" s="19"/>
      <c r="VYE26" s="19"/>
      <c r="VYF26" s="19"/>
      <c r="VYG26" s="19"/>
      <c r="VYH26" s="19"/>
      <c r="VYI26" s="19"/>
      <c r="VYJ26" s="19"/>
      <c r="VYK26" s="19"/>
      <c r="VYL26" s="19"/>
      <c r="VYM26" s="19"/>
      <c r="VYN26" s="19"/>
      <c r="VYO26" s="19"/>
      <c r="VYP26" s="19"/>
      <c r="VYQ26" s="19"/>
      <c r="VYR26" s="19"/>
      <c r="VYS26" s="19"/>
      <c r="VYT26" s="19"/>
      <c r="VYU26" s="19"/>
      <c r="VYV26" s="19"/>
      <c r="VYW26" s="19"/>
      <c r="VYX26" s="19"/>
      <c r="VYY26" s="19"/>
      <c r="VYZ26" s="19"/>
      <c r="VZA26" s="19"/>
      <c r="VZB26" s="19"/>
      <c r="VZC26" s="19"/>
      <c r="VZD26" s="19"/>
      <c r="VZE26" s="19"/>
      <c r="VZF26" s="19"/>
      <c r="VZG26" s="19"/>
      <c r="VZH26" s="19"/>
      <c r="VZI26" s="19"/>
      <c r="VZJ26" s="19"/>
      <c r="VZK26" s="19"/>
      <c r="VZL26" s="19"/>
      <c r="VZM26" s="19"/>
      <c r="VZN26" s="19"/>
      <c r="VZO26" s="19"/>
      <c r="VZP26" s="19"/>
      <c r="VZQ26" s="19"/>
      <c r="VZR26" s="19"/>
      <c r="VZS26" s="19"/>
      <c r="VZT26" s="19"/>
      <c r="VZU26" s="19"/>
      <c r="VZV26" s="19"/>
      <c r="VZW26" s="19"/>
      <c r="VZX26" s="19"/>
      <c r="VZY26" s="19"/>
      <c r="VZZ26" s="19"/>
      <c r="WAA26" s="19"/>
      <c r="WAB26" s="19"/>
      <c r="WAC26" s="19"/>
      <c r="WAD26" s="19"/>
      <c r="WAE26" s="19"/>
      <c r="WAF26" s="19"/>
      <c r="WAG26" s="19"/>
      <c r="WAH26" s="19"/>
      <c r="WAI26" s="19"/>
      <c r="WAJ26" s="19"/>
      <c r="WAK26" s="19"/>
      <c r="WAL26" s="19"/>
      <c r="WAM26" s="19"/>
      <c r="WAN26" s="19"/>
      <c r="WAO26" s="19"/>
      <c r="WAP26" s="19"/>
      <c r="WAQ26" s="19"/>
      <c r="WAR26" s="19"/>
      <c r="WAS26" s="19"/>
      <c r="WAT26" s="19"/>
      <c r="WAU26" s="19"/>
      <c r="WAV26" s="19"/>
      <c r="WAW26" s="19"/>
      <c r="WAX26" s="19"/>
      <c r="WAY26" s="19"/>
      <c r="WAZ26" s="19"/>
      <c r="WBA26" s="19"/>
      <c r="WBB26" s="19"/>
      <c r="WBC26" s="19"/>
      <c r="WBD26" s="19"/>
      <c r="WBE26" s="19"/>
      <c r="WBF26" s="19"/>
      <c r="WBG26" s="19"/>
      <c r="WBH26" s="19"/>
      <c r="WBI26" s="19"/>
      <c r="WBJ26" s="19"/>
      <c r="WBK26" s="19"/>
      <c r="WBL26" s="19"/>
      <c r="WBM26" s="19"/>
      <c r="WBN26" s="19"/>
      <c r="WBO26" s="19"/>
      <c r="WBP26" s="19"/>
      <c r="WBQ26" s="19"/>
      <c r="WBR26" s="19"/>
      <c r="WBS26" s="19"/>
      <c r="WBT26" s="19"/>
      <c r="WBU26" s="19"/>
      <c r="WBV26" s="19"/>
      <c r="WBW26" s="19"/>
      <c r="WBX26" s="19"/>
      <c r="WBY26" s="19"/>
      <c r="WBZ26" s="19"/>
      <c r="WCA26" s="19"/>
      <c r="WCB26" s="19"/>
      <c r="WCC26" s="19"/>
      <c r="WCD26" s="19"/>
      <c r="WCE26" s="19"/>
      <c r="WCF26" s="19"/>
      <c r="WCG26" s="19"/>
      <c r="WCH26" s="19"/>
      <c r="WCI26" s="19"/>
      <c r="WCJ26" s="19"/>
      <c r="WCK26" s="19"/>
      <c r="WCL26" s="19"/>
      <c r="WCM26" s="19"/>
      <c r="WCN26" s="19"/>
      <c r="WCO26" s="19"/>
      <c r="WCP26" s="19"/>
      <c r="WCQ26" s="19"/>
      <c r="WCR26" s="19"/>
      <c r="WCS26" s="19"/>
      <c r="WCT26" s="19"/>
      <c r="WCU26" s="19"/>
      <c r="WCV26" s="19"/>
      <c r="WCW26" s="19"/>
      <c r="WCX26" s="19"/>
      <c r="WCY26" s="19"/>
      <c r="WCZ26" s="19"/>
      <c r="WDA26" s="19"/>
      <c r="WDB26" s="19"/>
      <c r="WDC26" s="19"/>
      <c r="WDD26" s="19"/>
      <c r="WDE26" s="19"/>
      <c r="WDF26" s="19"/>
      <c r="WDG26" s="19"/>
      <c r="WDH26" s="19"/>
      <c r="WDI26" s="19"/>
      <c r="WDJ26" s="19"/>
      <c r="WDK26" s="19"/>
      <c r="WDL26" s="19"/>
      <c r="WDM26" s="19"/>
      <c r="WDN26" s="19"/>
      <c r="WDO26" s="19"/>
      <c r="WDP26" s="19"/>
      <c r="WDQ26" s="19"/>
      <c r="WDR26" s="19"/>
      <c r="WDS26" s="19"/>
      <c r="WDT26" s="19"/>
      <c r="WDU26" s="19"/>
      <c r="WDV26" s="19"/>
      <c r="WDW26" s="19"/>
      <c r="WDX26" s="19"/>
      <c r="WDY26" s="19"/>
      <c r="WDZ26" s="19"/>
      <c r="WEA26" s="19"/>
      <c r="WEB26" s="19"/>
      <c r="WEC26" s="19"/>
      <c r="WED26" s="19"/>
      <c r="WEE26" s="19"/>
      <c r="WEF26" s="19"/>
      <c r="WEG26" s="19"/>
      <c r="WEH26" s="19"/>
      <c r="WEI26" s="19"/>
      <c r="WEJ26" s="19"/>
      <c r="WEK26" s="19"/>
      <c r="WEL26" s="19"/>
      <c r="WEM26" s="19"/>
      <c r="WEN26" s="19"/>
      <c r="WEO26" s="19"/>
      <c r="WEP26" s="19"/>
      <c r="WEQ26" s="19"/>
      <c r="WER26" s="19"/>
      <c r="WES26" s="19"/>
      <c r="WET26" s="19"/>
      <c r="WEU26" s="19"/>
      <c r="WEV26" s="19"/>
      <c r="WEW26" s="19"/>
      <c r="WEX26" s="19"/>
      <c r="WEY26" s="19"/>
      <c r="WEZ26" s="19"/>
      <c r="WFA26" s="19"/>
      <c r="WFB26" s="19"/>
      <c r="WFC26" s="19"/>
      <c r="WFD26" s="19"/>
      <c r="WFE26" s="19"/>
      <c r="WFF26" s="19"/>
      <c r="WFG26" s="19"/>
      <c r="WFH26" s="19"/>
      <c r="WFI26" s="19"/>
      <c r="WFJ26" s="19"/>
      <c r="WFK26" s="19"/>
      <c r="WFL26" s="19"/>
      <c r="WFM26" s="19"/>
      <c r="WFN26" s="19"/>
      <c r="WFO26" s="19"/>
      <c r="WFP26" s="19"/>
      <c r="WFQ26" s="19"/>
      <c r="WFR26" s="19"/>
      <c r="WFS26" s="19"/>
      <c r="WFT26" s="19"/>
      <c r="WFU26" s="19"/>
      <c r="WFV26" s="19"/>
      <c r="WFW26" s="19"/>
      <c r="WFX26" s="19"/>
      <c r="WFY26" s="19"/>
      <c r="WFZ26" s="19"/>
      <c r="WGA26" s="19"/>
      <c r="WGB26" s="19"/>
      <c r="WGC26" s="19"/>
      <c r="WGD26" s="19"/>
      <c r="WGE26" s="19"/>
      <c r="WGF26" s="19"/>
      <c r="WGG26" s="19"/>
      <c r="WGH26" s="19"/>
      <c r="WGI26" s="19"/>
      <c r="WGJ26" s="19"/>
      <c r="WGK26" s="19"/>
      <c r="WGL26" s="19"/>
      <c r="WGM26" s="19"/>
      <c r="WGN26" s="19"/>
      <c r="WGO26" s="19"/>
      <c r="WGP26" s="19"/>
      <c r="WGQ26" s="19"/>
      <c r="WGR26" s="19"/>
      <c r="WGS26" s="19"/>
      <c r="WGT26" s="19"/>
      <c r="WGU26" s="19"/>
      <c r="WGV26" s="19"/>
      <c r="WGW26" s="19"/>
      <c r="WGX26" s="19"/>
      <c r="WGY26" s="19"/>
      <c r="WGZ26" s="19"/>
      <c r="WHA26" s="19"/>
      <c r="WHB26" s="19"/>
      <c r="WHC26" s="19"/>
      <c r="WHD26" s="19"/>
      <c r="WHE26" s="19"/>
      <c r="WHF26" s="19"/>
      <c r="WHG26" s="19"/>
      <c r="WHH26" s="19"/>
      <c r="WHI26" s="19"/>
      <c r="WHJ26" s="19"/>
      <c r="WHK26" s="19"/>
      <c r="WHL26" s="19"/>
      <c r="WHM26" s="19"/>
      <c r="WHN26" s="19"/>
      <c r="WHO26" s="19"/>
      <c r="WHP26" s="19"/>
      <c r="WHQ26" s="19"/>
      <c r="WHR26" s="19"/>
      <c r="WHS26" s="19"/>
      <c r="WHT26" s="19"/>
      <c r="WHU26" s="19"/>
      <c r="WHV26" s="19"/>
      <c r="WHW26" s="19"/>
      <c r="WHX26" s="19"/>
      <c r="WHY26" s="19"/>
      <c r="WHZ26" s="19"/>
      <c r="WIA26" s="19"/>
      <c r="WIB26" s="19"/>
      <c r="WIC26" s="19"/>
      <c r="WID26" s="19"/>
      <c r="WIE26" s="19"/>
      <c r="WIF26" s="19"/>
      <c r="WIG26" s="19"/>
      <c r="WIH26" s="19"/>
      <c r="WII26" s="19"/>
      <c r="WIJ26" s="19"/>
      <c r="WIK26" s="19"/>
      <c r="WIL26" s="19"/>
      <c r="WIM26" s="19"/>
      <c r="WIN26" s="19"/>
      <c r="WIO26" s="19"/>
      <c r="WIP26" s="19"/>
      <c r="WIQ26" s="19"/>
      <c r="WIR26" s="19"/>
      <c r="WIS26" s="19"/>
      <c r="WIT26" s="19"/>
      <c r="WIU26" s="19"/>
      <c r="WIV26" s="19"/>
      <c r="WIW26" s="19"/>
      <c r="WIX26" s="19"/>
      <c r="WIY26" s="19"/>
      <c r="WIZ26" s="19"/>
      <c r="WJA26" s="19"/>
      <c r="WJB26" s="19"/>
      <c r="WJC26" s="19"/>
      <c r="WJD26" s="19"/>
      <c r="WJE26" s="19"/>
      <c r="WJF26" s="19"/>
      <c r="WJG26" s="19"/>
      <c r="WJH26" s="19"/>
      <c r="WJI26" s="19"/>
      <c r="WJJ26" s="19"/>
      <c r="WJK26" s="19"/>
      <c r="WJL26" s="19"/>
      <c r="WJM26" s="19"/>
      <c r="WJN26" s="19"/>
      <c r="WJO26" s="19"/>
      <c r="WJP26" s="19"/>
      <c r="WJQ26" s="19"/>
      <c r="WJR26" s="19"/>
      <c r="WJS26" s="19"/>
      <c r="WJT26" s="19"/>
      <c r="WJU26" s="19"/>
      <c r="WJV26" s="19"/>
      <c r="WJW26" s="19"/>
      <c r="WJX26" s="19"/>
      <c r="WJY26" s="19"/>
      <c r="WJZ26" s="19"/>
      <c r="WKA26" s="19"/>
      <c r="WKB26" s="19"/>
      <c r="WKC26" s="19"/>
      <c r="WKD26" s="19"/>
      <c r="WKE26" s="19"/>
      <c r="WKF26" s="19"/>
      <c r="WKG26" s="19"/>
      <c r="WKH26" s="19"/>
      <c r="WKI26" s="19"/>
      <c r="WKJ26" s="19"/>
      <c r="WKK26" s="19"/>
      <c r="WKL26" s="19"/>
      <c r="WKM26" s="19"/>
      <c r="WKN26" s="19"/>
      <c r="WKO26" s="19"/>
      <c r="WKP26" s="19"/>
      <c r="WKQ26" s="19"/>
      <c r="WKR26" s="19"/>
      <c r="WKS26" s="19"/>
      <c r="WKT26" s="19"/>
      <c r="WKU26" s="19"/>
      <c r="WKV26" s="19"/>
      <c r="WKW26" s="19"/>
      <c r="WKX26" s="19"/>
      <c r="WKY26" s="19"/>
      <c r="WKZ26" s="19"/>
      <c r="WLA26" s="19"/>
      <c r="WLB26" s="19"/>
      <c r="WLC26" s="19"/>
      <c r="WLD26" s="19"/>
      <c r="WLE26" s="19"/>
      <c r="WLF26" s="19"/>
      <c r="WLG26" s="19"/>
      <c r="WLH26" s="19"/>
      <c r="WLI26" s="19"/>
      <c r="WLJ26" s="19"/>
      <c r="WLK26" s="19"/>
      <c r="WLL26" s="19"/>
      <c r="WLM26" s="19"/>
      <c r="WLN26" s="19"/>
      <c r="WLO26" s="19"/>
      <c r="WLP26" s="19"/>
      <c r="WLQ26" s="19"/>
      <c r="WLR26" s="19"/>
      <c r="WLS26" s="19"/>
      <c r="WLT26" s="19"/>
      <c r="WLU26" s="19"/>
      <c r="WLV26" s="19"/>
      <c r="WLW26" s="19"/>
      <c r="WLX26" s="19"/>
      <c r="WLY26" s="19"/>
      <c r="WLZ26" s="19"/>
      <c r="WMA26" s="19"/>
      <c r="WMB26" s="19"/>
      <c r="WMC26" s="19"/>
      <c r="WMD26" s="19"/>
      <c r="WME26" s="19"/>
      <c r="WMF26" s="19"/>
      <c r="WMG26" s="19"/>
      <c r="WMH26" s="19"/>
      <c r="WMI26" s="19"/>
      <c r="WMJ26" s="19"/>
      <c r="WMK26" s="19"/>
      <c r="WML26" s="19"/>
      <c r="WMM26" s="19"/>
      <c r="WMN26" s="19"/>
      <c r="WMO26" s="19"/>
      <c r="WMP26" s="19"/>
      <c r="WMQ26" s="19"/>
      <c r="WMR26" s="19"/>
      <c r="WMS26" s="19"/>
      <c r="WMT26" s="19"/>
      <c r="WMU26" s="19"/>
      <c r="WMV26" s="19"/>
      <c r="WMW26" s="19"/>
      <c r="WMX26" s="19"/>
      <c r="WMY26" s="19"/>
      <c r="WMZ26" s="19"/>
      <c r="WNA26" s="19"/>
      <c r="WNB26" s="19"/>
      <c r="WNC26" s="19"/>
      <c r="WND26" s="19"/>
      <c r="WNE26" s="19"/>
      <c r="WNF26" s="19"/>
      <c r="WNG26" s="19"/>
      <c r="WNH26" s="19"/>
      <c r="WNI26" s="19"/>
      <c r="WNJ26" s="19"/>
      <c r="WNK26" s="19"/>
      <c r="WNL26" s="19"/>
      <c r="WNM26" s="19"/>
      <c r="WNN26" s="19"/>
      <c r="WNO26" s="19"/>
      <c r="WNP26" s="19"/>
      <c r="WNQ26" s="19"/>
      <c r="WNR26" s="19"/>
      <c r="WNS26" s="19"/>
      <c r="WNT26" s="19"/>
      <c r="WNU26" s="19"/>
      <c r="WNV26" s="19"/>
      <c r="WNW26" s="19"/>
      <c r="WNX26" s="19"/>
      <c r="WNY26" s="19"/>
      <c r="WNZ26" s="19"/>
      <c r="WOA26" s="19"/>
      <c r="WOB26" s="19"/>
      <c r="WOC26" s="19"/>
      <c r="WOD26" s="19"/>
      <c r="WOE26" s="19"/>
      <c r="WOF26" s="19"/>
      <c r="WOG26" s="19"/>
      <c r="WOH26" s="19"/>
      <c r="WOI26" s="19"/>
      <c r="WOJ26" s="19"/>
      <c r="WOK26" s="19"/>
      <c r="WOL26" s="19"/>
      <c r="WOM26" s="19"/>
      <c r="WON26" s="19"/>
      <c r="WOO26" s="19"/>
      <c r="WOP26" s="19"/>
      <c r="WOQ26" s="19"/>
      <c r="WOR26" s="19"/>
      <c r="WOS26" s="19"/>
      <c r="WOT26" s="19"/>
      <c r="WOU26" s="19"/>
      <c r="WOV26" s="19"/>
      <c r="WOW26" s="19"/>
      <c r="WOX26" s="19"/>
      <c r="WOY26" s="19"/>
      <c r="WOZ26" s="19"/>
      <c r="WPA26" s="19"/>
      <c r="WPB26" s="19"/>
      <c r="WPC26" s="19"/>
      <c r="WPD26" s="19"/>
      <c r="WPE26" s="19"/>
      <c r="WPF26" s="19"/>
      <c r="WPG26" s="19"/>
      <c r="WPH26" s="19"/>
      <c r="WPI26" s="19"/>
      <c r="WPJ26" s="19"/>
      <c r="WPK26" s="19"/>
      <c r="WPL26" s="19"/>
      <c r="WPM26" s="19"/>
      <c r="WPN26" s="19"/>
      <c r="WPO26" s="19"/>
      <c r="WPP26" s="19"/>
      <c r="WPQ26" s="19"/>
      <c r="WPR26" s="19"/>
      <c r="WPS26" s="19"/>
      <c r="WPT26" s="19"/>
      <c r="WPU26" s="19"/>
      <c r="WPV26" s="19"/>
      <c r="WPW26" s="19"/>
      <c r="WPX26" s="19"/>
      <c r="WPY26" s="19"/>
      <c r="WPZ26" s="19"/>
      <c r="WQA26" s="19"/>
      <c r="WQB26" s="19"/>
      <c r="WQC26" s="19"/>
      <c r="WQD26" s="19"/>
      <c r="WQE26" s="19"/>
      <c r="WQF26" s="19"/>
      <c r="WQG26" s="19"/>
      <c r="WQH26" s="19"/>
      <c r="WQI26" s="19"/>
      <c r="WQJ26" s="19"/>
      <c r="WQK26" s="19"/>
      <c r="WQL26" s="19"/>
      <c r="WQM26" s="19"/>
      <c r="WQN26" s="19"/>
      <c r="WQO26" s="19"/>
      <c r="WQP26" s="19"/>
      <c r="WQQ26" s="19"/>
      <c r="WQR26" s="19"/>
      <c r="WQS26" s="19"/>
      <c r="WQT26" s="19"/>
      <c r="WQU26" s="19"/>
      <c r="WQV26" s="19"/>
      <c r="WQW26" s="19"/>
      <c r="WQX26" s="19"/>
      <c r="WQY26" s="19"/>
      <c r="WQZ26" s="19"/>
      <c r="WRA26" s="19"/>
      <c r="WRB26" s="19"/>
      <c r="WRC26" s="19"/>
      <c r="WRD26" s="19"/>
      <c r="WRE26" s="19"/>
      <c r="WRF26" s="19"/>
      <c r="WRG26" s="19"/>
      <c r="WRH26" s="19"/>
      <c r="WRI26" s="19"/>
      <c r="WRJ26" s="19"/>
      <c r="WRK26" s="19"/>
      <c r="WRL26" s="19"/>
      <c r="WRM26" s="19"/>
      <c r="WRN26" s="19"/>
      <c r="WRO26" s="19"/>
      <c r="WRP26" s="19"/>
      <c r="WRQ26" s="19"/>
      <c r="WRR26" s="19"/>
      <c r="WRS26" s="19"/>
      <c r="WRT26" s="19"/>
      <c r="WRU26" s="19"/>
      <c r="WRV26" s="19"/>
      <c r="WRW26" s="19"/>
      <c r="WRX26" s="19"/>
      <c r="WRY26" s="19"/>
      <c r="WRZ26" s="19"/>
      <c r="WSA26" s="19"/>
      <c r="WSB26" s="19"/>
      <c r="WSC26" s="19"/>
      <c r="WSD26" s="19"/>
      <c r="WSE26" s="19"/>
      <c r="WSF26" s="19"/>
      <c r="WSG26" s="19"/>
      <c r="WSH26" s="19"/>
      <c r="WSI26" s="19"/>
      <c r="WSJ26" s="19"/>
      <c r="WSK26" s="19"/>
      <c r="WSL26" s="19"/>
      <c r="WSM26" s="19"/>
      <c r="WSN26" s="19"/>
      <c r="WSO26" s="19"/>
      <c r="WSP26" s="19"/>
      <c r="WSQ26" s="19"/>
      <c r="WSR26" s="19"/>
      <c r="WSS26" s="19"/>
      <c r="WST26" s="19"/>
      <c r="WSU26" s="19"/>
      <c r="WSV26" s="19"/>
      <c r="WSW26" s="19"/>
      <c r="WSX26" s="19"/>
      <c r="WSY26" s="19"/>
      <c r="WSZ26" s="19"/>
      <c r="WTA26" s="19"/>
      <c r="WTB26" s="19"/>
      <c r="WTC26" s="19"/>
      <c r="WTD26" s="19"/>
      <c r="WTE26" s="19"/>
      <c r="WTF26" s="19"/>
      <c r="WTG26" s="19"/>
      <c r="WTH26" s="19"/>
      <c r="WTI26" s="19"/>
      <c r="WTJ26" s="19"/>
      <c r="WTK26" s="19"/>
      <c r="WTL26" s="19"/>
      <c r="WTM26" s="19"/>
      <c r="WTN26" s="19"/>
      <c r="WTO26" s="19"/>
      <c r="WTP26" s="19"/>
      <c r="WTQ26" s="19"/>
      <c r="WTR26" s="19"/>
      <c r="WTS26" s="19"/>
      <c r="WTT26" s="19"/>
      <c r="WTU26" s="19"/>
      <c r="WTV26" s="19"/>
      <c r="WTW26" s="19"/>
      <c r="WTX26" s="19"/>
      <c r="WTY26" s="19"/>
      <c r="WTZ26" s="19"/>
      <c r="WUA26" s="19"/>
      <c r="WUB26" s="19"/>
      <c r="WUC26" s="19"/>
      <c r="WUD26" s="19"/>
      <c r="WUE26" s="19"/>
      <c r="WUF26" s="19"/>
      <c r="WUG26" s="19"/>
      <c r="WUH26" s="19"/>
      <c r="WUI26" s="19"/>
      <c r="WUJ26" s="19"/>
      <c r="WUK26" s="19"/>
      <c r="WUL26" s="19"/>
      <c r="WUM26" s="19"/>
      <c r="WUN26" s="19"/>
      <c r="WUO26" s="19"/>
      <c r="WUP26" s="19"/>
      <c r="WUQ26" s="19"/>
      <c r="WUR26" s="19"/>
      <c r="WUS26" s="19"/>
      <c r="WUT26" s="19"/>
      <c r="WUU26" s="19"/>
      <c r="WUV26" s="19"/>
      <c r="WUW26" s="19"/>
      <c r="WUX26" s="19"/>
      <c r="WUY26" s="19"/>
      <c r="WUZ26" s="19"/>
      <c r="WVA26" s="19"/>
      <c r="WVB26" s="19"/>
      <c r="WVC26" s="19"/>
      <c r="WVD26" s="19"/>
      <c r="WVE26" s="19"/>
      <c r="WVF26" s="19"/>
      <c r="WVG26" s="19"/>
      <c r="WVH26" s="19"/>
      <c r="WVI26" s="19"/>
      <c r="WVJ26" s="19"/>
      <c r="WVK26" s="19"/>
      <c r="WVL26" s="19"/>
      <c r="WVM26" s="19"/>
      <c r="WVN26" s="19"/>
      <c r="WVO26" s="19"/>
      <c r="WVP26" s="19"/>
      <c r="WVQ26" s="19"/>
      <c r="WVR26" s="19"/>
      <c r="WVS26" s="19"/>
      <c r="WVT26" s="19"/>
      <c r="WVU26" s="19"/>
      <c r="WVV26" s="19"/>
      <c r="WVW26" s="19"/>
      <c r="WVX26" s="19"/>
      <c r="WVY26" s="19"/>
      <c r="WVZ26" s="19"/>
      <c r="WWA26" s="19"/>
      <c r="WWB26" s="19"/>
      <c r="WWC26" s="19"/>
      <c r="WWD26" s="19"/>
      <c r="WWE26" s="19"/>
      <c r="WWF26" s="19"/>
      <c r="WWG26" s="19"/>
      <c r="WWH26" s="19"/>
      <c r="WWI26" s="19"/>
      <c r="WWJ26" s="19"/>
      <c r="WWK26" s="19"/>
      <c r="WWL26" s="19"/>
      <c r="WWM26" s="19"/>
      <c r="WWN26" s="19"/>
      <c r="WWO26" s="19"/>
      <c r="WWP26" s="19"/>
      <c r="WWQ26" s="19"/>
      <c r="WWR26" s="19"/>
      <c r="WWS26" s="19"/>
      <c r="WWT26" s="19"/>
      <c r="WWU26" s="19"/>
      <c r="WWV26" s="19"/>
      <c r="WWW26" s="19"/>
      <c r="WWX26" s="19"/>
      <c r="WWY26" s="19"/>
      <c r="WWZ26" s="19"/>
      <c r="WXA26" s="19"/>
      <c r="WXB26" s="19"/>
      <c r="WXC26" s="19"/>
      <c r="WXD26" s="19"/>
      <c r="WXE26" s="19"/>
      <c r="WXF26" s="19"/>
      <c r="WXG26" s="19"/>
      <c r="WXH26" s="19"/>
      <c r="WXI26" s="19"/>
      <c r="WXJ26" s="19"/>
      <c r="WXK26" s="19"/>
      <c r="WXL26" s="19"/>
      <c r="WXM26" s="19"/>
      <c r="WXN26" s="19"/>
      <c r="WXO26" s="19"/>
      <c r="WXP26" s="19"/>
      <c r="WXQ26" s="19"/>
      <c r="WXR26" s="19"/>
      <c r="WXS26" s="19"/>
      <c r="WXT26" s="19"/>
      <c r="WXU26" s="19"/>
      <c r="WXV26" s="19"/>
      <c r="WXW26" s="19"/>
      <c r="WXX26" s="19"/>
      <c r="WXY26" s="19"/>
      <c r="WXZ26" s="19"/>
      <c r="WYA26" s="19"/>
      <c r="WYB26" s="19"/>
      <c r="WYC26" s="19"/>
      <c r="WYD26" s="19"/>
      <c r="WYE26" s="19"/>
      <c r="WYF26" s="19"/>
      <c r="WYG26" s="19"/>
      <c r="WYH26" s="19"/>
      <c r="WYI26" s="19"/>
      <c r="WYJ26" s="19"/>
      <c r="WYK26" s="19"/>
      <c r="WYL26" s="19"/>
      <c r="WYM26" s="19"/>
      <c r="WYN26" s="19"/>
      <c r="WYO26" s="19"/>
      <c r="WYP26" s="19"/>
      <c r="WYQ26" s="19"/>
      <c r="WYR26" s="19"/>
      <c r="WYS26" s="19"/>
      <c r="WYT26" s="19"/>
      <c r="WYU26" s="19"/>
      <c r="WYV26" s="19"/>
      <c r="WYW26" s="19"/>
      <c r="WYX26" s="19"/>
      <c r="WYY26" s="19"/>
      <c r="WYZ26" s="19"/>
      <c r="WZA26" s="19"/>
      <c r="WZB26" s="19"/>
      <c r="WZC26" s="19"/>
      <c r="WZD26" s="19"/>
      <c r="WZE26" s="19"/>
      <c r="WZF26" s="19"/>
      <c r="WZG26" s="19"/>
      <c r="WZH26" s="19"/>
      <c r="WZI26" s="19"/>
      <c r="WZJ26" s="19"/>
      <c r="WZK26" s="19"/>
      <c r="WZL26" s="19"/>
      <c r="WZM26" s="19"/>
      <c r="WZN26" s="19"/>
      <c r="WZO26" s="19"/>
      <c r="WZP26" s="19"/>
      <c r="WZQ26" s="19"/>
      <c r="WZR26" s="19"/>
      <c r="WZS26" s="19"/>
      <c r="WZT26" s="19"/>
      <c r="WZU26" s="19"/>
      <c r="WZV26" s="19"/>
      <c r="WZW26" s="19"/>
      <c r="WZX26" s="19"/>
      <c r="WZY26" s="19"/>
      <c r="WZZ26" s="19"/>
      <c r="XAA26" s="19"/>
      <c r="XAB26" s="19"/>
      <c r="XAC26" s="19"/>
      <c r="XAD26" s="19"/>
      <c r="XAE26" s="19"/>
      <c r="XAF26" s="19"/>
      <c r="XAG26" s="19"/>
      <c r="XAH26" s="19"/>
      <c r="XAI26" s="19"/>
      <c r="XAJ26" s="19"/>
      <c r="XAK26" s="19"/>
      <c r="XAL26" s="19"/>
      <c r="XAM26" s="19"/>
      <c r="XAN26" s="19"/>
      <c r="XAO26" s="19"/>
      <c r="XAP26" s="19"/>
      <c r="XAQ26" s="19"/>
      <c r="XAR26" s="19"/>
      <c r="XAS26" s="19"/>
      <c r="XAT26" s="19"/>
      <c r="XAU26" s="19"/>
      <c r="XAV26" s="19"/>
      <c r="XAW26" s="19"/>
      <c r="XAX26" s="19"/>
      <c r="XAY26" s="19"/>
      <c r="XAZ26" s="19"/>
      <c r="XBA26" s="19"/>
      <c r="XBB26" s="19"/>
      <c r="XBC26" s="19"/>
      <c r="XBD26" s="19"/>
      <c r="XBE26" s="19"/>
      <c r="XBF26" s="19"/>
      <c r="XBG26" s="19"/>
      <c r="XBH26" s="19"/>
      <c r="XBI26" s="19"/>
      <c r="XBJ26" s="19"/>
      <c r="XBK26" s="19"/>
      <c r="XBL26" s="19"/>
      <c r="XBM26" s="19"/>
      <c r="XBN26" s="19"/>
      <c r="XBO26" s="19"/>
      <c r="XBP26" s="19"/>
      <c r="XBQ26" s="19"/>
      <c r="XBR26" s="19"/>
      <c r="XBS26" s="19"/>
      <c r="XBT26" s="19"/>
      <c r="XBU26" s="19"/>
      <c r="XBV26" s="19"/>
      <c r="XBW26" s="19"/>
      <c r="XBX26" s="19"/>
      <c r="XBY26" s="19"/>
      <c r="XBZ26" s="19"/>
      <c r="XCA26" s="19"/>
      <c r="XCB26" s="19"/>
      <c r="XCC26" s="19"/>
      <c r="XCD26" s="19"/>
      <c r="XCE26" s="19"/>
      <c r="XCF26" s="19"/>
      <c r="XCG26" s="19"/>
      <c r="XCH26" s="19"/>
      <c r="XCI26" s="19"/>
      <c r="XCJ26" s="19"/>
      <c r="XCU26" s="19"/>
      <c r="XCV26" s="19"/>
      <c r="XCW26" s="19"/>
      <c r="XCX26" s="19"/>
      <c r="XCY26" s="19"/>
      <c r="XCZ26" s="19"/>
      <c r="XDA26" s="19"/>
    </row>
    <row r="27" s="19" customFormat="1" ht="27.5" spans="1:1024 1025:16341">
      <c r="A27" s="27" t="s">
        <v>59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  <c r="M27" s="28"/>
      <c r="N27" s="28"/>
      <c r="O27" s="27"/>
      <c r="P27" s="29"/>
      <c r="Q27" s="27"/>
      <c r="R27" s="27"/>
      <c r="S27" s="27"/>
      <c r="T27" s="27"/>
    </row>
    <row r="28" s="62" customFormat="1" ht="40" customHeight="1" spans="1:1024 1025:16341">
      <c r="A28" s="63" t="s">
        <v>2</v>
      </c>
      <c r="B28" s="63" t="s">
        <v>3</v>
      </c>
      <c r="C28" s="63" t="s">
        <v>4</v>
      </c>
      <c r="D28" s="63" t="s">
        <v>5</v>
      </c>
      <c r="E28" s="63" t="s">
        <v>6</v>
      </c>
      <c r="F28" s="63" t="s">
        <v>7</v>
      </c>
      <c r="G28" s="63" t="s">
        <v>8</v>
      </c>
      <c r="H28" s="63" t="s">
        <v>9</v>
      </c>
      <c r="I28" s="63" t="s">
        <v>10</v>
      </c>
      <c r="J28" s="63" t="s">
        <v>11</v>
      </c>
      <c r="K28" s="63" t="s">
        <v>12</v>
      </c>
      <c r="L28" s="13" t="s">
        <v>13</v>
      </c>
      <c r="M28" s="13" t="s">
        <v>14</v>
      </c>
      <c r="N28" s="13" t="s">
        <v>15</v>
      </c>
      <c r="O28" s="36" t="s">
        <v>16</v>
      </c>
      <c r="P28" s="36" t="s">
        <v>52</v>
      </c>
      <c r="Q28" s="64" t="s">
        <v>43</v>
      </c>
      <c r="R28" s="36" t="s">
        <v>18</v>
      </c>
      <c r="S28" s="36" t="s">
        <v>19</v>
      </c>
      <c r="T28" s="63" t="s">
        <v>53</v>
      </c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/>
      <c r="FA28" s="65"/>
      <c r="FB28" s="65"/>
      <c r="FC28" s="65"/>
      <c r="FD28" s="65"/>
      <c r="FE28" s="65"/>
      <c r="FF28" s="65"/>
      <c r="FG28" s="65"/>
      <c r="FH28" s="65"/>
      <c r="FI28" s="65"/>
      <c r="FJ28" s="65"/>
      <c r="FK28" s="65"/>
      <c r="FL28" s="65"/>
      <c r="FM28" s="65"/>
      <c r="FN28" s="65"/>
      <c r="FO28" s="65"/>
      <c r="FP28" s="65"/>
      <c r="FQ28" s="65"/>
      <c r="FR28" s="65"/>
      <c r="FS28" s="65"/>
      <c r="FT28" s="65"/>
      <c r="FU28" s="65"/>
      <c r="FV28" s="65"/>
      <c r="FW28" s="65"/>
      <c r="FX28" s="65"/>
      <c r="FY28" s="65"/>
      <c r="FZ28" s="65"/>
      <c r="GA28" s="65"/>
      <c r="GB28" s="65"/>
      <c r="GC28" s="65"/>
      <c r="GD28" s="65"/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/>
      <c r="HJ28" s="65"/>
      <c r="HK28" s="65"/>
      <c r="HL28" s="65"/>
      <c r="HM28" s="65"/>
      <c r="HN28" s="65"/>
      <c r="HO28" s="65"/>
      <c r="HP28" s="65"/>
      <c r="HQ28" s="65"/>
      <c r="HR28" s="65"/>
      <c r="HS28" s="65"/>
      <c r="HT28" s="65"/>
      <c r="HU28" s="65"/>
      <c r="HV28" s="65"/>
      <c r="HW28" s="65"/>
      <c r="HX28" s="65"/>
      <c r="HY28" s="65"/>
      <c r="HZ28" s="65"/>
      <c r="IA28" s="65"/>
      <c r="IB28" s="65"/>
      <c r="IC28" s="65"/>
      <c r="ID28" s="65"/>
      <c r="IE28" s="65"/>
      <c r="IF28" s="65"/>
      <c r="IG28" s="65"/>
      <c r="IH28" s="65"/>
      <c r="II28" s="65"/>
      <c r="IJ28" s="65"/>
      <c r="IK28" s="65"/>
      <c r="IL28" s="65"/>
      <c r="IM28" s="65"/>
      <c r="IN28" s="65"/>
      <c r="IO28" s="65"/>
      <c r="IP28" s="65"/>
      <c r="IQ28" s="65"/>
      <c r="IR28" s="65"/>
      <c r="IS28" s="65"/>
      <c r="IT28" s="65"/>
      <c r="IU28" s="65"/>
      <c r="IV28" s="65"/>
      <c r="IW28" s="65"/>
      <c r="IX28" s="65"/>
      <c r="IY28" s="65"/>
      <c r="IZ28" s="65"/>
      <c r="JA28" s="65"/>
      <c r="JB28" s="65"/>
      <c r="JC28" s="65"/>
      <c r="JD28" s="65"/>
      <c r="JE28" s="65"/>
      <c r="JF28" s="65"/>
      <c r="JG28" s="65"/>
      <c r="JH28" s="65"/>
      <c r="JI28" s="65"/>
      <c r="JJ28" s="65"/>
      <c r="JK28" s="65"/>
      <c r="JL28" s="65"/>
      <c r="JM28" s="65"/>
      <c r="JN28" s="65"/>
      <c r="JO28" s="65"/>
      <c r="JP28" s="65"/>
      <c r="JQ28" s="65"/>
      <c r="JR28" s="65"/>
      <c r="JS28" s="65"/>
      <c r="JT28" s="65"/>
      <c r="JU28" s="65"/>
      <c r="JV28" s="65"/>
      <c r="JW28" s="65"/>
      <c r="JX28" s="65"/>
      <c r="JY28" s="65"/>
      <c r="JZ28" s="65"/>
      <c r="KA28" s="65"/>
      <c r="KB28" s="65"/>
      <c r="KC28" s="65"/>
      <c r="KD28" s="65"/>
      <c r="KE28" s="65"/>
      <c r="KF28" s="65"/>
      <c r="KG28" s="65"/>
      <c r="KH28" s="65"/>
      <c r="KI28" s="65"/>
      <c r="KJ28" s="65"/>
      <c r="KK28" s="65"/>
      <c r="KL28" s="65"/>
      <c r="KM28" s="65"/>
      <c r="KN28" s="65"/>
      <c r="KO28" s="65"/>
      <c r="KP28" s="65"/>
      <c r="KQ28" s="65"/>
      <c r="KR28" s="65"/>
      <c r="KS28" s="65"/>
      <c r="KT28" s="65"/>
      <c r="KU28" s="65"/>
      <c r="KV28" s="65"/>
      <c r="KW28" s="65"/>
      <c r="KX28" s="65"/>
      <c r="KY28" s="65"/>
      <c r="KZ28" s="65"/>
      <c r="LA28" s="65"/>
      <c r="LB28" s="65"/>
      <c r="LC28" s="65"/>
      <c r="LD28" s="65"/>
      <c r="LE28" s="65"/>
      <c r="LF28" s="65"/>
      <c r="LG28" s="65"/>
      <c r="LH28" s="65"/>
      <c r="LI28" s="65"/>
      <c r="LJ28" s="65"/>
      <c r="LK28" s="65"/>
      <c r="LL28" s="65"/>
      <c r="LM28" s="65"/>
      <c r="LN28" s="65"/>
      <c r="LO28" s="65"/>
      <c r="LP28" s="65"/>
      <c r="LQ28" s="65"/>
      <c r="LR28" s="65"/>
      <c r="LS28" s="65"/>
      <c r="LT28" s="65"/>
      <c r="LU28" s="65"/>
      <c r="LV28" s="65"/>
      <c r="LW28" s="65"/>
      <c r="LX28" s="65"/>
      <c r="LY28" s="65"/>
      <c r="LZ28" s="65"/>
      <c r="MA28" s="65"/>
      <c r="MB28" s="65"/>
      <c r="MC28" s="65"/>
      <c r="MD28" s="65"/>
      <c r="ME28" s="65"/>
      <c r="MF28" s="65"/>
      <c r="MG28" s="65"/>
      <c r="MH28" s="65"/>
      <c r="MI28" s="65"/>
      <c r="MJ28" s="65"/>
      <c r="MK28" s="65"/>
      <c r="ML28" s="65"/>
      <c r="MM28" s="65"/>
      <c r="MN28" s="65"/>
      <c r="MO28" s="65"/>
      <c r="MP28" s="65"/>
      <c r="MQ28" s="65"/>
      <c r="MR28" s="65"/>
      <c r="MS28" s="65"/>
      <c r="MT28" s="65"/>
      <c r="MU28" s="65"/>
      <c r="MV28" s="65"/>
      <c r="MW28" s="65"/>
      <c r="MX28" s="65"/>
      <c r="MY28" s="65"/>
      <c r="MZ28" s="65"/>
      <c r="NA28" s="65"/>
      <c r="NB28" s="65"/>
      <c r="NC28" s="65"/>
      <c r="ND28" s="65"/>
      <c r="NE28" s="65"/>
      <c r="NF28" s="65"/>
      <c r="NG28" s="65"/>
      <c r="NH28" s="65"/>
      <c r="NI28" s="65"/>
      <c r="NJ28" s="65"/>
      <c r="NK28" s="65"/>
      <c r="NL28" s="65"/>
      <c r="NM28" s="65"/>
      <c r="NN28" s="65"/>
      <c r="NO28" s="65"/>
      <c r="NP28" s="65"/>
      <c r="NQ28" s="65"/>
      <c r="NR28" s="65"/>
      <c r="NS28" s="65"/>
      <c r="NT28" s="65"/>
      <c r="NU28" s="65"/>
      <c r="NV28" s="65"/>
      <c r="NW28" s="65"/>
      <c r="NX28" s="65"/>
      <c r="NY28" s="65"/>
      <c r="NZ28" s="65"/>
      <c r="OA28" s="65"/>
      <c r="OB28" s="65"/>
      <c r="OC28" s="65"/>
      <c r="OD28" s="65"/>
      <c r="OE28" s="65"/>
      <c r="OF28" s="65"/>
      <c r="OG28" s="65"/>
      <c r="OH28" s="65"/>
      <c r="OI28" s="65"/>
      <c r="OJ28" s="65"/>
      <c r="OK28" s="65"/>
      <c r="OL28" s="65"/>
      <c r="OM28" s="65"/>
      <c r="ON28" s="65"/>
      <c r="OO28" s="65"/>
      <c r="OP28" s="65"/>
      <c r="OQ28" s="65"/>
      <c r="OR28" s="65"/>
      <c r="OS28" s="65"/>
      <c r="OT28" s="65"/>
      <c r="OU28" s="65"/>
      <c r="OV28" s="65"/>
      <c r="OW28" s="65"/>
      <c r="OX28" s="65"/>
      <c r="OY28" s="65"/>
      <c r="OZ28" s="65"/>
      <c r="PA28" s="65"/>
      <c r="PB28" s="65"/>
      <c r="PC28" s="65"/>
      <c r="PD28" s="65"/>
      <c r="PE28" s="65"/>
      <c r="PF28" s="65"/>
      <c r="PG28" s="65"/>
      <c r="PH28" s="65"/>
      <c r="PI28" s="65"/>
      <c r="PJ28" s="65"/>
      <c r="PK28" s="65"/>
      <c r="PL28" s="65"/>
      <c r="PM28" s="65"/>
      <c r="PN28" s="65"/>
      <c r="PO28" s="65"/>
      <c r="PP28" s="65"/>
      <c r="PQ28" s="65"/>
      <c r="PR28" s="65"/>
      <c r="PS28" s="65"/>
      <c r="PT28" s="65"/>
      <c r="PU28" s="65"/>
      <c r="PV28" s="65"/>
      <c r="PW28" s="65"/>
      <c r="PX28" s="65"/>
      <c r="PY28" s="65"/>
      <c r="PZ28" s="65"/>
      <c r="QA28" s="65"/>
      <c r="QB28" s="65"/>
      <c r="QC28" s="65"/>
      <c r="QD28" s="65"/>
      <c r="QE28" s="65"/>
      <c r="QF28" s="65"/>
      <c r="QG28" s="65"/>
      <c r="QH28" s="65"/>
      <c r="QI28" s="65"/>
      <c r="QJ28" s="65"/>
      <c r="QK28" s="65"/>
      <c r="QL28" s="65"/>
      <c r="QM28" s="65"/>
      <c r="QN28" s="65"/>
      <c r="QO28" s="65"/>
      <c r="QP28" s="65"/>
      <c r="QQ28" s="65"/>
      <c r="QR28" s="65"/>
      <c r="QS28" s="65"/>
      <c r="QT28" s="65"/>
      <c r="QU28" s="65"/>
      <c r="QV28" s="65"/>
      <c r="QW28" s="65"/>
      <c r="QX28" s="65"/>
      <c r="QY28" s="65"/>
      <c r="QZ28" s="65"/>
      <c r="RA28" s="65"/>
      <c r="RB28" s="65"/>
      <c r="RC28" s="65"/>
      <c r="RD28" s="65"/>
      <c r="RE28" s="65"/>
      <c r="RF28" s="65"/>
      <c r="RG28" s="65"/>
      <c r="RH28" s="65"/>
      <c r="RI28" s="65"/>
      <c r="RJ28" s="65"/>
      <c r="RK28" s="65"/>
      <c r="RL28" s="65"/>
      <c r="RM28" s="65"/>
      <c r="RN28" s="65"/>
      <c r="RO28" s="65"/>
      <c r="RP28" s="65"/>
      <c r="RQ28" s="65"/>
      <c r="RR28" s="65"/>
      <c r="RS28" s="65"/>
      <c r="RT28" s="65"/>
      <c r="RU28" s="65"/>
      <c r="RV28" s="65"/>
      <c r="RW28" s="65"/>
      <c r="RX28" s="65"/>
      <c r="RY28" s="65"/>
      <c r="RZ28" s="65"/>
      <c r="SA28" s="65"/>
      <c r="SB28" s="65"/>
      <c r="SC28" s="65"/>
      <c r="SD28" s="65"/>
      <c r="SE28" s="65"/>
      <c r="SF28" s="65"/>
      <c r="SG28" s="65"/>
      <c r="SH28" s="65"/>
      <c r="SI28" s="65"/>
      <c r="SJ28" s="65"/>
      <c r="SK28" s="65"/>
      <c r="SL28" s="65"/>
      <c r="SM28" s="65"/>
      <c r="SN28" s="65"/>
      <c r="SO28" s="65"/>
      <c r="SP28" s="65"/>
      <c r="SQ28" s="65"/>
      <c r="SR28" s="65"/>
      <c r="SS28" s="65"/>
      <c r="ST28" s="65"/>
      <c r="SU28" s="65"/>
      <c r="SV28" s="65"/>
      <c r="SW28" s="65"/>
      <c r="SX28" s="65"/>
      <c r="SY28" s="65"/>
      <c r="SZ28" s="65"/>
      <c r="TA28" s="65"/>
      <c r="TB28" s="65"/>
      <c r="TC28" s="65"/>
      <c r="TD28" s="65"/>
      <c r="TE28" s="65"/>
      <c r="TF28" s="65"/>
      <c r="TG28" s="65"/>
      <c r="TH28" s="65"/>
      <c r="TI28" s="65"/>
      <c r="TJ28" s="65"/>
      <c r="TK28" s="65"/>
      <c r="TL28" s="65"/>
      <c r="TM28" s="65"/>
      <c r="TN28" s="65"/>
      <c r="TO28" s="65"/>
      <c r="TP28" s="65"/>
      <c r="TQ28" s="65"/>
      <c r="TR28" s="65"/>
      <c r="TS28" s="65"/>
      <c r="TT28" s="65"/>
      <c r="TU28" s="65"/>
      <c r="TV28" s="65"/>
      <c r="TW28" s="65"/>
      <c r="TX28" s="65"/>
      <c r="TY28" s="65"/>
      <c r="TZ28" s="65"/>
      <c r="UA28" s="65"/>
      <c r="UB28" s="65"/>
      <c r="UC28" s="65"/>
      <c r="UD28" s="65"/>
      <c r="UE28" s="65"/>
      <c r="UF28" s="65"/>
      <c r="UG28" s="65"/>
      <c r="UH28" s="65"/>
      <c r="UI28" s="65"/>
      <c r="UJ28" s="65"/>
      <c r="UK28" s="65"/>
      <c r="UL28" s="65"/>
      <c r="UM28" s="65"/>
      <c r="UN28" s="65"/>
      <c r="UO28" s="65"/>
      <c r="UP28" s="65"/>
      <c r="UQ28" s="65"/>
      <c r="UR28" s="65"/>
      <c r="US28" s="65"/>
      <c r="UT28" s="65"/>
      <c r="UU28" s="65"/>
      <c r="UV28" s="65"/>
      <c r="UW28" s="65"/>
      <c r="UX28" s="65"/>
      <c r="UY28" s="65"/>
      <c r="UZ28" s="65"/>
      <c r="VA28" s="65"/>
      <c r="VB28" s="65"/>
      <c r="VC28" s="65"/>
      <c r="VD28" s="65"/>
      <c r="VE28" s="65"/>
      <c r="VF28" s="65"/>
      <c r="VG28" s="65"/>
      <c r="VH28" s="65"/>
      <c r="VI28" s="65"/>
      <c r="VJ28" s="65"/>
      <c r="VK28" s="65"/>
      <c r="VL28" s="65"/>
      <c r="VM28" s="65"/>
      <c r="VN28" s="65"/>
      <c r="VO28" s="65"/>
      <c r="VP28" s="65"/>
      <c r="VQ28" s="65"/>
      <c r="VR28" s="65"/>
      <c r="VS28" s="65"/>
      <c r="VT28" s="65"/>
      <c r="VU28" s="65"/>
      <c r="VV28" s="65"/>
      <c r="VW28" s="65"/>
      <c r="VX28" s="65"/>
      <c r="VY28" s="65"/>
      <c r="VZ28" s="65"/>
      <c r="WA28" s="65"/>
      <c r="WB28" s="65"/>
      <c r="WC28" s="65"/>
      <c r="WD28" s="65"/>
      <c r="WE28" s="65"/>
      <c r="WF28" s="65"/>
      <c r="WG28" s="65"/>
      <c r="WH28" s="65"/>
      <c r="WI28" s="65"/>
      <c r="WJ28" s="65"/>
      <c r="WK28" s="65"/>
      <c r="WL28" s="65"/>
      <c r="WM28" s="65"/>
      <c r="WN28" s="65"/>
      <c r="WO28" s="65"/>
      <c r="WP28" s="65"/>
      <c r="WQ28" s="65"/>
      <c r="WR28" s="65"/>
      <c r="WS28" s="65"/>
      <c r="WT28" s="65"/>
      <c r="WU28" s="65"/>
      <c r="WV28" s="65"/>
      <c r="WW28" s="65"/>
      <c r="WX28" s="65"/>
      <c r="WY28" s="65"/>
      <c r="WZ28" s="65"/>
      <c r="XA28" s="65"/>
      <c r="XB28" s="65"/>
      <c r="XC28" s="65"/>
      <c r="XD28" s="65"/>
      <c r="XE28" s="65"/>
      <c r="XF28" s="65"/>
      <c r="XG28" s="65"/>
      <c r="XH28" s="65"/>
      <c r="XI28" s="65"/>
      <c r="XJ28" s="65"/>
      <c r="XK28" s="65"/>
      <c r="XL28" s="65"/>
      <c r="XM28" s="65"/>
      <c r="XN28" s="65"/>
      <c r="XO28" s="65"/>
      <c r="XP28" s="65"/>
      <c r="XQ28" s="65"/>
      <c r="XR28" s="65"/>
      <c r="XS28" s="65"/>
      <c r="XT28" s="65"/>
      <c r="XU28" s="65"/>
      <c r="XV28" s="65"/>
      <c r="XW28" s="65"/>
      <c r="XX28" s="65"/>
      <c r="XY28" s="65"/>
      <c r="XZ28" s="65"/>
      <c r="YA28" s="65"/>
      <c r="YB28" s="65"/>
      <c r="YC28" s="65"/>
      <c r="YD28" s="65"/>
      <c r="YE28" s="65"/>
      <c r="YF28" s="65"/>
      <c r="YG28" s="65"/>
      <c r="YH28" s="65"/>
      <c r="YI28" s="65"/>
      <c r="YJ28" s="65"/>
      <c r="YK28" s="65"/>
      <c r="YL28" s="65"/>
      <c r="YM28" s="65"/>
      <c r="YN28" s="65"/>
      <c r="YO28" s="65"/>
      <c r="YP28" s="65"/>
      <c r="YQ28" s="65"/>
      <c r="YR28" s="65"/>
      <c r="YS28" s="65"/>
      <c r="YT28" s="65"/>
      <c r="YU28" s="65"/>
      <c r="YV28" s="65"/>
      <c r="YW28" s="65"/>
      <c r="YX28" s="65"/>
      <c r="YY28" s="65"/>
      <c r="YZ28" s="65"/>
      <c r="ZA28" s="65"/>
      <c r="ZB28" s="65"/>
      <c r="ZC28" s="65"/>
      <c r="ZD28" s="65"/>
      <c r="ZE28" s="65"/>
      <c r="ZF28" s="65"/>
      <c r="ZG28" s="65"/>
      <c r="ZH28" s="65"/>
      <c r="ZI28" s="65"/>
      <c r="ZJ28" s="65"/>
      <c r="ZK28" s="65"/>
      <c r="ZL28" s="65"/>
      <c r="ZM28" s="65"/>
      <c r="ZN28" s="65"/>
      <c r="ZO28" s="65"/>
      <c r="ZP28" s="65"/>
      <c r="ZQ28" s="65"/>
      <c r="ZR28" s="65"/>
      <c r="ZS28" s="65"/>
      <c r="ZT28" s="65"/>
      <c r="ZU28" s="65"/>
      <c r="ZV28" s="65"/>
      <c r="ZW28" s="65"/>
      <c r="ZX28" s="65"/>
      <c r="ZY28" s="65"/>
      <c r="ZZ28" s="65"/>
      <c r="AAA28" s="65"/>
      <c r="AAB28" s="65"/>
      <c r="AAC28" s="65"/>
      <c r="AAD28" s="65"/>
      <c r="AAE28" s="65"/>
      <c r="AAF28" s="65"/>
      <c r="AAG28" s="65"/>
      <c r="AAH28" s="65"/>
      <c r="AAI28" s="65"/>
      <c r="AAJ28" s="65"/>
      <c r="AAK28" s="65"/>
      <c r="AAL28" s="65"/>
      <c r="AAM28" s="65"/>
      <c r="AAN28" s="65"/>
      <c r="AAO28" s="65"/>
      <c r="AAP28" s="65"/>
      <c r="AAQ28" s="65"/>
      <c r="AAR28" s="65"/>
      <c r="AAS28" s="65"/>
      <c r="AAT28" s="65"/>
      <c r="AAU28" s="65"/>
      <c r="AAV28" s="65"/>
      <c r="AAW28" s="65"/>
      <c r="AAX28" s="65"/>
      <c r="AAY28" s="65"/>
      <c r="AAZ28" s="65"/>
      <c r="ABA28" s="65"/>
      <c r="ABB28" s="65"/>
      <c r="ABC28" s="65"/>
      <c r="ABD28" s="65"/>
      <c r="ABE28" s="65"/>
      <c r="ABF28" s="65"/>
      <c r="ABG28" s="65"/>
      <c r="ABH28" s="65"/>
      <c r="ABI28" s="65"/>
      <c r="ABJ28" s="65"/>
      <c r="ABK28" s="65"/>
      <c r="ABL28" s="65"/>
      <c r="ABM28" s="65"/>
      <c r="ABN28" s="65"/>
      <c r="ABO28" s="65"/>
      <c r="ABP28" s="65"/>
      <c r="ABQ28" s="65"/>
      <c r="ABR28" s="65"/>
      <c r="ABS28" s="65"/>
      <c r="ABT28" s="65"/>
      <c r="ABU28" s="65"/>
      <c r="ABV28" s="65"/>
      <c r="ABW28" s="65"/>
      <c r="ABX28" s="65"/>
      <c r="ABY28" s="65"/>
      <c r="ABZ28" s="65"/>
      <c r="ACA28" s="65"/>
      <c r="ACB28" s="65"/>
      <c r="ACC28" s="65"/>
      <c r="ACD28" s="65"/>
      <c r="ACE28" s="65"/>
      <c r="ACF28" s="65"/>
      <c r="ACG28" s="65"/>
      <c r="ACH28" s="65"/>
      <c r="ACI28" s="65"/>
      <c r="ACJ28" s="65"/>
      <c r="ACK28" s="65"/>
      <c r="ACL28" s="65"/>
      <c r="ACM28" s="65"/>
      <c r="ACN28" s="65"/>
      <c r="ACO28" s="65"/>
      <c r="ACP28" s="65"/>
      <c r="ACQ28" s="65"/>
      <c r="ACR28" s="65"/>
      <c r="ACS28" s="65"/>
      <c r="ACT28" s="65"/>
      <c r="ACU28" s="65"/>
      <c r="ACV28" s="65"/>
      <c r="ACW28" s="65"/>
      <c r="ACX28" s="65"/>
      <c r="ACY28" s="65"/>
      <c r="ACZ28" s="65"/>
      <c r="ADA28" s="65"/>
      <c r="ADB28" s="65"/>
      <c r="ADC28" s="65"/>
      <c r="ADD28" s="65"/>
      <c r="ADE28" s="65"/>
      <c r="ADF28" s="65"/>
      <c r="ADG28" s="65"/>
      <c r="ADH28" s="65"/>
      <c r="ADI28" s="65"/>
      <c r="ADJ28" s="65"/>
      <c r="ADK28" s="65"/>
      <c r="ADL28" s="65"/>
      <c r="ADM28" s="65"/>
      <c r="ADN28" s="65"/>
      <c r="ADO28" s="65"/>
      <c r="ADP28" s="65"/>
      <c r="ADQ28" s="65"/>
      <c r="ADR28" s="65"/>
      <c r="ADS28" s="65"/>
      <c r="ADT28" s="65"/>
      <c r="ADU28" s="65"/>
      <c r="ADV28" s="65"/>
      <c r="ADW28" s="65"/>
      <c r="ADX28" s="65"/>
      <c r="ADY28" s="65"/>
      <c r="ADZ28" s="65"/>
      <c r="AEA28" s="65"/>
      <c r="AEB28" s="65"/>
      <c r="AEC28" s="65"/>
      <c r="AED28" s="65"/>
      <c r="AEE28" s="65"/>
      <c r="AEF28" s="65"/>
      <c r="AEG28" s="65"/>
      <c r="AEH28" s="65"/>
      <c r="AEI28" s="65"/>
      <c r="AEJ28" s="65"/>
      <c r="AEK28" s="65"/>
      <c r="AEL28" s="65"/>
      <c r="AEM28" s="65"/>
      <c r="AEN28" s="65"/>
      <c r="AEO28" s="65"/>
      <c r="AEP28" s="65"/>
      <c r="AEQ28" s="65"/>
      <c r="AER28" s="65"/>
      <c r="AES28" s="65"/>
      <c r="AET28" s="65"/>
      <c r="AEU28" s="65"/>
      <c r="AEV28" s="65"/>
      <c r="AEW28" s="65"/>
      <c r="AEX28" s="65"/>
      <c r="AEY28" s="65"/>
      <c r="AEZ28" s="65"/>
      <c r="AFA28" s="65"/>
      <c r="AFB28" s="65"/>
      <c r="AFC28" s="65"/>
      <c r="AFD28" s="65"/>
      <c r="AFE28" s="65"/>
      <c r="AFF28" s="65"/>
      <c r="AFG28" s="65"/>
      <c r="AFH28" s="65"/>
      <c r="AFI28" s="65"/>
      <c r="AFJ28" s="65"/>
      <c r="AFK28" s="65"/>
      <c r="AFL28" s="65"/>
      <c r="AFM28" s="65"/>
      <c r="AFN28" s="65"/>
      <c r="AFO28" s="65"/>
      <c r="AFP28" s="65"/>
      <c r="AFQ28" s="65"/>
      <c r="AFR28" s="65"/>
      <c r="AFS28" s="65"/>
      <c r="AFT28" s="65"/>
      <c r="AFU28" s="65"/>
      <c r="AFV28" s="65"/>
      <c r="AFW28" s="65"/>
      <c r="AFX28" s="65"/>
      <c r="AFY28" s="65"/>
      <c r="AFZ28" s="65"/>
      <c r="AGA28" s="65"/>
      <c r="AGB28" s="65"/>
      <c r="AGC28" s="65"/>
      <c r="AGD28" s="65"/>
      <c r="AGE28" s="65"/>
      <c r="AGF28" s="65"/>
      <c r="AGG28" s="65"/>
      <c r="AGH28" s="65"/>
      <c r="AGI28" s="65"/>
      <c r="AGJ28" s="65"/>
      <c r="AGK28" s="65"/>
      <c r="AGL28" s="65"/>
      <c r="AGM28" s="65"/>
      <c r="AGN28" s="65"/>
      <c r="AGO28" s="65"/>
      <c r="AGP28" s="65"/>
      <c r="AGQ28" s="65"/>
      <c r="AGR28" s="65"/>
      <c r="AGS28" s="65"/>
      <c r="AGT28" s="65"/>
      <c r="AGU28" s="65"/>
      <c r="AGV28" s="65"/>
      <c r="AGW28" s="65"/>
      <c r="AGX28" s="65"/>
      <c r="AGY28" s="65"/>
      <c r="AGZ28" s="65"/>
      <c r="AHA28" s="65"/>
      <c r="AHB28" s="65"/>
      <c r="AHC28" s="65"/>
      <c r="AHD28" s="65"/>
      <c r="AHE28" s="65"/>
      <c r="AHF28" s="65"/>
      <c r="AHG28" s="65"/>
      <c r="AHH28" s="65"/>
      <c r="AHI28" s="65"/>
      <c r="AHJ28" s="65"/>
      <c r="AHK28" s="65"/>
      <c r="AHL28" s="65"/>
      <c r="AHM28" s="65"/>
      <c r="AHN28" s="65"/>
      <c r="AHO28" s="65"/>
      <c r="AHP28" s="65"/>
      <c r="AHQ28" s="65"/>
      <c r="AHR28" s="65"/>
      <c r="AHS28" s="65"/>
      <c r="AHT28" s="65"/>
      <c r="AHU28" s="65"/>
      <c r="AHV28" s="65"/>
      <c r="AHW28" s="65"/>
      <c r="AHX28" s="65"/>
      <c r="AHY28" s="65"/>
      <c r="AHZ28" s="65"/>
      <c r="AIA28" s="65"/>
      <c r="AIB28" s="65"/>
      <c r="AIC28" s="65"/>
      <c r="AID28" s="65"/>
      <c r="AIE28" s="65"/>
      <c r="AIF28" s="65"/>
      <c r="AIG28" s="65"/>
      <c r="AIH28" s="65"/>
      <c r="AII28" s="65"/>
      <c r="AIJ28" s="65"/>
      <c r="AIK28" s="65"/>
      <c r="AIL28" s="65"/>
      <c r="AIM28" s="65"/>
      <c r="AIN28" s="65"/>
      <c r="AIO28" s="65"/>
      <c r="AIP28" s="65"/>
      <c r="AIQ28" s="65"/>
      <c r="AIR28" s="65"/>
      <c r="AIS28" s="65"/>
      <c r="AIT28" s="65"/>
      <c r="AIU28" s="65"/>
      <c r="AIV28" s="65"/>
      <c r="AIW28" s="65"/>
      <c r="AIX28" s="65"/>
      <c r="AIY28" s="65"/>
      <c r="AIZ28" s="65"/>
      <c r="AJA28" s="65"/>
      <c r="AJB28" s="65"/>
      <c r="AJC28" s="65"/>
      <c r="AJD28" s="65"/>
      <c r="AJE28" s="65"/>
      <c r="AJF28" s="65"/>
      <c r="AJG28" s="65"/>
      <c r="AJH28" s="65"/>
      <c r="AJI28" s="65"/>
      <c r="AJJ28" s="65"/>
      <c r="AJK28" s="65"/>
      <c r="AJL28" s="65"/>
      <c r="AJM28" s="65"/>
      <c r="AJN28" s="65"/>
      <c r="AJO28" s="65"/>
      <c r="AJP28" s="65"/>
      <c r="AJQ28" s="65"/>
      <c r="AJR28" s="65"/>
      <c r="AJS28" s="65"/>
      <c r="AJT28" s="65"/>
      <c r="AJU28" s="65"/>
      <c r="AJV28" s="65"/>
      <c r="AJW28" s="65"/>
      <c r="AJX28" s="65"/>
      <c r="AJY28" s="65"/>
      <c r="AJZ28" s="65"/>
      <c r="AKA28" s="65"/>
      <c r="AKB28" s="65"/>
      <c r="AKC28" s="65"/>
      <c r="AKD28" s="65"/>
      <c r="AKE28" s="65"/>
      <c r="AKF28" s="65"/>
      <c r="AKG28" s="65"/>
      <c r="AKH28" s="65"/>
      <c r="AKI28" s="65"/>
      <c r="AKJ28" s="65"/>
      <c r="AKK28" s="65"/>
      <c r="AKL28" s="65"/>
      <c r="AKM28" s="65"/>
      <c r="AKN28" s="65"/>
      <c r="AKO28" s="65"/>
      <c r="AKP28" s="65"/>
      <c r="AKQ28" s="65"/>
      <c r="AKR28" s="65"/>
      <c r="AKS28" s="65"/>
      <c r="AKT28" s="65"/>
      <c r="AKU28" s="65"/>
      <c r="AKV28" s="65"/>
      <c r="AKW28" s="65"/>
      <c r="AKX28" s="65"/>
      <c r="AKY28" s="65"/>
      <c r="AKZ28" s="65"/>
      <c r="ALA28" s="65"/>
      <c r="ALB28" s="65"/>
      <c r="ALC28" s="65"/>
      <c r="ALD28" s="65"/>
      <c r="ALE28" s="65"/>
      <c r="ALF28" s="65"/>
      <c r="ALG28" s="65"/>
      <c r="ALH28" s="65"/>
      <c r="ALI28" s="65"/>
      <c r="ALJ28" s="65"/>
      <c r="ALK28" s="65"/>
      <c r="ALL28" s="65"/>
      <c r="ALM28" s="65"/>
      <c r="ALN28" s="65"/>
      <c r="ALO28" s="65"/>
      <c r="ALP28" s="65"/>
      <c r="ALQ28" s="65"/>
      <c r="ALR28" s="65"/>
      <c r="ALS28" s="65"/>
      <c r="ALT28" s="65"/>
      <c r="ALU28" s="65"/>
      <c r="ALV28" s="65"/>
      <c r="ALW28" s="65"/>
      <c r="ALX28" s="65"/>
      <c r="ALY28" s="65"/>
      <c r="ALZ28" s="65"/>
      <c r="AMA28" s="65"/>
      <c r="AMB28" s="65"/>
      <c r="AMC28" s="65"/>
      <c r="AMD28" s="65"/>
      <c r="AME28" s="65"/>
      <c r="AMF28" s="65"/>
      <c r="AMG28" s="65"/>
      <c r="AMH28" s="65"/>
      <c r="AMI28" s="65"/>
      <c r="AMJ28" s="65"/>
      <c r="AMK28" s="65"/>
      <c r="AML28" s="65"/>
      <c r="AMM28" s="65"/>
      <c r="AMN28" s="65"/>
      <c r="AMO28" s="65"/>
      <c r="AMP28" s="65"/>
      <c r="AMQ28" s="65"/>
      <c r="AMR28" s="65"/>
      <c r="AMS28" s="65"/>
      <c r="AMT28" s="65"/>
      <c r="AMU28" s="65"/>
      <c r="AMV28" s="65"/>
      <c r="AMW28" s="65"/>
      <c r="AMX28" s="65"/>
      <c r="AMY28" s="65"/>
      <c r="AMZ28" s="65"/>
      <c r="ANA28" s="65"/>
      <c r="ANB28" s="65"/>
      <c r="ANC28" s="65"/>
      <c r="AND28" s="65"/>
      <c r="ANE28" s="65"/>
      <c r="ANF28" s="65"/>
      <c r="ANG28" s="65"/>
      <c r="ANH28" s="65"/>
      <c r="ANI28" s="65"/>
      <c r="ANJ28" s="65"/>
      <c r="ANK28" s="65"/>
      <c r="ANL28" s="65"/>
      <c r="ANM28" s="65"/>
      <c r="ANN28" s="65"/>
      <c r="ANO28" s="65"/>
      <c r="ANP28" s="65"/>
      <c r="ANQ28" s="65"/>
      <c r="ANR28" s="65"/>
      <c r="ANS28" s="65"/>
      <c r="ANT28" s="65"/>
      <c r="ANU28" s="65"/>
      <c r="ANV28" s="65"/>
      <c r="ANW28" s="65"/>
      <c r="ANX28" s="65"/>
      <c r="ANY28" s="65"/>
      <c r="ANZ28" s="65"/>
      <c r="AOA28" s="65"/>
      <c r="AOB28" s="65"/>
      <c r="AOC28" s="65"/>
      <c r="AOD28" s="65"/>
      <c r="AOE28" s="65"/>
      <c r="AOF28" s="65"/>
      <c r="AOG28" s="65"/>
      <c r="AOH28" s="65"/>
      <c r="AOI28" s="65"/>
      <c r="AOJ28" s="65"/>
      <c r="AOK28" s="65"/>
      <c r="AOL28" s="65"/>
      <c r="AOM28" s="65"/>
      <c r="AON28" s="65"/>
      <c r="AOO28" s="65"/>
      <c r="AOP28" s="65"/>
      <c r="AOQ28" s="65"/>
      <c r="AOR28" s="65"/>
      <c r="AOS28" s="65"/>
      <c r="AOT28" s="65"/>
      <c r="AOU28" s="65"/>
      <c r="AOV28" s="65"/>
      <c r="AOW28" s="65"/>
      <c r="AOX28" s="65"/>
      <c r="AOY28" s="65"/>
      <c r="AOZ28" s="65"/>
      <c r="APA28" s="65"/>
      <c r="APB28" s="65"/>
      <c r="APC28" s="65"/>
      <c r="APD28" s="65"/>
      <c r="APE28" s="65"/>
      <c r="APF28" s="65"/>
      <c r="APG28" s="65"/>
      <c r="APH28" s="65"/>
      <c r="API28" s="65"/>
      <c r="APJ28" s="65"/>
      <c r="APK28" s="65"/>
      <c r="APL28" s="65"/>
      <c r="APM28" s="65"/>
      <c r="APN28" s="65"/>
      <c r="APO28" s="65"/>
      <c r="APP28" s="65"/>
      <c r="APQ28" s="65"/>
      <c r="APR28" s="65"/>
      <c r="APS28" s="65"/>
      <c r="APT28" s="65"/>
      <c r="APU28" s="65"/>
      <c r="APV28" s="65"/>
      <c r="APW28" s="65"/>
      <c r="APX28" s="65"/>
      <c r="APY28" s="65"/>
      <c r="APZ28" s="65"/>
      <c r="AQA28" s="65"/>
      <c r="AQB28" s="65"/>
      <c r="AQC28" s="65"/>
      <c r="AQD28" s="65"/>
      <c r="AQE28" s="65"/>
      <c r="AQF28" s="65"/>
      <c r="AQG28" s="65"/>
      <c r="AQH28" s="65"/>
      <c r="AQI28" s="65"/>
      <c r="AQJ28" s="65"/>
      <c r="AQK28" s="65"/>
      <c r="AQL28" s="65"/>
      <c r="AQM28" s="65"/>
      <c r="AQN28" s="65"/>
      <c r="AQO28" s="65"/>
      <c r="AQP28" s="65"/>
      <c r="AQQ28" s="65"/>
      <c r="AQR28" s="65"/>
      <c r="AQS28" s="65"/>
      <c r="AQT28" s="65"/>
      <c r="AQU28" s="65"/>
      <c r="AQV28" s="65"/>
      <c r="AQW28" s="65"/>
      <c r="AQX28" s="65"/>
      <c r="AQY28" s="65"/>
      <c r="AQZ28" s="65"/>
      <c r="ARA28" s="65"/>
      <c r="ARB28" s="65"/>
      <c r="ARC28" s="65"/>
      <c r="ARD28" s="65"/>
      <c r="ARE28" s="65"/>
      <c r="ARF28" s="65"/>
      <c r="ARG28" s="65"/>
      <c r="ARH28" s="65"/>
      <c r="ARI28" s="65"/>
      <c r="ARJ28" s="65"/>
      <c r="ARK28" s="65"/>
      <c r="ARL28" s="65"/>
      <c r="ARM28" s="65"/>
      <c r="ARN28" s="65"/>
      <c r="ARO28" s="65"/>
      <c r="ARP28" s="65"/>
      <c r="ARQ28" s="65"/>
      <c r="ARR28" s="65"/>
      <c r="ARS28" s="65"/>
      <c r="ART28" s="65"/>
      <c r="ARU28" s="65"/>
      <c r="ARV28" s="65"/>
      <c r="ARW28" s="65"/>
      <c r="ARX28" s="65"/>
      <c r="ARY28" s="65"/>
      <c r="ARZ28" s="65"/>
      <c r="ASA28" s="65"/>
      <c r="ASB28" s="65"/>
      <c r="ASC28" s="65"/>
      <c r="ASD28" s="65"/>
      <c r="ASE28" s="65"/>
      <c r="ASF28" s="65"/>
      <c r="ASG28" s="65"/>
      <c r="ASH28" s="65"/>
      <c r="ASI28" s="65"/>
      <c r="ASJ28" s="65"/>
      <c r="ASK28" s="65"/>
      <c r="ASL28" s="65"/>
      <c r="ASM28" s="65"/>
      <c r="ASN28" s="65"/>
      <c r="ASO28" s="65"/>
      <c r="ASP28" s="65"/>
      <c r="ASQ28" s="65"/>
      <c r="ASR28" s="65"/>
      <c r="ASS28" s="65"/>
      <c r="AST28" s="65"/>
      <c r="ASU28" s="65"/>
      <c r="ASV28" s="65"/>
      <c r="ASW28" s="65"/>
      <c r="ASX28" s="65"/>
      <c r="ASY28" s="65"/>
      <c r="ASZ28" s="65"/>
      <c r="ATA28" s="65"/>
      <c r="ATB28" s="65"/>
      <c r="ATC28" s="65"/>
      <c r="ATD28" s="65"/>
      <c r="ATE28" s="65"/>
      <c r="ATF28" s="65"/>
      <c r="ATG28" s="65"/>
      <c r="ATH28" s="65"/>
      <c r="ATI28" s="65"/>
      <c r="ATJ28" s="65"/>
      <c r="ATK28" s="65"/>
      <c r="ATL28" s="65"/>
      <c r="ATM28" s="65"/>
      <c r="ATN28" s="65"/>
      <c r="ATO28" s="65"/>
      <c r="ATP28" s="65"/>
      <c r="ATQ28" s="65"/>
      <c r="ATR28" s="65"/>
      <c r="ATS28" s="65"/>
      <c r="ATT28" s="65"/>
      <c r="ATU28" s="65"/>
      <c r="ATV28" s="65"/>
      <c r="ATW28" s="65"/>
      <c r="ATX28" s="65"/>
      <c r="ATY28" s="65"/>
      <c r="ATZ28" s="65"/>
      <c r="AUA28" s="65"/>
      <c r="AUB28" s="65"/>
      <c r="AUC28" s="65"/>
      <c r="AUD28" s="65"/>
      <c r="AUE28" s="65"/>
      <c r="AUF28" s="65"/>
      <c r="AUG28" s="65"/>
      <c r="AUH28" s="65"/>
      <c r="AUI28" s="65"/>
      <c r="AUJ28" s="65"/>
      <c r="AUK28" s="65"/>
      <c r="AUL28" s="65"/>
      <c r="AUM28" s="65"/>
      <c r="AUN28" s="65"/>
      <c r="AUO28" s="65"/>
      <c r="AUP28" s="65"/>
      <c r="AUQ28" s="65"/>
      <c r="AUR28" s="65"/>
      <c r="AUS28" s="65"/>
      <c r="AUT28" s="65"/>
      <c r="AUU28" s="65"/>
      <c r="AUV28" s="65"/>
      <c r="AUW28" s="65"/>
      <c r="AUX28" s="65"/>
      <c r="AUY28" s="65"/>
      <c r="AUZ28" s="65"/>
      <c r="AVA28" s="65"/>
      <c r="AVB28" s="65"/>
      <c r="AVC28" s="65"/>
      <c r="AVD28" s="65"/>
      <c r="AVE28" s="65"/>
      <c r="AVF28" s="65"/>
      <c r="AVG28" s="65"/>
      <c r="AVH28" s="65"/>
      <c r="AVI28" s="65"/>
      <c r="AVJ28" s="65"/>
      <c r="AVK28" s="65"/>
      <c r="AVL28" s="65"/>
      <c r="AVM28" s="65"/>
      <c r="AVN28" s="65"/>
      <c r="AVO28" s="65"/>
      <c r="AVP28" s="65"/>
      <c r="AVQ28" s="65"/>
      <c r="AVR28" s="65"/>
      <c r="AVS28" s="65"/>
      <c r="AVT28" s="65"/>
      <c r="AVU28" s="65"/>
      <c r="AVV28" s="65"/>
      <c r="AVW28" s="65"/>
      <c r="AVX28" s="65"/>
      <c r="AVY28" s="65"/>
      <c r="AVZ28" s="65"/>
      <c r="AWA28" s="65"/>
      <c r="AWB28" s="65"/>
      <c r="AWC28" s="65"/>
      <c r="AWD28" s="65"/>
      <c r="AWE28" s="65"/>
      <c r="AWF28" s="65"/>
      <c r="AWG28" s="65"/>
      <c r="AWH28" s="65"/>
      <c r="AWI28" s="65"/>
      <c r="AWJ28" s="65"/>
      <c r="AWK28" s="65"/>
      <c r="AWL28" s="65"/>
      <c r="AWM28" s="65"/>
      <c r="AWN28" s="65"/>
      <c r="AWO28" s="65"/>
      <c r="AWP28" s="65"/>
      <c r="AWQ28" s="65"/>
      <c r="AWR28" s="65"/>
      <c r="AWS28" s="65"/>
      <c r="AWT28" s="65"/>
      <c r="AWU28" s="65"/>
      <c r="AWV28" s="65"/>
      <c r="AWW28" s="65"/>
      <c r="AWX28" s="65"/>
      <c r="AWY28" s="65"/>
      <c r="AWZ28" s="65"/>
      <c r="AXA28" s="65"/>
      <c r="AXB28" s="65"/>
      <c r="AXC28" s="65"/>
      <c r="AXD28" s="65"/>
      <c r="AXE28" s="65"/>
      <c r="AXF28" s="65"/>
      <c r="AXG28" s="65"/>
      <c r="AXH28" s="65"/>
      <c r="AXI28" s="65"/>
      <c r="AXJ28" s="65"/>
      <c r="AXK28" s="65"/>
      <c r="AXL28" s="65"/>
      <c r="AXM28" s="65"/>
      <c r="AXN28" s="65"/>
      <c r="AXO28" s="65"/>
      <c r="AXP28" s="65"/>
      <c r="AXQ28" s="65"/>
      <c r="AXR28" s="65"/>
      <c r="AXS28" s="65"/>
      <c r="AXT28" s="65"/>
      <c r="AXU28" s="65"/>
      <c r="AXV28" s="65"/>
      <c r="AXW28" s="65"/>
      <c r="AXX28" s="65"/>
      <c r="AXY28" s="65"/>
      <c r="AXZ28" s="65"/>
      <c r="AYA28" s="65"/>
      <c r="AYB28" s="65"/>
      <c r="AYC28" s="65"/>
      <c r="AYD28" s="65"/>
      <c r="AYE28" s="65"/>
      <c r="AYF28" s="65"/>
      <c r="AYG28" s="65"/>
      <c r="AYH28" s="65"/>
      <c r="AYI28" s="65"/>
      <c r="AYJ28" s="65"/>
      <c r="AYK28" s="65"/>
      <c r="AYL28" s="65"/>
      <c r="AYM28" s="65"/>
      <c r="AYN28" s="65"/>
      <c r="AYO28" s="65"/>
      <c r="AYP28" s="65"/>
      <c r="AYQ28" s="65"/>
      <c r="AYR28" s="65"/>
      <c r="AYS28" s="65"/>
      <c r="AYT28" s="65"/>
      <c r="AYU28" s="65"/>
      <c r="AYV28" s="65"/>
      <c r="AYW28" s="65"/>
      <c r="AYX28" s="65"/>
      <c r="AYY28" s="65"/>
      <c r="AYZ28" s="65"/>
      <c r="AZA28" s="65"/>
      <c r="AZB28" s="65"/>
      <c r="AZC28" s="65"/>
      <c r="AZD28" s="65"/>
      <c r="AZE28" s="65"/>
      <c r="AZF28" s="65"/>
      <c r="AZG28" s="65"/>
      <c r="AZH28" s="65"/>
      <c r="AZI28" s="65"/>
      <c r="AZJ28" s="65"/>
      <c r="AZK28" s="65"/>
      <c r="AZL28" s="65"/>
      <c r="AZM28" s="65"/>
      <c r="AZN28" s="65"/>
      <c r="AZO28" s="65"/>
      <c r="AZP28" s="65"/>
      <c r="AZQ28" s="65"/>
      <c r="AZR28" s="65"/>
      <c r="AZS28" s="65"/>
      <c r="AZT28" s="65"/>
      <c r="AZU28" s="65"/>
      <c r="AZV28" s="65"/>
      <c r="AZW28" s="65"/>
      <c r="AZX28" s="65"/>
      <c r="AZY28" s="65"/>
      <c r="AZZ28" s="65"/>
      <c r="BAA28" s="65"/>
      <c r="BAB28" s="65"/>
      <c r="BAC28" s="65"/>
      <c r="BAD28" s="65"/>
      <c r="BAE28" s="65"/>
      <c r="BAF28" s="65"/>
      <c r="BAG28" s="65"/>
      <c r="BAH28" s="65"/>
      <c r="BAI28" s="65"/>
      <c r="BAJ28" s="65"/>
      <c r="BAK28" s="65"/>
      <c r="BAL28" s="65"/>
      <c r="BAM28" s="65"/>
      <c r="BAN28" s="65"/>
      <c r="BAO28" s="65"/>
      <c r="BAP28" s="65"/>
      <c r="BAQ28" s="65"/>
      <c r="BAR28" s="65"/>
      <c r="BAS28" s="65"/>
      <c r="BAT28" s="65"/>
      <c r="BAU28" s="65"/>
      <c r="BAV28" s="65"/>
      <c r="BAW28" s="65"/>
      <c r="BAX28" s="65"/>
      <c r="BAY28" s="65"/>
      <c r="BAZ28" s="65"/>
      <c r="BBA28" s="65"/>
      <c r="BBB28" s="65"/>
      <c r="BBC28" s="65"/>
      <c r="BBD28" s="65"/>
      <c r="BBE28" s="65"/>
      <c r="BBF28" s="65"/>
      <c r="BBG28" s="65"/>
      <c r="BBH28" s="65"/>
      <c r="BBI28" s="65"/>
      <c r="BBJ28" s="65"/>
      <c r="BBK28" s="65"/>
      <c r="BBL28" s="65"/>
      <c r="BBM28" s="65"/>
      <c r="BBN28" s="65"/>
      <c r="BBO28" s="65"/>
      <c r="BBP28" s="65"/>
      <c r="BBQ28" s="65"/>
      <c r="BBR28" s="65"/>
      <c r="BBS28" s="65"/>
      <c r="BBT28" s="65"/>
      <c r="BBU28" s="65"/>
      <c r="BBV28" s="65"/>
      <c r="BBW28" s="65"/>
      <c r="BBX28" s="65"/>
      <c r="BBY28" s="65"/>
      <c r="BBZ28" s="65"/>
      <c r="BCA28" s="65"/>
      <c r="BCB28" s="65"/>
      <c r="BCC28" s="65"/>
      <c r="BCD28" s="65"/>
      <c r="BCE28" s="65"/>
      <c r="BCF28" s="65"/>
      <c r="BCG28" s="65"/>
      <c r="BCH28" s="65"/>
      <c r="BCI28" s="65"/>
      <c r="BCJ28" s="65"/>
      <c r="BCK28" s="65"/>
      <c r="BCL28" s="65"/>
      <c r="BCM28" s="65"/>
      <c r="BCN28" s="65"/>
      <c r="BCO28" s="65"/>
      <c r="BCP28" s="65"/>
      <c r="BCQ28" s="65"/>
      <c r="BCR28" s="65"/>
      <c r="BCS28" s="65"/>
      <c r="BCT28" s="65"/>
      <c r="BCU28" s="65"/>
      <c r="BCV28" s="65"/>
      <c r="BCW28" s="65"/>
      <c r="BCX28" s="65"/>
      <c r="BCY28" s="65"/>
      <c r="BCZ28" s="65"/>
      <c r="BDA28" s="65"/>
      <c r="BDB28" s="65"/>
      <c r="BDC28" s="65"/>
      <c r="BDD28" s="65"/>
      <c r="BDE28" s="65"/>
      <c r="BDF28" s="65"/>
      <c r="BDG28" s="65"/>
      <c r="BDH28" s="65"/>
      <c r="BDI28" s="65"/>
      <c r="BDJ28" s="65"/>
      <c r="BDK28" s="65"/>
      <c r="BDL28" s="65"/>
      <c r="BDM28" s="65"/>
      <c r="BDN28" s="65"/>
      <c r="BDO28" s="65"/>
      <c r="BDP28" s="65"/>
      <c r="BDQ28" s="65"/>
      <c r="BDR28" s="65"/>
      <c r="BDS28" s="65"/>
      <c r="BDT28" s="65"/>
      <c r="BDU28" s="65"/>
      <c r="BDV28" s="65"/>
      <c r="BDW28" s="65"/>
      <c r="BDX28" s="65"/>
      <c r="BDY28" s="65"/>
      <c r="BDZ28" s="65"/>
      <c r="BEA28" s="65"/>
      <c r="BEB28" s="65"/>
      <c r="BEC28" s="65"/>
      <c r="BED28" s="65"/>
      <c r="BEE28" s="65"/>
      <c r="BEF28" s="65"/>
      <c r="BEG28" s="65"/>
      <c r="BEH28" s="65"/>
      <c r="BEI28" s="65"/>
      <c r="BEJ28" s="65"/>
      <c r="BEK28" s="65"/>
      <c r="BEL28" s="65"/>
      <c r="BEM28" s="65"/>
      <c r="BEN28" s="65"/>
      <c r="BEO28" s="65"/>
      <c r="BEP28" s="65"/>
      <c r="BEQ28" s="65"/>
      <c r="BER28" s="65"/>
      <c r="BES28" s="65"/>
      <c r="BET28" s="65"/>
      <c r="BEU28" s="65"/>
      <c r="BEV28" s="65"/>
      <c r="BEW28" s="65"/>
      <c r="BEX28" s="65"/>
      <c r="BEY28" s="65"/>
      <c r="BEZ28" s="65"/>
      <c r="BFA28" s="65"/>
      <c r="BFB28" s="65"/>
      <c r="BFC28" s="65"/>
      <c r="BFD28" s="65"/>
      <c r="BFE28" s="65"/>
      <c r="BFF28" s="65"/>
      <c r="BFG28" s="65"/>
      <c r="BFH28" s="65"/>
      <c r="BFI28" s="65"/>
      <c r="BFJ28" s="65"/>
      <c r="BFK28" s="65"/>
      <c r="BFL28" s="65"/>
      <c r="BFM28" s="65"/>
      <c r="BFN28" s="65"/>
      <c r="BFO28" s="65"/>
      <c r="BFP28" s="65"/>
      <c r="BFQ28" s="65"/>
      <c r="BFR28" s="65"/>
      <c r="BFS28" s="65"/>
      <c r="BFT28" s="65"/>
      <c r="BFU28" s="65"/>
      <c r="BFV28" s="65"/>
      <c r="BFW28" s="65"/>
      <c r="BFX28" s="65"/>
      <c r="BFY28" s="65"/>
      <c r="BFZ28" s="65"/>
      <c r="BGA28" s="65"/>
      <c r="BGB28" s="65"/>
      <c r="BGC28" s="65"/>
      <c r="BGD28" s="65"/>
      <c r="BGE28" s="65"/>
      <c r="BGF28" s="65"/>
      <c r="BGG28" s="65"/>
      <c r="BGH28" s="65"/>
      <c r="BGI28" s="65"/>
      <c r="BGJ28" s="65"/>
      <c r="BGK28" s="65"/>
      <c r="BGL28" s="65"/>
      <c r="BGM28" s="65"/>
      <c r="BGN28" s="65"/>
      <c r="BGO28" s="65"/>
      <c r="BGP28" s="65"/>
      <c r="BGQ28" s="65"/>
      <c r="BGR28" s="65"/>
      <c r="BGS28" s="65"/>
      <c r="BGT28" s="65"/>
      <c r="BGU28" s="65"/>
      <c r="BGV28" s="65"/>
      <c r="BGW28" s="65"/>
      <c r="BGX28" s="65"/>
      <c r="BGY28" s="65"/>
      <c r="BGZ28" s="65"/>
      <c r="BHA28" s="65"/>
      <c r="BHB28" s="65"/>
      <c r="BHC28" s="65"/>
      <c r="BHD28" s="65"/>
      <c r="BHE28" s="65"/>
      <c r="BHF28" s="65"/>
      <c r="BHG28" s="65"/>
      <c r="BHH28" s="65"/>
      <c r="BHI28" s="65"/>
      <c r="BHJ28" s="65"/>
      <c r="BHK28" s="65"/>
      <c r="BHL28" s="65"/>
      <c r="BHM28" s="65"/>
      <c r="BHN28" s="65"/>
      <c r="BHO28" s="65"/>
      <c r="BHP28" s="65"/>
      <c r="BHQ28" s="65"/>
      <c r="BHR28" s="65"/>
      <c r="BHS28" s="65"/>
      <c r="BHT28" s="65"/>
      <c r="BHU28" s="65"/>
      <c r="BHV28" s="65"/>
      <c r="BHW28" s="65"/>
      <c r="BHX28" s="65"/>
      <c r="BHY28" s="65"/>
      <c r="BHZ28" s="65"/>
      <c r="BIA28" s="65"/>
      <c r="BIB28" s="65"/>
      <c r="BIC28" s="65"/>
      <c r="BID28" s="65"/>
      <c r="BIE28" s="65"/>
      <c r="BIF28" s="65"/>
      <c r="BIG28" s="65"/>
      <c r="BIH28" s="65"/>
      <c r="BII28" s="65"/>
      <c r="BIJ28" s="65"/>
      <c r="BIK28" s="65"/>
      <c r="BIL28" s="65"/>
      <c r="BIM28" s="65"/>
      <c r="BIN28" s="65"/>
      <c r="BIO28" s="65"/>
      <c r="BIP28" s="65"/>
      <c r="BIQ28" s="65"/>
      <c r="BIR28" s="65"/>
      <c r="BIS28" s="65"/>
      <c r="BIT28" s="65"/>
      <c r="BIU28" s="65"/>
      <c r="BIV28" s="65"/>
      <c r="BIW28" s="65"/>
      <c r="BIX28" s="65"/>
      <c r="BIY28" s="65"/>
      <c r="BIZ28" s="65"/>
      <c r="BJA28" s="65"/>
      <c r="BJB28" s="65"/>
      <c r="BJC28" s="65"/>
      <c r="BJD28" s="65"/>
      <c r="BJE28" s="65"/>
      <c r="BJF28" s="65"/>
      <c r="BJG28" s="65"/>
      <c r="BJH28" s="65"/>
      <c r="BJI28" s="65"/>
      <c r="BJJ28" s="65"/>
      <c r="BJK28" s="65"/>
      <c r="BJL28" s="65"/>
      <c r="BJM28" s="65"/>
      <c r="BJN28" s="65"/>
      <c r="BJO28" s="65"/>
      <c r="BJP28" s="65"/>
      <c r="BJQ28" s="65"/>
      <c r="BJR28" s="65"/>
      <c r="BJS28" s="65"/>
      <c r="BJT28" s="65"/>
      <c r="BJU28" s="65"/>
      <c r="BJV28" s="65"/>
      <c r="BJW28" s="65"/>
      <c r="BJX28" s="65"/>
      <c r="BJY28" s="65"/>
      <c r="BJZ28" s="65"/>
      <c r="BKA28" s="65"/>
      <c r="BKB28" s="65"/>
      <c r="BKC28" s="65"/>
      <c r="BKD28" s="65"/>
      <c r="BKE28" s="65"/>
      <c r="BKF28" s="65"/>
      <c r="BKG28" s="65"/>
      <c r="BKH28" s="65"/>
      <c r="BKI28" s="65"/>
      <c r="BKJ28" s="65"/>
      <c r="BKK28" s="65"/>
      <c r="BKL28" s="65"/>
      <c r="BKM28" s="65"/>
      <c r="BKN28" s="65"/>
      <c r="BKO28" s="65"/>
      <c r="BKP28" s="65"/>
      <c r="BKQ28" s="65"/>
      <c r="BKR28" s="65"/>
      <c r="BKS28" s="65"/>
      <c r="BKT28" s="65"/>
      <c r="BKU28" s="65"/>
      <c r="BKV28" s="65"/>
      <c r="BKW28" s="65"/>
      <c r="BKX28" s="65"/>
      <c r="BKY28" s="65"/>
      <c r="BKZ28" s="65"/>
      <c r="BLA28" s="65"/>
      <c r="BLB28" s="65"/>
      <c r="BLC28" s="65"/>
      <c r="BLD28" s="65"/>
      <c r="BLE28" s="65"/>
      <c r="BLF28" s="65"/>
      <c r="BLG28" s="65"/>
      <c r="BLH28" s="65"/>
      <c r="BLI28" s="65"/>
      <c r="BLJ28" s="65"/>
      <c r="BLK28" s="65"/>
      <c r="BLL28" s="65"/>
      <c r="BLM28" s="65"/>
      <c r="BLN28" s="65"/>
      <c r="BLO28" s="65"/>
      <c r="BLP28" s="65"/>
      <c r="BLQ28" s="65"/>
      <c r="BLR28" s="65"/>
      <c r="BLS28" s="65"/>
      <c r="BLT28" s="65"/>
      <c r="BLU28" s="65"/>
      <c r="BLV28" s="65"/>
      <c r="BLW28" s="65"/>
      <c r="BLX28" s="65"/>
      <c r="BLY28" s="65"/>
      <c r="BLZ28" s="65"/>
      <c r="BMA28" s="65"/>
      <c r="BMB28" s="65"/>
      <c r="BMC28" s="65"/>
      <c r="BMD28" s="65"/>
      <c r="BME28" s="65"/>
      <c r="BMF28" s="65"/>
      <c r="BMG28" s="65"/>
      <c r="BMH28" s="65"/>
      <c r="BMI28" s="65"/>
      <c r="BMJ28" s="65"/>
      <c r="BMK28" s="65"/>
      <c r="BML28" s="65"/>
      <c r="BMM28" s="65"/>
      <c r="BMN28" s="65"/>
      <c r="BMO28" s="65"/>
      <c r="BMP28" s="65"/>
      <c r="BMQ28" s="65"/>
      <c r="BMR28" s="65"/>
      <c r="BMS28" s="65"/>
      <c r="BMT28" s="65"/>
      <c r="BMU28" s="65"/>
      <c r="BMV28" s="65"/>
      <c r="BMW28" s="65"/>
      <c r="BMX28" s="65"/>
      <c r="BMY28" s="65"/>
      <c r="BMZ28" s="65"/>
      <c r="BNA28" s="65"/>
      <c r="BNB28" s="65"/>
      <c r="BNC28" s="65"/>
      <c r="BND28" s="65"/>
      <c r="BNE28" s="65"/>
      <c r="BNF28" s="65"/>
      <c r="BNG28" s="65"/>
      <c r="BNH28" s="65"/>
      <c r="BNI28" s="65"/>
      <c r="BNJ28" s="65"/>
      <c r="BNK28" s="65"/>
      <c r="BNL28" s="65"/>
      <c r="BNM28" s="65"/>
      <c r="BNN28" s="65"/>
      <c r="BNO28" s="65"/>
      <c r="BNP28" s="65"/>
      <c r="BNQ28" s="65"/>
      <c r="BNR28" s="65"/>
      <c r="BNS28" s="65"/>
      <c r="BNT28" s="65"/>
      <c r="BNU28" s="65"/>
      <c r="BNV28" s="65"/>
      <c r="BNW28" s="65"/>
      <c r="BNX28" s="65"/>
      <c r="BNY28" s="65"/>
      <c r="BNZ28" s="65"/>
      <c r="BOA28" s="65"/>
      <c r="BOB28" s="65"/>
      <c r="BOC28" s="65"/>
      <c r="BOD28" s="65"/>
      <c r="BOE28" s="65"/>
      <c r="BOF28" s="65"/>
      <c r="BOG28" s="65"/>
      <c r="BOH28" s="65"/>
      <c r="BOI28" s="65"/>
      <c r="BOJ28" s="65"/>
      <c r="BOK28" s="65"/>
      <c r="BOL28" s="65"/>
      <c r="BOM28" s="65"/>
      <c r="BON28" s="65"/>
      <c r="BOO28" s="65"/>
      <c r="BOP28" s="65"/>
      <c r="BOQ28" s="65"/>
      <c r="BOR28" s="65"/>
      <c r="BOS28" s="65"/>
      <c r="BOT28" s="65"/>
      <c r="BOU28" s="65"/>
      <c r="BOV28" s="65"/>
      <c r="BOW28" s="65"/>
      <c r="BOX28" s="65"/>
      <c r="BOY28" s="65"/>
      <c r="BOZ28" s="65"/>
      <c r="BPA28" s="65"/>
      <c r="BPB28" s="65"/>
      <c r="BPC28" s="65"/>
      <c r="BPD28" s="65"/>
      <c r="BPE28" s="65"/>
      <c r="BPF28" s="65"/>
      <c r="BPG28" s="65"/>
      <c r="BPH28" s="65"/>
      <c r="BPI28" s="65"/>
      <c r="BPJ28" s="65"/>
      <c r="BPK28" s="65"/>
      <c r="BPL28" s="65"/>
      <c r="BPM28" s="65"/>
      <c r="BPN28" s="65"/>
      <c r="BPO28" s="65"/>
      <c r="BPP28" s="65"/>
      <c r="BPQ28" s="65"/>
      <c r="BPR28" s="65"/>
      <c r="BPS28" s="65"/>
      <c r="BPT28" s="65"/>
      <c r="BPU28" s="65"/>
      <c r="BPV28" s="65"/>
      <c r="BPW28" s="65"/>
      <c r="BPX28" s="65"/>
      <c r="BPY28" s="65"/>
      <c r="BPZ28" s="65"/>
      <c r="BQA28" s="65"/>
      <c r="BQB28" s="65"/>
      <c r="BQC28" s="65"/>
      <c r="BQD28" s="65"/>
      <c r="BQE28" s="65"/>
      <c r="BQF28" s="65"/>
      <c r="BQG28" s="65"/>
      <c r="BQH28" s="65"/>
      <c r="BQI28" s="65"/>
      <c r="BQJ28" s="65"/>
      <c r="BQK28" s="65"/>
      <c r="BQL28" s="65"/>
      <c r="BQM28" s="65"/>
      <c r="BQN28" s="65"/>
      <c r="BQO28" s="65"/>
      <c r="BQP28" s="65"/>
      <c r="BQQ28" s="65"/>
      <c r="BQR28" s="65"/>
      <c r="BQS28" s="65"/>
      <c r="BQT28" s="65"/>
      <c r="BQU28" s="65"/>
      <c r="BQV28" s="65"/>
      <c r="BQW28" s="65"/>
      <c r="BQX28" s="65"/>
      <c r="BQY28" s="65"/>
      <c r="BQZ28" s="65"/>
      <c r="BRA28" s="65"/>
      <c r="BRB28" s="65"/>
      <c r="BRC28" s="65"/>
      <c r="BRD28" s="65"/>
      <c r="BRE28" s="65"/>
      <c r="BRF28" s="65"/>
      <c r="BRG28" s="65"/>
      <c r="BRH28" s="65"/>
      <c r="BRI28" s="65"/>
      <c r="BRJ28" s="65"/>
      <c r="BRK28" s="65"/>
      <c r="BRL28" s="65"/>
      <c r="BRM28" s="65"/>
      <c r="BRN28" s="65"/>
      <c r="BRO28" s="65"/>
      <c r="BRP28" s="65"/>
      <c r="BRQ28" s="65"/>
      <c r="BRR28" s="65"/>
      <c r="BRS28" s="65"/>
      <c r="BRT28" s="65"/>
      <c r="BRU28" s="65"/>
      <c r="BRV28" s="65"/>
      <c r="BRW28" s="65"/>
      <c r="BRX28" s="65"/>
      <c r="BRY28" s="65"/>
      <c r="BRZ28" s="65"/>
      <c r="BSA28" s="65"/>
      <c r="BSB28" s="65"/>
      <c r="BSC28" s="65"/>
      <c r="BSD28" s="65"/>
      <c r="BSE28" s="65"/>
      <c r="BSF28" s="65"/>
      <c r="BSG28" s="65"/>
      <c r="BSH28" s="65"/>
      <c r="BSI28" s="65"/>
      <c r="BSJ28" s="65"/>
      <c r="BSK28" s="65"/>
      <c r="BSL28" s="65"/>
      <c r="BSM28" s="65"/>
      <c r="BSN28" s="65"/>
      <c r="BSO28" s="65"/>
      <c r="BSP28" s="65"/>
      <c r="BSQ28" s="65"/>
      <c r="BSR28" s="65"/>
      <c r="BSS28" s="65"/>
      <c r="BST28" s="65"/>
      <c r="BSU28" s="65"/>
      <c r="BSV28" s="65"/>
      <c r="BSW28" s="65"/>
      <c r="BSX28" s="65"/>
      <c r="BSY28" s="65"/>
      <c r="BSZ28" s="65"/>
      <c r="BTA28" s="65"/>
      <c r="BTB28" s="65"/>
      <c r="BTC28" s="65"/>
      <c r="BTD28" s="65"/>
      <c r="BTE28" s="65"/>
      <c r="BTF28" s="65"/>
      <c r="BTG28" s="65"/>
      <c r="BTH28" s="65"/>
      <c r="BTI28" s="65"/>
      <c r="BTJ28" s="65"/>
      <c r="BTK28" s="65"/>
      <c r="BTL28" s="65"/>
      <c r="BTM28" s="65"/>
      <c r="BTN28" s="65"/>
      <c r="BTO28" s="65"/>
      <c r="BTP28" s="65"/>
      <c r="BTQ28" s="65"/>
      <c r="BTR28" s="65"/>
      <c r="BTS28" s="65"/>
      <c r="BTT28" s="65"/>
      <c r="BTU28" s="65"/>
      <c r="BTV28" s="65"/>
      <c r="BTW28" s="65"/>
      <c r="BTX28" s="65"/>
      <c r="BTY28" s="65"/>
      <c r="BTZ28" s="65"/>
      <c r="BUA28" s="65"/>
      <c r="BUB28" s="65"/>
      <c r="BUC28" s="65"/>
      <c r="BUD28" s="65"/>
      <c r="BUE28" s="65"/>
      <c r="BUF28" s="65"/>
      <c r="BUG28" s="65"/>
      <c r="BUH28" s="65"/>
      <c r="BUI28" s="65"/>
      <c r="BUJ28" s="65"/>
      <c r="BUK28" s="65"/>
      <c r="BUL28" s="65"/>
      <c r="BUM28" s="65"/>
      <c r="BUN28" s="65"/>
      <c r="BUO28" s="65"/>
      <c r="BUP28" s="65"/>
      <c r="BUQ28" s="65"/>
      <c r="BUR28" s="65"/>
      <c r="BUS28" s="65"/>
      <c r="BUT28" s="65"/>
      <c r="BUU28" s="65"/>
      <c r="BUV28" s="65"/>
      <c r="BUW28" s="65"/>
      <c r="BUX28" s="65"/>
      <c r="BUY28" s="65"/>
      <c r="BUZ28" s="65"/>
      <c r="BVA28" s="65"/>
      <c r="BVB28" s="65"/>
      <c r="BVC28" s="65"/>
      <c r="BVD28" s="65"/>
      <c r="BVE28" s="65"/>
      <c r="BVF28" s="65"/>
      <c r="BVG28" s="65"/>
      <c r="BVH28" s="65"/>
      <c r="BVI28" s="65"/>
      <c r="BVJ28" s="65"/>
      <c r="BVK28" s="65"/>
      <c r="BVL28" s="65"/>
      <c r="BVM28" s="65"/>
      <c r="BVN28" s="65"/>
      <c r="BVO28" s="65"/>
      <c r="BVP28" s="65"/>
      <c r="BVQ28" s="65"/>
      <c r="BVR28" s="65"/>
      <c r="BVS28" s="65"/>
      <c r="BVT28" s="65"/>
      <c r="BVU28" s="65"/>
      <c r="BVV28" s="65"/>
      <c r="BVW28" s="65"/>
      <c r="BVX28" s="65"/>
      <c r="BVY28" s="65"/>
      <c r="BVZ28" s="65"/>
      <c r="BWA28" s="65"/>
      <c r="BWB28" s="65"/>
      <c r="BWC28" s="65"/>
      <c r="BWD28" s="65"/>
      <c r="BWE28" s="65"/>
      <c r="BWF28" s="65"/>
      <c r="BWG28" s="65"/>
      <c r="BWH28" s="65"/>
      <c r="BWI28" s="65"/>
      <c r="BWJ28" s="65"/>
      <c r="BWK28" s="65"/>
      <c r="BWL28" s="65"/>
      <c r="BWM28" s="65"/>
      <c r="BWN28" s="65"/>
      <c r="BWO28" s="65"/>
      <c r="BWP28" s="65"/>
      <c r="BWQ28" s="65"/>
      <c r="BWR28" s="65"/>
      <c r="BWS28" s="65"/>
      <c r="BWT28" s="65"/>
      <c r="BWU28" s="65"/>
      <c r="BWV28" s="65"/>
      <c r="BWW28" s="65"/>
      <c r="BWX28" s="65"/>
      <c r="BWY28" s="65"/>
      <c r="BWZ28" s="65"/>
      <c r="BXA28" s="65"/>
      <c r="BXB28" s="65"/>
      <c r="BXC28" s="65"/>
      <c r="BXD28" s="65"/>
      <c r="BXE28" s="65"/>
      <c r="BXF28" s="65"/>
      <c r="BXG28" s="65"/>
      <c r="BXH28" s="65"/>
      <c r="BXI28" s="65"/>
      <c r="BXJ28" s="65"/>
      <c r="BXK28" s="65"/>
      <c r="BXL28" s="65"/>
      <c r="BXM28" s="65"/>
      <c r="BXN28" s="65"/>
      <c r="BXO28" s="65"/>
      <c r="BXP28" s="65"/>
      <c r="BXQ28" s="65"/>
      <c r="BXR28" s="65"/>
      <c r="BXS28" s="65"/>
      <c r="BXT28" s="65"/>
      <c r="BXU28" s="65"/>
      <c r="BXV28" s="65"/>
      <c r="BXW28" s="65"/>
      <c r="BXX28" s="65"/>
      <c r="BXY28" s="65"/>
      <c r="BXZ28" s="65"/>
      <c r="BYA28" s="65"/>
      <c r="BYB28" s="65"/>
      <c r="BYC28" s="65"/>
      <c r="BYD28" s="65"/>
      <c r="BYE28" s="65"/>
      <c r="BYF28" s="65"/>
      <c r="BYG28" s="65"/>
      <c r="BYH28" s="65"/>
      <c r="BYI28" s="65"/>
      <c r="BYJ28" s="65"/>
      <c r="BYK28" s="65"/>
      <c r="BYL28" s="65"/>
      <c r="BYM28" s="65"/>
      <c r="BYN28" s="65"/>
      <c r="BYO28" s="65"/>
      <c r="BYP28" s="65"/>
      <c r="BYQ28" s="65"/>
      <c r="BYR28" s="65"/>
      <c r="BYS28" s="65"/>
      <c r="BYT28" s="65"/>
      <c r="BYU28" s="65"/>
      <c r="BYV28" s="65"/>
      <c r="BYW28" s="65"/>
      <c r="BYX28" s="65"/>
      <c r="BYY28" s="65"/>
      <c r="BYZ28" s="65"/>
      <c r="BZA28" s="65"/>
      <c r="BZB28" s="65"/>
      <c r="BZC28" s="65"/>
      <c r="BZD28" s="65"/>
      <c r="BZE28" s="65"/>
      <c r="BZF28" s="65"/>
      <c r="BZG28" s="65"/>
      <c r="BZH28" s="65"/>
      <c r="BZI28" s="65"/>
      <c r="BZJ28" s="65"/>
      <c r="BZK28" s="65"/>
      <c r="BZL28" s="65"/>
      <c r="BZM28" s="65"/>
      <c r="BZN28" s="65"/>
      <c r="BZO28" s="65"/>
      <c r="BZP28" s="65"/>
      <c r="BZQ28" s="65"/>
      <c r="BZR28" s="65"/>
      <c r="BZS28" s="65"/>
      <c r="BZT28" s="65"/>
      <c r="BZU28" s="65"/>
      <c r="BZV28" s="65"/>
      <c r="BZW28" s="65"/>
      <c r="BZX28" s="65"/>
      <c r="BZY28" s="65"/>
      <c r="BZZ28" s="65"/>
      <c r="CAA28" s="65"/>
      <c r="CAB28" s="65"/>
      <c r="CAC28" s="65"/>
      <c r="CAD28" s="65"/>
      <c r="CAE28" s="65"/>
      <c r="CAF28" s="65"/>
      <c r="CAG28" s="65"/>
      <c r="CAH28" s="65"/>
      <c r="CAI28" s="65"/>
      <c r="CAJ28" s="65"/>
      <c r="CAK28" s="65"/>
      <c r="CAL28" s="65"/>
      <c r="CAM28" s="65"/>
      <c r="CAN28" s="65"/>
      <c r="CAO28" s="65"/>
      <c r="CAP28" s="65"/>
      <c r="CAQ28" s="65"/>
      <c r="CAR28" s="65"/>
      <c r="CAS28" s="65"/>
      <c r="CAT28" s="65"/>
      <c r="CAU28" s="65"/>
      <c r="CAV28" s="65"/>
      <c r="CAW28" s="65"/>
      <c r="CAX28" s="65"/>
      <c r="CAY28" s="65"/>
      <c r="CAZ28" s="65"/>
      <c r="CBA28" s="65"/>
      <c r="CBB28" s="65"/>
      <c r="CBC28" s="65"/>
      <c r="CBD28" s="65"/>
      <c r="CBE28" s="65"/>
      <c r="CBF28" s="65"/>
      <c r="CBG28" s="65"/>
      <c r="CBH28" s="65"/>
      <c r="CBI28" s="65"/>
      <c r="CBJ28" s="65"/>
      <c r="CBK28" s="65"/>
      <c r="CBL28" s="65"/>
      <c r="CBM28" s="65"/>
      <c r="CBN28" s="65"/>
      <c r="CBO28" s="65"/>
      <c r="CBP28" s="65"/>
      <c r="CBQ28" s="65"/>
      <c r="CBR28" s="65"/>
      <c r="CBS28" s="65"/>
      <c r="CBT28" s="65"/>
      <c r="CBU28" s="65"/>
      <c r="CBV28" s="65"/>
      <c r="CBW28" s="65"/>
      <c r="CBX28" s="65"/>
      <c r="CBY28" s="65"/>
      <c r="CBZ28" s="65"/>
      <c r="CCA28" s="65"/>
      <c r="CCB28" s="65"/>
      <c r="CCC28" s="65"/>
      <c r="CCD28" s="65"/>
      <c r="CCE28" s="65"/>
      <c r="CCF28" s="65"/>
      <c r="CCG28" s="65"/>
      <c r="CCH28" s="65"/>
      <c r="CCI28" s="65"/>
      <c r="CCJ28" s="65"/>
      <c r="CCK28" s="65"/>
      <c r="CCL28" s="65"/>
      <c r="CCM28" s="65"/>
      <c r="CCN28" s="65"/>
      <c r="CCO28" s="65"/>
      <c r="CCP28" s="65"/>
      <c r="CCQ28" s="65"/>
      <c r="CCR28" s="65"/>
      <c r="CCS28" s="65"/>
      <c r="CCT28" s="65"/>
      <c r="CCU28" s="65"/>
      <c r="CCV28" s="65"/>
      <c r="CCW28" s="65"/>
      <c r="CCX28" s="65"/>
      <c r="CCY28" s="65"/>
      <c r="CCZ28" s="65"/>
      <c r="CDA28" s="65"/>
      <c r="CDB28" s="65"/>
      <c r="CDC28" s="65"/>
      <c r="CDD28" s="65"/>
      <c r="CDE28" s="65"/>
      <c r="CDF28" s="65"/>
      <c r="CDG28" s="65"/>
      <c r="CDH28" s="65"/>
      <c r="CDI28" s="65"/>
      <c r="CDJ28" s="65"/>
      <c r="CDK28" s="65"/>
      <c r="CDL28" s="65"/>
      <c r="CDM28" s="65"/>
      <c r="CDN28" s="65"/>
      <c r="CDO28" s="65"/>
      <c r="CDP28" s="65"/>
      <c r="CDQ28" s="65"/>
      <c r="CDR28" s="65"/>
      <c r="CDS28" s="65"/>
      <c r="CDT28" s="65"/>
      <c r="CDU28" s="65"/>
      <c r="CDV28" s="65"/>
      <c r="CDW28" s="65"/>
      <c r="CDX28" s="65"/>
      <c r="CDY28" s="65"/>
      <c r="CDZ28" s="65"/>
      <c r="CEA28" s="65"/>
      <c r="CEB28" s="65"/>
      <c r="CEC28" s="65"/>
      <c r="CED28" s="65"/>
      <c r="CEE28" s="65"/>
      <c r="CEF28" s="65"/>
      <c r="CEG28" s="65"/>
      <c r="CEH28" s="65"/>
      <c r="CEI28" s="65"/>
      <c r="CEJ28" s="65"/>
      <c r="CEK28" s="65"/>
      <c r="CEL28" s="65"/>
      <c r="CEM28" s="65"/>
      <c r="CEN28" s="65"/>
      <c r="CEO28" s="65"/>
      <c r="CEP28" s="65"/>
      <c r="CEQ28" s="65"/>
      <c r="CER28" s="65"/>
      <c r="CES28" s="65"/>
      <c r="CET28" s="65"/>
      <c r="CEU28" s="65"/>
      <c r="CEV28" s="65"/>
      <c r="CEW28" s="65"/>
      <c r="CEX28" s="65"/>
      <c r="CEY28" s="65"/>
      <c r="CEZ28" s="65"/>
      <c r="CFA28" s="65"/>
      <c r="CFB28" s="65"/>
      <c r="CFC28" s="65"/>
      <c r="CFD28" s="65"/>
      <c r="CFE28" s="65"/>
      <c r="CFF28" s="65"/>
      <c r="CFG28" s="65"/>
      <c r="CFH28" s="65"/>
      <c r="CFI28" s="65"/>
      <c r="CFJ28" s="65"/>
      <c r="CFK28" s="65"/>
      <c r="CFL28" s="65"/>
      <c r="CFM28" s="65"/>
      <c r="CFN28" s="65"/>
      <c r="CFO28" s="65"/>
      <c r="CFP28" s="65"/>
      <c r="CFQ28" s="65"/>
      <c r="CFR28" s="65"/>
      <c r="CFS28" s="65"/>
      <c r="CFT28" s="65"/>
      <c r="CFU28" s="65"/>
      <c r="CFV28" s="65"/>
      <c r="CFW28" s="65"/>
      <c r="CFX28" s="65"/>
      <c r="CFY28" s="65"/>
      <c r="CFZ28" s="65"/>
      <c r="CGA28" s="65"/>
      <c r="CGB28" s="65"/>
      <c r="CGC28" s="65"/>
      <c r="CGD28" s="65"/>
      <c r="CGE28" s="65"/>
      <c r="CGF28" s="65"/>
      <c r="CGG28" s="65"/>
      <c r="CGH28" s="65"/>
      <c r="CGI28" s="65"/>
      <c r="CGJ28" s="65"/>
      <c r="CGK28" s="65"/>
      <c r="CGL28" s="65"/>
      <c r="CGM28" s="65"/>
      <c r="CGN28" s="65"/>
      <c r="CGO28" s="65"/>
      <c r="CGP28" s="65"/>
      <c r="CGQ28" s="65"/>
      <c r="CGR28" s="65"/>
      <c r="CGS28" s="65"/>
      <c r="CGT28" s="65"/>
      <c r="CGU28" s="65"/>
      <c r="CGV28" s="65"/>
      <c r="CGW28" s="65"/>
      <c r="CGX28" s="65"/>
      <c r="CGY28" s="65"/>
      <c r="CGZ28" s="65"/>
      <c r="CHA28" s="65"/>
      <c r="CHB28" s="65"/>
      <c r="CHC28" s="65"/>
      <c r="CHD28" s="65"/>
      <c r="CHE28" s="65"/>
      <c r="CHF28" s="65"/>
      <c r="CHG28" s="65"/>
      <c r="CHH28" s="65"/>
      <c r="CHI28" s="65"/>
      <c r="CHJ28" s="65"/>
      <c r="CHK28" s="65"/>
      <c r="CHL28" s="65"/>
      <c r="CHM28" s="65"/>
      <c r="CHN28" s="65"/>
      <c r="CHO28" s="65"/>
      <c r="CHP28" s="65"/>
      <c r="CHQ28" s="65"/>
      <c r="CHR28" s="65"/>
      <c r="CHS28" s="65"/>
      <c r="CHT28" s="65"/>
      <c r="CHU28" s="65"/>
      <c r="CHV28" s="65"/>
      <c r="CHW28" s="65"/>
      <c r="CHX28" s="65"/>
      <c r="CHY28" s="65"/>
      <c r="CHZ28" s="65"/>
      <c r="CIA28" s="65"/>
      <c r="CIB28" s="65"/>
      <c r="CIC28" s="65"/>
      <c r="CID28" s="65"/>
      <c r="CIE28" s="65"/>
      <c r="CIF28" s="65"/>
      <c r="CIG28" s="65"/>
      <c r="CIH28" s="65"/>
      <c r="CII28" s="65"/>
      <c r="CIJ28" s="65"/>
      <c r="CIK28" s="65"/>
      <c r="CIL28" s="65"/>
      <c r="CIM28" s="65"/>
      <c r="CIN28" s="65"/>
      <c r="CIO28" s="65"/>
      <c r="CIP28" s="65"/>
      <c r="CIQ28" s="65"/>
      <c r="CIR28" s="65"/>
      <c r="CIS28" s="65"/>
      <c r="CIT28" s="65"/>
      <c r="CIU28" s="65"/>
      <c r="CIV28" s="65"/>
      <c r="CIW28" s="65"/>
      <c r="CIX28" s="65"/>
      <c r="CIY28" s="65"/>
      <c r="CIZ28" s="65"/>
      <c r="CJA28" s="65"/>
      <c r="CJB28" s="65"/>
      <c r="CJC28" s="65"/>
      <c r="CJD28" s="65"/>
      <c r="CJE28" s="65"/>
      <c r="CJF28" s="65"/>
      <c r="CJG28" s="65"/>
      <c r="CJH28" s="65"/>
      <c r="CJI28" s="65"/>
      <c r="CJJ28" s="65"/>
      <c r="CJK28" s="65"/>
      <c r="CJL28" s="65"/>
      <c r="CJM28" s="65"/>
      <c r="CJN28" s="65"/>
      <c r="CJO28" s="65"/>
      <c r="CJP28" s="65"/>
      <c r="CJQ28" s="65"/>
      <c r="CJR28" s="65"/>
      <c r="CJS28" s="65"/>
      <c r="CJT28" s="65"/>
      <c r="CJU28" s="65"/>
      <c r="CJV28" s="65"/>
      <c r="CJW28" s="65"/>
      <c r="CJX28" s="65"/>
      <c r="CJY28" s="65"/>
      <c r="CJZ28" s="65"/>
      <c r="CKA28" s="65"/>
      <c r="CKB28" s="65"/>
      <c r="CKC28" s="65"/>
      <c r="CKD28" s="65"/>
      <c r="CKE28" s="65"/>
      <c r="CKF28" s="65"/>
      <c r="CKG28" s="65"/>
      <c r="CKH28" s="65"/>
      <c r="CKI28" s="65"/>
      <c r="CKJ28" s="65"/>
      <c r="CKK28" s="65"/>
      <c r="CKL28" s="65"/>
      <c r="CKM28" s="65"/>
      <c r="CKN28" s="65"/>
      <c r="CKO28" s="65"/>
      <c r="CKP28" s="65"/>
      <c r="CKQ28" s="65"/>
      <c r="CKR28" s="65"/>
      <c r="CKS28" s="65"/>
      <c r="CKT28" s="65"/>
      <c r="CKU28" s="65"/>
      <c r="CKV28" s="65"/>
      <c r="CKW28" s="65"/>
      <c r="CKX28" s="65"/>
      <c r="CKY28" s="65"/>
      <c r="CKZ28" s="65"/>
      <c r="CLA28" s="65"/>
      <c r="CLB28" s="65"/>
      <c r="CLC28" s="65"/>
      <c r="CLD28" s="65"/>
      <c r="CLE28" s="65"/>
      <c r="CLF28" s="65"/>
      <c r="CLG28" s="65"/>
      <c r="CLH28" s="65"/>
      <c r="CLI28" s="65"/>
      <c r="CLJ28" s="65"/>
      <c r="CLK28" s="65"/>
      <c r="CLL28" s="65"/>
      <c r="CLM28" s="65"/>
      <c r="CLN28" s="65"/>
      <c r="CLO28" s="65"/>
      <c r="CLP28" s="65"/>
      <c r="CLQ28" s="65"/>
      <c r="CLR28" s="65"/>
      <c r="CLS28" s="65"/>
      <c r="CLT28" s="65"/>
      <c r="CLU28" s="65"/>
      <c r="CLV28" s="65"/>
      <c r="CLW28" s="65"/>
      <c r="CLX28" s="65"/>
      <c r="CLY28" s="65"/>
      <c r="CLZ28" s="65"/>
      <c r="CMA28" s="65"/>
      <c r="CMB28" s="65"/>
      <c r="CMC28" s="65"/>
      <c r="CMD28" s="65"/>
      <c r="CME28" s="65"/>
      <c r="CMF28" s="65"/>
      <c r="CMG28" s="65"/>
      <c r="CMH28" s="65"/>
      <c r="CMI28" s="65"/>
      <c r="CMJ28" s="65"/>
      <c r="CMK28" s="65"/>
      <c r="CML28" s="65"/>
      <c r="CMM28" s="65"/>
      <c r="CMN28" s="65"/>
      <c r="CMO28" s="65"/>
      <c r="CMP28" s="65"/>
      <c r="CMQ28" s="65"/>
      <c r="CMR28" s="65"/>
      <c r="CMS28" s="65"/>
      <c r="CMT28" s="65"/>
      <c r="CMU28" s="65"/>
      <c r="CMV28" s="65"/>
      <c r="CMW28" s="65"/>
      <c r="CMX28" s="65"/>
      <c r="CMY28" s="65"/>
      <c r="CMZ28" s="65"/>
      <c r="CNA28" s="65"/>
      <c r="CNB28" s="65"/>
      <c r="CNC28" s="65"/>
      <c r="CND28" s="65"/>
      <c r="CNE28" s="65"/>
      <c r="CNF28" s="65"/>
      <c r="CNG28" s="65"/>
      <c r="CNH28" s="65"/>
      <c r="CNI28" s="65"/>
      <c r="CNJ28" s="65"/>
      <c r="CNK28" s="65"/>
      <c r="CNL28" s="65"/>
      <c r="CNM28" s="65"/>
      <c r="CNN28" s="65"/>
      <c r="CNO28" s="65"/>
      <c r="CNP28" s="65"/>
      <c r="CNQ28" s="65"/>
      <c r="CNR28" s="65"/>
      <c r="CNS28" s="65"/>
      <c r="CNT28" s="65"/>
      <c r="CNU28" s="65"/>
      <c r="CNV28" s="65"/>
      <c r="CNW28" s="65"/>
      <c r="CNX28" s="65"/>
      <c r="CNY28" s="65"/>
      <c r="CNZ28" s="65"/>
      <c r="COA28" s="65"/>
      <c r="COB28" s="65"/>
      <c r="COC28" s="65"/>
      <c r="COD28" s="65"/>
      <c r="COE28" s="65"/>
      <c r="COF28" s="65"/>
      <c r="COG28" s="65"/>
      <c r="COH28" s="65"/>
      <c r="COI28" s="65"/>
      <c r="COJ28" s="65"/>
      <c r="COK28" s="65"/>
      <c r="COL28" s="65"/>
      <c r="COM28" s="65"/>
      <c r="CON28" s="65"/>
      <c r="COO28" s="65"/>
      <c r="COP28" s="65"/>
      <c r="COQ28" s="65"/>
      <c r="COR28" s="65"/>
      <c r="COS28" s="65"/>
      <c r="COT28" s="65"/>
      <c r="COU28" s="65"/>
      <c r="COV28" s="65"/>
      <c r="COW28" s="65"/>
      <c r="COX28" s="65"/>
      <c r="COY28" s="65"/>
      <c r="COZ28" s="65"/>
      <c r="CPA28" s="65"/>
      <c r="CPB28" s="65"/>
      <c r="CPC28" s="65"/>
      <c r="CPD28" s="65"/>
      <c r="CPE28" s="65"/>
      <c r="CPF28" s="65"/>
      <c r="CPG28" s="65"/>
      <c r="CPH28" s="65"/>
      <c r="CPI28" s="65"/>
      <c r="CPJ28" s="65"/>
      <c r="CPK28" s="65"/>
      <c r="CPL28" s="65"/>
      <c r="CPM28" s="65"/>
      <c r="CPN28" s="65"/>
      <c r="CPO28" s="65"/>
      <c r="CPP28" s="65"/>
      <c r="CPQ28" s="65"/>
      <c r="CPR28" s="65"/>
      <c r="CPS28" s="65"/>
      <c r="CPT28" s="65"/>
      <c r="CPU28" s="65"/>
      <c r="CPV28" s="65"/>
      <c r="CPW28" s="65"/>
      <c r="CPX28" s="65"/>
      <c r="CPY28" s="65"/>
      <c r="CPZ28" s="65"/>
      <c r="CQA28" s="65"/>
      <c r="CQB28" s="65"/>
      <c r="CQC28" s="65"/>
      <c r="CQD28" s="65"/>
      <c r="CQE28" s="65"/>
      <c r="CQF28" s="65"/>
      <c r="CQG28" s="65"/>
      <c r="CQH28" s="65"/>
      <c r="CQI28" s="65"/>
      <c r="CQJ28" s="65"/>
      <c r="CQK28" s="65"/>
      <c r="CQL28" s="65"/>
      <c r="CQM28" s="65"/>
      <c r="CQN28" s="65"/>
      <c r="CQO28" s="65"/>
      <c r="CQP28" s="65"/>
      <c r="CQQ28" s="65"/>
      <c r="CQR28" s="65"/>
      <c r="CQS28" s="65"/>
      <c r="CQT28" s="65"/>
      <c r="CQU28" s="65"/>
      <c r="CQV28" s="65"/>
      <c r="CQW28" s="65"/>
      <c r="CQX28" s="65"/>
      <c r="CQY28" s="65"/>
      <c r="CQZ28" s="65"/>
      <c r="CRA28" s="65"/>
      <c r="CRB28" s="65"/>
      <c r="CRC28" s="65"/>
      <c r="CRD28" s="65"/>
      <c r="CRE28" s="65"/>
      <c r="CRF28" s="65"/>
      <c r="CRG28" s="65"/>
      <c r="CRH28" s="65"/>
      <c r="CRI28" s="65"/>
      <c r="CRJ28" s="65"/>
      <c r="CRK28" s="65"/>
      <c r="CRL28" s="65"/>
      <c r="CRM28" s="65"/>
      <c r="CRN28" s="65"/>
      <c r="CRO28" s="65"/>
      <c r="CRP28" s="65"/>
      <c r="CRQ28" s="65"/>
      <c r="CRR28" s="65"/>
      <c r="CRS28" s="65"/>
      <c r="CRT28" s="65"/>
      <c r="CRU28" s="65"/>
      <c r="CRV28" s="65"/>
      <c r="CRW28" s="65"/>
      <c r="CRX28" s="65"/>
      <c r="CRY28" s="65"/>
      <c r="CRZ28" s="65"/>
      <c r="CSA28" s="65"/>
      <c r="CSB28" s="65"/>
      <c r="CSC28" s="65"/>
      <c r="CSD28" s="65"/>
      <c r="CSE28" s="65"/>
      <c r="CSF28" s="65"/>
      <c r="CSG28" s="65"/>
      <c r="CSH28" s="65"/>
      <c r="CSI28" s="65"/>
      <c r="CSJ28" s="65"/>
      <c r="CSK28" s="65"/>
      <c r="CSL28" s="65"/>
      <c r="CSM28" s="65"/>
      <c r="CSN28" s="65"/>
      <c r="CSO28" s="65"/>
      <c r="CSP28" s="65"/>
      <c r="CSQ28" s="65"/>
      <c r="CSR28" s="65"/>
      <c r="CSS28" s="65"/>
      <c r="CST28" s="65"/>
      <c r="CSU28" s="65"/>
      <c r="CSV28" s="65"/>
      <c r="CSW28" s="65"/>
      <c r="CSX28" s="65"/>
      <c r="CSY28" s="65"/>
      <c r="CSZ28" s="65"/>
      <c r="CTA28" s="65"/>
      <c r="CTB28" s="65"/>
      <c r="CTC28" s="65"/>
      <c r="CTD28" s="65"/>
      <c r="CTE28" s="65"/>
      <c r="CTF28" s="65"/>
      <c r="CTG28" s="65"/>
      <c r="CTH28" s="65"/>
      <c r="CTI28" s="65"/>
      <c r="CTJ28" s="65"/>
      <c r="CTK28" s="65"/>
      <c r="CTL28" s="65"/>
      <c r="CTM28" s="65"/>
      <c r="CTN28" s="65"/>
      <c r="CTO28" s="65"/>
      <c r="CTP28" s="65"/>
      <c r="CTQ28" s="65"/>
      <c r="CTR28" s="65"/>
      <c r="CTS28" s="65"/>
      <c r="CTT28" s="65"/>
      <c r="CTU28" s="65"/>
      <c r="CTV28" s="65"/>
      <c r="CTW28" s="65"/>
      <c r="CTX28" s="65"/>
      <c r="CTY28" s="65"/>
      <c r="CTZ28" s="65"/>
      <c r="CUA28" s="65"/>
      <c r="CUB28" s="65"/>
      <c r="CUC28" s="65"/>
      <c r="CUD28" s="65"/>
      <c r="CUE28" s="65"/>
      <c r="CUF28" s="65"/>
      <c r="CUG28" s="65"/>
      <c r="CUH28" s="65"/>
      <c r="CUI28" s="65"/>
      <c r="CUJ28" s="65"/>
      <c r="CUK28" s="65"/>
      <c r="CUL28" s="65"/>
      <c r="CUM28" s="65"/>
      <c r="CUN28" s="65"/>
      <c r="CUO28" s="65"/>
      <c r="CUP28" s="65"/>
      <c r="CUQ28" s="65"/>
      <c r="CUR28" s="65"/>
      <c r="CUS28" s="65"/>
      <c r="CUT28" s="65"/>
      <c r="CUU28" s="65"/>
      <c r="CUV28" s="65"/>
      <c r="CUW28" s="65"/>
      <c r="CUX28" s="65"/>
      <c r="CUY28" s="65"/>
      <c r="CUZ28" s="65"/>
      <c r="CVA28" s="65"/>
      <c r="CVB28" s="65"/>
      <c r="CVC28" s="65"/>
      <c r="CVD28" s="65"/>
      <c r="CVE28" s="65"/>
      <c r="CVF28" s="65"/>
      <c r="CVG28" s="65"/>
      <c r="CVH28" s="65"/>
      <c r="CVI28" s="65"/>
      <c r="CVJ28" s="65"/>
      <c r="CVK28" s="65"/>
      <c r="CVL28" s="65"/>
      <c r="CVM28" s="65"/>
      <c r="CVN28" s="65"/>
      <c r="CVO28" s="65"/>
      <c r="CVP28" s="65"/>
      <c r="CVQ28" s="65"/>
      <c r="CVR28" s="65"/>
      <c r="CVS28" s="65"/>
      <c r="CVT28" s="65"/>
      <c r="CVU28" s="65"/>
      <c r="CVV28" s="65"/>
      <c r="CVW28" s="65"/>
      <c r="CVX28" s="65"/>
      <c r="CVY28" s="65"/>
      <c r="CVZ28" s="65"/>
      <c r="CWA28" s="65"/>
      <c r="CWB28" s="65"/>
      <c r="CWC28" s="65"/>
      <c r="CWD28" s="65"/>
      <c r="CWE28" s="65"/>
      <c r="CWF28" s="65"/>
      <c r="CWG28" s="65"/>
      <c r="CWH28" s="65"/>
      <c r="CWI28" s="65"/>
      <c r="CWJ28" s="65"/>
      <c r="CWK28" s="65"/>
      <c r="CWL28" s="65"/>
      <c r="CWM28" s="65"/>
      <c r="CWN28" s="65"/>
      <c r="CWO28" s="65"/>
      <c r="CWP28" s="65"/>
      <c r="CWQ28" s="65"/>
      <c r="CWR28" s="65"/>
      <c r="CWS28" s="65"/>
      <c r="CWT28" s="65"/>
      <c r="CWU28" s="65"/>
      <c r="CWV28" s="65"/>
      <c r="CWW28" s="65"/>
      <c r="CWX28" s="65"/>
      <c r="CWY28" s="65"/>
      <c r="CWZ28" s="65"/>
      <c r="CXA28" s="65"/>
      <c r="CXB28" s="65"/>
      <c r="CXC28" s="65"/>
      <c r="CXD28" s="65"/>
      <c r="CXE28" s="65"/>
      <c r="CXF28" s="65"/>
      <c r="CXG28" s="65"/>
      <c r="CXH28" s="65"/>
      <c r="CXI28" s="65"/>
      <c r="CXJ28" s="65"/>
      <c r="CXK28" s="65"/>
      <c r="CXL28" s="65"/>
      <c r="CXM28" s="65"/>
      <c r="CXN28" s="65"/>
      <c r="CXO28" s="65"/>
      <c r="CXP28" s="65"/>
      <c r="CXQ28" s="65"/>
      <c r="CXR28" s="65"/>
      <c r="CXS28" s="65"/>
      <c r="CXT28" s="65"/>
      <c r="CXU28" s="65"/>
      <c r="CXV28" s="65"/>
      <c r="CXW28" s="65"/>
      <c r="CXX28" s="65"/>
      <c r="CXY28" s="65"/>
      <c r="CXZ28" s="65"/>
      <c r="CYA28" s="65"/>
      <c r="CYB28" s="65"/>
      <c r="CYC28" s="65"/>
      <c r="CYD28" s="65"/>
      <c r="CYE28" s="65"/>
      <c r="CYF28" s="65"/>
      <c r="CYG28" s="65"/>
      <c r="CYH28" s="65"/>
      <c r="CYI28" s="65"/>
      <c r="CYJ28" s="65"/>
      <c r="CYK28" s="65"/>
      <c r="CYL28" s="65"/>
      <c r="CYM28" s="65"/>
      <c r="CYN28" s="65"/>
      <c r="CYO28" s="65"/>
      <c r="CYP28" s="65"/>
      <c r="CYQ28" s="65"/>
      <c r="CYR28" s="65"/>
      <c r="CYS28" s="65"/>
      <c r="CYT28" s="65"/>
      <c r="CYU28" s="65"/>
      <c r="CYV28" s="65"/>
      <c r="CYW28" s="65"/>
      <c r="CYX28" s="65"/>
      <c r="CYY28" s="65"/>
      <c r="CYZ28" s="65"/>
      <c r="CZA28" s="65"/>
      <c r="CZB28" s="65"/>
      <c r="CZC28" s="65"/>
      <c r="CZD28" s="65"/>
      <c r="CZE28" s="65"/>
      <c r="CZF28" s="65"/>
      <c r="CZG28" s="65"/>
      <c r="CZH28" s="65"/>
      <c r="CZI28" s="65"/>
      <c r="CZJ28" s="65"/>
      <c r="CZK28" s="65"/>
      <c r="CZL28" s="65"/>
      <c r="CZM28" s="65"/>
      <c r="CZN28" s="65"/>
      <c r="CZO28" s="65"/>
      <c r="CZP28" s="65"/>
      <c r="CZQ28" s="65"/>
      <c r="CZR28" s="65"/>
      <c r="CZS28" s="65"/>
      <c r="CZT28" s="65"/>
      <c r="CZU28" s="65"/>
      <c r="CZV28" s="65"/>
      <c r="CZW28" s="65"/>
      <c r="CZX28" s="65"/>
      <c r="CZY28" s="65"/>
      <c r="CZZ28" s="65"/>
      <c r="DAA28" s="65"/>
      <c r="DAB28" s="65"/>
      <c r="DAC28" s="65"/>
      <c r="DAD28" s="65"/>
      <c r="DAE28" s="65"/>
      <c r="DAF28" s="65"/>
      <c r="DAG28" s="65"/>
      <c r="DAH28" s="65"/>
      <c r="DAI28" s="65"/>
      <c r="DAJ28" s="65"/>
      <c r="DAK28" s="65"/>
      <c r="DAL28" s="65"/>
      <c r="DAM28" s="65"/>
      <c r="DAN28" s="65"/>
      <c r="DAO28" s="65"/>
      <c r="DAP28" s="65"/>
      <c r="DAQ28" s="65"/>
      <c r="DAR28" s="65"/>
      <c r="DAS28" s="65"/>
      <c r="DAT28" s="65"/>
      <c r="DAU28" s="65"/>
      <c r="DAV28" s="65"/>
      <c r="DAW28" s="65"/>
      <c r="DAX28" s="65"/>
      <c r="DAY28" s="65"/>
      <c r="DAZ28" s="65"/>
      <c r="DBA28" s="65"/>
      <c r="DBB28" s="65"/>
      <c r="DBC28" s="65"/>
      <c r="DBD28" s="65"/>
      <c r="DBE28" s="65"/>
      <c r="DBF28" s="65"/>
      <c r="DBG28" s="65"/>
      <c r="DBH28" s="65"/>
      <c r="DBI28" s="65"/>
      <c r="DBJ28" s="65"/>
      <c r="DBK28" s="65"/>
      <c r="DBL28" s="65"/>
      <c r="DBM28" s="65"/>
      <c r="DBN28" s="65"/>
      <c r="DBO28" s="65"/>
      <c r="DBP28" s="65"/>
      <c r="DBQ28" s="65"/>
      <c r="DBR28" s="65"/>
      <c r="DBS28" s="65"/>
      <c r="DBT28" s="65"/>
      <c r="DBU28" s="65"/>
      <c r="DBV28" s="65"/>
      <c r="DBW28" s="65"/>
      <c r="DBX28" s="65"/>
      <c r="DBY28" s="65"/>
      <c r="DBZ28" s="65"/>
      <c r="DCA28" s="65"/>
      <c r="DCB28" s="65"/>
      <c r="DCC28" s="65"/>
      <c r="DCD28" s="65"/>
      <c r="DCE28" s="65"/>
      <c r="DCF28" s="65"/>
      <c r="DCG28" s="65"/>
      <c r="DCH28" s="65"/>
      <c r="DCI28" s="65"/>
      <c r="DCJ28" s="65"/>
      <c r="DCK28" s="65"/>
      <c r="DCL28" s="65"/>
      <c r="DCM28" s="65"/>
      <c r="DCN28" s="65"/>
      <c r="DCO28" s="65"/>
      <c r="DCP28" s="65"/>
      <c r="DCQ28" s="65"/>
      <c r="DCR28" s="65"/>
      <c r="DCS28" s="65"/>
      <c r="DCT28" s="65"/>
      <c r="DCU28" s="65"/>
      <c r="DCV28" s="65"/>
      <c r="DCW28" s="65"/>
      <c r="DCX28" s="65"/>
      <c r="DCY28" s="65"/>
      <c r="DCZ28" s="65"/>
      <c r="DDA28" s="65"/>
      <c r="DDB28" s="65"/>
      <c r="DDC28" s="65"/>
      <c r="DDD28" s="65"/>
      <c r="DDE28" s="65"/>
      <c r="DDF28" s="65"/>
      <c r="DDG28" s="65"/>
      <c r="DDH28" s="65"/>
      <c r="DDI28" s="65"/>
      <c r="DDJ28" s="65"/>
      <c r="DDK28" s="65"/>
      <c r="DDL28" s="65"/>
      <c r="DDM28" s="65"/>
      <c r="DDN28" s="65"/>
      <c r="DDO28" s="65"/>
      <c r="DDP28" s="65"/>
      <c r="DDQ28" s="65"/>
      <c r="DDR28" s="65"/>
      <c r="DDS28" s="65"/>
      <c r="DDT28" s="65"/>
      <c r="DDU28" s="65"/>
      <c r="DDV28" s="65"/>
      <c r="DDW28" s="65"/>
      <c r="DDX28" s="65"/>
      <c r="DDY28" s="65"/>
      <c r="DDZ28" s="65"/>
      <c r="DEA28" s="65"/>
      <c r="DEB28" s="65"/>
      <c r="DEC28" s="65"/>
      <c r="DED28" s="65"/>
      <c r="DEE28" s="65"/>
      <c r="DEF28" s="65"/>
      <c r="DEG28" s="65"/>
      <c r="DEH28" s="65"/>
      <c r="DEI28" s="65"/>
      <c r="DEJ28" s="65"/>
      <c r="DEK28" s="65"/>
      <c r="DEL28" s="65"/>
      <c r="DEM28" s="65"/>
      <c r="DEN28" s="65"/>
      <c r="DEO28" s="65"/>
      <c r="DEP28" s="65"/>
      <c r="DEQ28" s="65"/>
      <c r="DER28" s="65"/>
      <c r="DES28" s="65"/>
      <c r="DET28" s="65"/>
      <c r="DEU28" s="65"/>
      <c r="DEV28" s="65"/>
      <c r="DEW28" s="65"/>
      <c r="DEX28" s="65"/>
      <c r="DEY28" s="65"/>
      <c r="DEZ28" s="65"/>
      <c r="DFA28" s="65"/>
      <c r="DFB28" s="65"/>
      <c r="DFC28" s="65"/>
      <c r="DFD28" s="65"/>
      <c r="DFE28" s="65"/>
      <c r="DFF28" s="65"/>
      <c r="DFG28" s="65"/>
      <c r="DFH28" s="65"/>
      <c r="DFI28" s="65"/>
      <c r="DFJ28" s="65"/>
      <c r="DFK28" s="65"/>
      <c r="DFL28" s="65"/>
      <c r="DFM28" s="65"/>
      <c r="DFN28" s="65"/>
      <c r="DFO28" s="65"/>
      <c r="DFP28" s="65"/>
      <c r="DFQ28" s="65"/>
      <c r="DFR28" s="65"/>
      <c r="DFS28" s="65"/>
      <c r="DFT28" s="65"/>
      <c r="DFU28" s="65"/>
      <c r="DFV28" s="65"/>
      <c r="DFW28" s="65"/>
      <c r="DFX28" s="65"/>
      <c r="DFY28" s="65"/>
      <c r="DFZ28" s="65"/>
      <c r="DGA28" s="65"/>
      <c r="DGB28" s="65"/>
      <c r="DGC28" s="65"/>
      <c r="DGD28" s="65"/>
      <c r="DGE28" s="65"/>
      <c r="DGF28" s="65"/>
      <c r="DGG28" s="65"/>
      <c r="DGH28" s="65"/>
      <c r="DGI28" s="65"/>
      <c r="DGJ28" s="65"/>
      <c r="DGK28" s="65"/>
      <c r="DGL28" s="65"/>
      <c r="DGM28" s="65"/>
      <c r="DGN28" s="65"/>
      <c r="DGO28" s="65"/>
      <c r="DGP28" s="65"/>
      <c r="DGQ28" s="65"/>
      <c r="DGR28" s="65"/>
      <c r="DGS28" s="65"/>
      <c r="DGT28" s="65"/>
      <c r="DGU28" s="65"/>
      <c r="DGV28" s="65"/>
      <c r="DGW28" s="65"/>
      <c r="DGX28" s="65"/>
      <c r="DGY28" s="65"/>
      <c r="DGZ28" s="65"/>
      <c r="DHA28" s="65"/>
      <c r="DHB28" s="65"/>
      <c r="DHC28" s="65"/>
      <c r="DHD28" s="65"/>
      <c r="DHE28" s="65"/>
      <c r="DHF28" s="65"/>
      <c r="DHG28" s="65"/>
      <c r="DHH28" s="65"/>
      <c r="DHI28" s="65"/>
      <c r="DHJ28" s="65"/>
      <c r="DHK28" s="65"/>
      <c r="DHL28" s="65"/>
      <c r="DHM28" s="65"/>
      <c r="DHN28" s="65"/>
      <c r="DHO28" s="65"/>
      <c r="DHP28" s="65"/>
      <c r="DHQ28" s="65"/>
      <c r="DHR28" s="65"/>
      <c r="DHS28" s="65"/>
      <c r="DHT28" s="65"/>
      <c r="DHU28" s="65"/>
      <c r="DHV28" s="65"/>
      <c r="DHW28" s="65"/>
      <c r="DHX28" s="65"/>
      <c r="DHY28" s="65"/>
      <c r="DHZ28" s="65"/>
      <c r="DIA28" s="65"/>
      <c r="DIB28" s="65"/>
      <c r="DIC28" s="65"/>
      <c r="DID28" s="65"/>
      <c r="DIE28" s="65"/>
      <c r="DIF28" s="65"/>
      <c r="DIG28" s="65"/>
      <c r="DIH28" s="65"/>
      <c r="DII28" s="65"/>
      <c r="DIJ28" s="65"/>
      <c r="DIK28" s="65"/>
      <c r="DIL28" s="65"/>
      <c r="DIM28" s="65"/>
      <c r="DIN28" s="65"/>
      <c r="DIO28" s="65"/>
      <c r="DIP28" s="65"/>
      <c r="DIQ28" s="65"/>
      <c r="DIR28" s="65"/>
      <c r="DIS28" s="65"/>
      <c r="DIT28" s="65"/>
      <c r="DIU28" s="65"/>
      <c r="DIV28" s="65"/>
      <c r="DIW28" s="65"/>
      <c r="DIX28" s="65"/>
      <c r="DIY28" s="65"/>
      <c r="DIZ28" s="65"/>
      <c r="DJA28" s="65"/>
      <c r="DJB28" s="65"/>
      <c r="DJC28" s="65"/>
      <c r="DJD28" s="65"/>
      <c r="DJE28" s="65"/>
      <c r="DJF28" s="65"/>
      <c r="DJG28" s="65"/>
      <c r="DJH28" s="65"/>
      <c r="DJI28" s="65"/>
      <c r="DJJ28" s="65"/>
      <c r="DJK28" s="65"/>
      <c r="DJL28" s="65"/>
      <c r="DJM28" s="65"/>
      <c r="DJN28" s="65"/>
      <c r="DJO28" s="65"/>
      <c r="DJP28" s="65"/>
      <c r="DJQ28" s="65"/>
      <c r="DJR28" s="65"/>
      <c r="DJS28" s="65"/>
      <c r="DJT28" s="65"/>
      <c r="DJU28" s="65"/>
      <c r="DJV28" s="65"/>
      <c r="DJW28" s="65"/>
      <c r="DJX28" s="65"/>
      <c r="DJY28" s="65"/>
      <c r="DJZ28" s="65"/>
      <c r="DKA28" s="65"/>
      <c r="DKB28" s="65"/>
      <c r="DKC28" s="65"/>
      <c r="DKD28" s="65"/>
      <c r="DKE28" s="65"/>
      <c r="DKF28" s="65"/>
      <c r="DKG28" s="65"/>
      <c r="DKH28" s="65"/>
      <c r="DKI28" s="65"/>
      <c r="DKJ28" s="65"/>
      <c r="DKK28" s="65"/>
      <c r="DKL28" s="65"/>
      <c r="DKM28" s="65"/>
      <c r="DKN28" s="65"/>
      <c r="DKO28" s="65"/>
      <c r="DKP28" s="65"/>
      <c r="DKQ28" s="65"/>
      <c r="DKR28" s="65"/>
      <c r="DKS28" s="65"/>
      <c r="DKT28" s="65"/>
      <c r="DKU28" s="65"/>
      <c r="DKV28" s="65"/>
      <c r="DKW28" s="65"/>
      <c r="DKX28" s="65"/>
      <c r="DKY28" s="65"/>
      <c r="DKZ28" s="65"/>
      <c r="DLA28" s="65"/>
      <c r="DLB28" s="65"/>
      <c r="DLC28" s="65"/>
      <c r="DLD28" s="65"/>
      <c r="DLE28" s="65"/>
      <c r="DLF28" s="65"/>
      <c r="DLG28" s="65"/>
      <c r="DLH28" s="65"/>
      <c r="DLI28" s="65"/>
      <c r="DLJ28" s="65"/>
      <c r="DLK28" s="65"/>
      <c r="DLL28" s="65"/>
      <c r="DLM28" s="65"/>
      <c r="DLN28" s="65"/>
      <c r="DLO28" s="65"/>
      <c r="DLP28" s="65"/>
      <c r="DLQ28" s="65"/>
      <c r="DLR28" s="65"/>
      <c r="DLS28" s="65"/>
      <c r="DLT28" s="65"/>
      <c r="DLU28" s="65"/>
      <c r="DLV28" s="65"/>
      <c r="DLW28" s="65"/>
      <c r="DLX28" s="65"/>
      <c r="DLY28" s="65"/>
      <c r="DLZ28" s="65"/>
      <c r="DMA28" s="65"/>
      <c r="DMB28" s="65"/>
      <c r="DMC28" s="65"/>
      <c r="DMD28" s="65"/>
      <c r="DME28" s="65"/>
      <c r="DMF28" s="65"/>
      <c r="DMG28" s="65"/>
      <c r="DMH28" s="65"/>
      <c r="DMI28" s="65"/>
      <c r="DMJ28" s="65"/>
      <c r="DMK28" s="65"/>
      <c r="DML28" s="65"/>
      <c r="DMM28" s="65"/>
      <c r="DMN28" s="65"/>
      <c r="DMO28" s="65"/>
      <c r="DMP28" s="65"/>
      <c r="DMQ28" s="65"/>
      <c r="DMR28" s="65"/>
      <c r="DMS28" s="65"/>
      <c r="DMT28" s="65"/>
      <c r="DMU28" s="65"/>
      <c r="DMV28" s="65"/>
      <c r="DMW28" s="65"/>
      <c r="DMX28" s="65"/>
      <c r="DMY28" s="65"/>
      <c r="DMZ28" s="65"/>
      <c r="DNA28" s="65"/>
      <c r="DNB28" s="65"/>
      <c r="DNC28" s="65"/>
      <c r="DND28" s="65"/>
      <c r="DNE28" s="65"/>
      <c r="DNF28" s="65"/>
      <c r="DNG28" s="65"/>
      <c r="DNH28" s="65"/>
      <c r="DNI28" s="65"/>
      <c r="DNJ28" s="65"/>
      <c r="DNK28" s="65"/>
      <c r="DNL28" s="65"/>
      <c r="DNM28" s="65"/>
      <c r="DNN28" s="65"/>
      <c r="DNO28" s="65"/>
      <c r="DNP28" s="65"/>
      <c r="DNQ28" s="65"/>
      <c r="DNR28" s="65"/>
      <c r="DNS28" s="65"/>
      <c r="DNT28" s="65"/>
      <c r="DNU28" s="65"/>
      <c r="DNV28" s="65"/>
      <c r="DNW28" s="65"/>
      <c r="DNX28" s="65"/>
      <c r="DNY28" s="65"/>
      <c r="DNZ28" s="65"/>
      <c r="DOA28" s="65"/>
      <c r="DOB28" s="65"/>
      <c r="DOC28" s="65"/>
      <c r="DOD28" s="65"/>
      <c r="DOE28" s="65"/>
      <c r="DOF28" s="65"/>
      <c r="DOG28" s="65"/>
      <c r="DOH28" s="65"/>
      <c r="DOI28" s="65"/>
      <c r="DOJ28" s="65"/>
      <c r="DOK28" s="65"/>
      <c r="DOL28" s="65"/>
      <c r="DOM28" s="65"/>
      <c r="DON28" s="65"/>
      <c r="DOO28" s="65"/>
      <c r="DOP28" s="65"/>
      <c r="DOQ28" s="65"/>
      <c r="DOR28" s="65"/>
      <c r="DOS28" s="65"/>
      <c r="DOT28" s="65"/>
      <c r="DOU28" s="65"/>
      <c r="DOV28" s="65"/>
      <c r="DOW28" s="65"/>
      <c r="DOX28" s="65"/>
      <c r="DOY28" s="65"/>
      <c r="DOZ28" s="65"/>
      <c r="DPA28" s="65"/>
      <c r="DPB28" s="65"/>
      <c r="DPC28" s="65"/>
      <c r="DPD28" s="65"/>
      <c r="DPE28" s="65"/>
      <c r="DPF28" s="65"/>
      <c r="DPG28" s="65"/>
      <c r="DPH28" s="65"/>
      <c r="DPI28" s="65"/>
      <c r="DPJ28" s="65"/>
      <c r="DPK28" s="65"/>
      <c r="DPL28" s="65"/>
      <c r="DPM28" s="65"/>
      <c r="DPN28" s="65"/>
      <c r="DPO28" s="65"/>
      <c r="DPP28" s="65"/>
      <c r="DPQ28" s="65"/>
      <c r="DPR28" s="65"/>
      <c r="DPS28" s="65"/>
      <c r="DPT28" s="65"/>
      <c r="DPU28" s="65"/>
      <c r="DPV28" s="65"/>
      <c r="DPW28" s="65"/>
      <c r="DPX28" s="65"/>
      <c r="DPY28" s="65"/>
      <c r="DPZ28" s="65"/>
      <c r="DQA28" s="65"/>
      <c r="DQB28" s="65"/>
      <c r="DQC28" s="65"/>
      <c r="DQD28" s="65"/>
      <c r="DQE28" s="65"/>
      <c r="DQF28" s="65"/>
      <c r="DQG28" s="65"/>
      <c r="DQH28" s="65"/>
      <c r="DQI28" s="65"/>
      <c r="DQJ28" s="65"/>
      <c r="DQK28" s="65"/>
      <c r="DQL28" s="65"/>
      <c r="DQM28" s="65"/>
      <c r="DQN28" s="65"/>
      <c r="DQO28" s="65"/>
      <c r="DQP28" s="65"/>
      <c r="DQQ28" s="65"/>
      <c r="DQR28" s="65"/>
      <c r="DQS28" s="65"/>
      <c r="DQT28" s="65"/>
      <c r="DQU28" s="65"/>
      <c r="DQV28" s="65"/>
      <c r="DQW28" s="65"/>
      <c r="DQX28" s="65"/>
      <c r="DQY28" s="65"/>
      <c r="DQZ28" s="65"/>
      <c r="DRA28" s="65"/>
      <c r="DRB28" s="65"/>
      <c r="DRC28" s="65"/>
      <c r="DRD28" s="65"/>
      <c r="DRE28" s="65"/>
      <c r="DRF28" s="65"/>
      <c r="DRG28" s="65"/>
      <c r="DRH28" s="65"/>
      <c r="DRI28" s="65"/>
      <c r="DRJ28" s="65"/>
      <c r="DRK28" s="65"/>
      <c r="DRL28" s="65"/>
      <c r="DRM28" s="65"/>
      <c r="DRN28" s="65"/>
      <c r="DRO28" s="65"/>
      <c r="DRP28" s="65"/>
      <c r="DRQ28" s="65"/>
      <c r="DRR28" s="65"/>
      <c r="DRS28" s="65"/>
      <c r="DRT28" s="65"/>
      <c r="DRU28" s="65"/>
      <c r="DRV28" s="65"/>
      <c r="DRW28" s="65"/>
      <c r="DRX28" s="65"/>
      <c r="DRY28" s="65"/>
      <c r="DRZ28" s="65"/>
      <c r="DSA28" s="65"/>
      <c r="DSB28" s="65"/>
      <c r="DSC28" s="65"/>
      <c r="DSD28" s="65"/>
      <c r="DSE28" s="65"/>
      <c r="DSF28" s="65"/>
      <c r="DSG28" s="65"/>
      <c r="DSH28" s="65"/>
      <c r="DSI28" s="65"/>
      <c r="DSJ28" s="65"/>
      <c r="DSK28" s="65"/>
      <c r="DSL28" s="65"/>
      <c r="DSM28" s="65"/>
      <c r="DSN28" s="65"/>
      <c r="DSO28" s="65"/>
      <c r="DSP28" s="65"/>
      <c r="DSQ28" s="65"/>
      <c r="DSR28" s="65"/>
      <c r="DSS28" s="65"/>
      <c r="DST28" s="65"/>
      <c r="DSU28" s="65"/>
      <c r="DSV28" s="65"/>
      <c r="DSW28" s="65"/>
      <c r="DSX28" s="65"/>
      <c r="DSY28" s="65"/>
      <c r="DSZ28" s="65"/>
      <c r="DTA28" s="65"/>
      <c r="DTB28" s="65"/>
      <c r="DTC28" s="65"/>
      <c r="DTD28" s="65"/>
      <c r="DTE28" s="65"/>
      <c r="DTF28" s="65"/>
      <c r="DTG28" s="65"/>
      <c r="DTH28" s="65"/>
      <c r="DTI28" s="65"/>
      <c r="DTJ28" s="65"/>
      <c r="DTK28" s="65"/>
      <c r="DTL28" s="65"/>
      <c r="DTM28" s="65"/>
      <c r="DTN28" s="65"/>
      <c r="DTO28" s="65"/>
      <c r="DTP28" s="65"/>
      <c r="DTQ28" s="65"/>
      <c r="DTR28" s="65"/>
      <c r="DTS28" s="65"/>
      <c r="DTT28" s="65"/>
      <c r="DTU28" s="65"/>
      <c r="DTV28" s="65"/>
      <c r="DTW28" s="65"/>
      <c r="DTX28" s="65"/>
      <c r="DTY28" s="65"/>
      <c r="DTZ28" s="65"/>
      <c r="DUA28" s="65"/>
      <c r="DUB28" s="65"/>
      <c r="DUC28" s="65"/>
      <c r="DUD28" s="65"/>
      <c r="DUE28" s="65"/>
      <c r="DUF28" s="65"/>
      <c r="DUG28" s="65"/>
      <c r="DUH28" s="65"/>
      <c r="DUI28" s="65"/>
      <c r="DUJ28" s="65"/>
      <c r="DUK28" s="65"/>
      <c r="DUL28" s="65"/>
      <c r="DUM28" s="65"/>
      <c r="DUN28" s="65"/>
      <c r="DUO28" s="65"/>
      <c r="DUP28" s="65"/>
      <c r="DUQ28" s="65"/>
      <c r="DUR28" s="65"/>
      <c r="DUS28" s="65"/>
      <c r="DUT28" s="65"/>
      <c r="DUU28" s="65"/>
      <c r="DUV28" s="65"/>
      <c r="DUW28" s="65"/>
      <c r="DUX28" s="65"/>
      <c r="DUY28" s="65"/>
      <c r="DUZ28" s="65"/>
      <c r="DVA28" s="65"/>
      <c r="DVB28" s="65"/>
      <c r="DVC28" s="65"/>
      <c r="DVD28" s="65"/>
      <c r="DVE28" s="65"/>
      <c r="DVF28" s="65"/>
      <c r="DVG28" s="65"/>
      <c r="DVH28" s="65"/>
      <c r="DVI28" s="65"/>
      <c r="DVJ28" s="65"/>
      <c r="DVK28" s="65"/>
      <c r="DVL28" s="65"/>
      <c r="DVM28" s="65"/>
      <c r="DVN28" s="65"/>
      <c r="DVO28" s="65"/>
      <c r="DVP28" s="65"/>
      <c r="DVQ28" s="65"/>
      <c r="DVR28" s="65"/>
      <c r="DVS28" s="65"/>
      <c r="DVT28" s="65"/>
      <c r="DVU28" s="65"/>
      <c r="DVV28" s="65"/>
      <c r="DVW28" s="65"/>
      <c r="DVX28" s="65"/>
      <c r="DVY28" s="65"/>
      <c r="DVZ28" s="65"/>
      <c r="DWA28" s="65"/>
      <c r="DWB28" s="65"/>
      <c r="DWC28" s="65"/>
      <c r="DWD28" s="65"/>
      <c r="DWE28" s="65"/>
      <c r="DWF28" s="65"/>
      <c r="DWG28" s="65"/>
      <c r="DWH28" s="65"/>
      <c r="DWI28" s="65"/>
      <c r="DWJ28" s="65"/>
      <c r="DWK28" s="65"/>
      <c r="DWL28" s="65"/>
      <c r="DWM28" s="65"/>
      <c r="DWN28" s="65"/>
      <c r="DWO28" s="65"/>
      <c r="DWP28" s="65"/>
      <c r="DWQ28" s="65"/>
      <c r="DWR28" s="65"/>
      <c r="DWS28" s="65"/>
      <c r="DWT28" s="65"/>
      <c r="DWU28" s="65"/>
      <c r="DWV28" s="65"/>
      <c r="DWW28" s="65"/>
      <c r="DWX28" s="65"/>
      <c r="DWY28" s="65"/>
      <c r="DWZ28" s="65"/>
      <c r="DXA28" s="65"/>
      <c r="DXB28" s="65"/>
      <c r="DXC28" s="65"/>
      <c r="DXD28" s="65"/>
      <c r="DXE28" s="65"/>
      <c r="DXF28" s="65"/>
      <c r="DXG28" s="65"/>
      <c r="DXH28" s="65"/>
      <c r="DXI28" s="65"/>
      <c r="DXJ28" s="65"/>
      <c r="DXK28" s="65"/>
      <c r="DXL28" s="65"/>
      <c r="DXM28" s="65"/>
      <c r="DXN28" s="65"/>
      <c r="DXO28" s="65"/>
      <c r="DXP28" s="65"/>
      <c r="DXQ28" s="65"/>
      <c r="DXR28" s="65"/>
      <c r="DXS28" s="65"/>
      <c r="DXT28" s="65"/>
      <c r="DXU28" s="65"/>
      <c r="DXV28" s="65"/>
      <c r="DXW28" s="65"/>
      <c r="DXX28" s="65"/>
      <c r="DXY28" s="65"/>
      <c r="DXZ28" s="65"/>
      <c r="DYA28" s="65"/>
      <c r="DYB28" s="65"/>
      <c r="DYC28" s="65"/>
      <c r="DYD28" s="65"/>
      <c r="DYE28" s="65"/>
      <c r="DYF28" s="65"/>
      <c r="DYG28" s="65"/>
      <c r="DYH28" s="65"/>
      <c r="DYI28" s="65"/>
      <c r="DYJ28" s="65"/>
      <c r="DYK28" s="65"/>
      <c r="DYL28" s="65"/>
      <c r="DYM28" s="65"/>
      <c r="DYN28" s="65"/>
      <c r="DYO28" s="65"/>
      <c r="DYP28" s="65"/>
      <c r="DYQ28" s="65"/>
      <c r="DYR28" s="65"/>
      <c r="DYS28" s="65"/>
      <c r="DYT28" s="65"/>
      <c r="DYU28" s="65"/>
      <c r="DYV28" s="65"/>
      <c r="DYW28" s="65"/>
      <c r="DYX28" s="65"/>
      <c r="DYY28" s="65"/>
      <c r="DYZ28" s="65"/>
      <c r="DZA28" s="65"/>
      <c r="DZB28" s="65"/>
      <c r="DZC28" s="65"/>
      <c r="DZD28" s="65"/>
      <c r="DZE28" s="65"/>
      <c r="DZF28" s="65"/>
      <c r="DZG28" s="65"/>
      <c r="DZH28" s="65"/>
      <c r="DZI28" s="65"/>
      <c r="DZJ28" s="65"/>
      <c r="DZK28" s="65"/>
      <c r="DZL28" s="65"/>
      <c r="DZM28" s="65"/>
      <c r="DZN28" s="65"/>
      <c r="DZO28" s="65"/>
      <c r="DZP28" s="65"/>
      <c r="DZQ28" s="65"/>
      <c r="DZR28" s="65"/>
      <c r="DZS28" s="65"/>
      <c r="DZT28" s="65"/>
      <c r="DZU28" s="65"/>
      <c r="DZV28" s="65"/>
      <c r="DZW28" s="65"/>
      <c r="DZX28" s="65"/>
      <c r="DZY28" s="65"/>
      <c r="DZZ28" s="65"/>
      <c r="EAA28" s="65"/>
      <c r="EAB28" s="65"/>
      <c r="EAC28" s="65"/>
      <c r="EAD28" s="65"/>
      <c r="EAE28" s="65"/>
      <c r="EAF28" s="65"/>
      <c r="EAG28" s="65"/>
      <c r="EAH28" s="65"/>
      <c r="EAI28" s="65"/>
      <c r="EAJ28" s="65"/>
      <c r="EAK28" s="65"/>
      <c r="EAL28" s="65"/>
      <c r="EAM28" s="65"/>
      <c r="EAN28" s="65"/>
      <c r="EAO28" s="65"/>
      <c r="EAP28" s="65"/>
      <c r="EAQ28" s="65"/>
      <c r="EAR28" s="65"/>
      <c r="EAS28" s="65"/>
      <c r="EAT28" s="65"/>
      <c r="EAU28" s="65"/>
      <c r="EAV28" s="65"/>
      <c r="EAW28" s="65"/>
      <c r="EAX28" s="65"/>
      <c r="EAY28" s="65"/>
      <c r="EAZ28" s="65"/>
      <c r="EBA28" s="65"/>
      <c r="EBB28" s="65"/>
      <c r="EBC28" s="65"/>
      <c r="EBD28" s="65"/>
      <c r="EBE28" s="65"/>
      <c r="EBF28" s="65"/>
      <c r="EBG28" s="65"/>
      <c r="EBH28" s="65"/>
      <c r="EBI28" s="65"/>
      <c r="EBJ28" s="65"/>
      <c r="EBK28" s="65"/>
      <c r="EBL28" s="65"/>
      <c r="EBM28" s="65"/>
      <c r="EBN28" s="65"/>
      <c r="EBO28" s="65"/>
      <c r="EBP28" s="65"/>
      <c r="EBQ28" s="65"/>
      <c r="EBR28" s="65"/>
      <c r="EBS28" s="65"/>
      <c r="EBT28" s="65"/>
      <c r="EBU28" s="65"/>
      <c r="EBV28" s="65"/>
      <c r="EBW28" s="65"/>
      <c r="EBX28" s="65"/>
      <c r="EBY28" s="65"/>
      <c r="EBZ28" s="65"/>
      <c r="ECA28" s="65"/>
      <c r="ECB28" s="65"/>
      <c r="ECC28" s="65"/>
      <c r="ECD28" s="65"/>
      <c r="ECE28" s="65"/>
      <c r="ECF28" s="65"/>
      <c r="ECG28" s="65"/>
      <c r="ECH28" s="65"/>
      <c r="ECI28" s="65"/>
      <c r="ECJ28" s="65"/>
      <c r="ECK28" s="65"/>
      <c r="ECL28" s="65"/>
      <c r="ECM28" s="65"/>
      <c r="ECN28" s="65"/>
      <c r="ECO28" s="65"/>
      <c r="ECP28" s="65"/>
      <c r="ECQ28" s="65"/>
      <c r="ECR28" s="65"/>
      <c r="ECS28" s="65"/>
      <c r="ECT28" s="65"/>
      <c r="ECU28" s="65"/>
      <c r="ECV28" s="65"/>
      <c r="ECW28" s="65"/>
      <c r="ECX28" s="65"/>
      <c r="ECY28" s="65"/>
      <c r="ECZ28" s="65"/>
      <c r="EDA28" s="65"/>
      <c r="EDB28" s="65"/>
      <c r="EDC28" s="65"/>
      <c r="EDD28" s="65"/>
      <c r="EDE28" s="65"/>
      <c r="EDF28" s="65"/>
      <c r="EDG28" s="65"/>
      <c r="EDH28" s="65"/>
      <c r="EDI28" s="65"/>
      <c r="EDJ28" s="65"/>
      <c r="EDK28" s="65"/>
      <c r="EDL28" s="65"/>
      <c r="EDM28" s="65"/>
      <c r="EDN28" s="65"/>
      <c r="EDO28" s="65"/>
      <c r="EDP28" s="65"/>
      <c r="EDQ28" s="65"/>
      <c r="EDR28" s="65"/>
      <c r="EDS28" s="65"/>
      <c r="EDT28" s="65"/>
      <c r="EDU28" s="65"/>
      <c r="EDV28" s="65"/>
      <c r="EDW28" s="65"/>
      <c r="EDX28" s="65"/>
      <c r="EDY28" s="65"/>
      <c r="EDZ28" s="65"/>
      <c r="EEA28" s="65"/>
      <c r="EEB28" s="65"/>
      <c r="EEC28" s="65"/>
      <c r="EED28" s="65"/>
      <c r="EEE28" s="65"/>
      <c r="EEF28" s="65"/>
      <c r="EEG28" s="65"/>
      <c r="EEH28" s="65"/>
      <c r="EEI28" s="65"/>
      <c r="EEJ28" s="65"/>
      <c r="EEK28" s="65"/>
      <c r="EEL28" s="65"/>
      <c r="EEM28" s="65"/>
      <c r="EEN28" s="65"/>
      <c r="EEO28" s="65"/>
      <c r="EEP28" s="65"/>
      <c r="EEQ28" s="65"/>
      <c r="EER28" s="65"/>
      <c r="EES28" s="65"/>
      <c r="EET28" s="65"/>
      <c r="EEU28" s="65"/>
      <c r="EEV28" s="65"/>
      <c r="EEW28" s="65"/>
      <c r="EEX28" s="65"/>
      <c r="EEY28" s="65"/>
      <c r="EEZ28" s="65"/>
      <c r="EFA28" s="65"/>
      <c r="EFB28" s="65"/>
      <c r="EFC28" s="65"/>
      <c r="EFD28" s="65"/>
      <c r="EFE28" s="65"/>
      <c r="EFF28" s="65"/>
      <c r="EFG28" s="65"/>
      <c r="EFH28" s="65"/>
      <c r="EFI28" s="65"/>
      <c r="EFJ28" s="65"/>
      <c r="EFK28" s="65"/>
      <c r="EFL28" s="65"/>
      <c r="EFM28" s="65"/>
      <c r="EFN28" s="65"/>
      <c r="EFO28" s="65"/>
      <c r="EFP28" s="65"/>
      <c r="EFQ28" s="65"/>
      <c r="EFR28" s="65"/>
      <c r="EFS28" s="65"/>
      <c r="EFT28" s="65"/>
      <c r="EFU28" s="65"/>
      <c r="EFV28" s="65"/>
      <c r="EFW28" s="65"/>
      <c r="EFX28" s="65"/>
      <c r="EFY28" s="65"/>
      <c r="EFZ28" s="65"/>
      <c r="EGA28" s="65"/>
      <c r="EGB28" s="65"/>
      <c r="EGC28" s="65"/>
      <c r="EGD28" s="65"/>
      <c r="EGE28" s="65"/>
      <c r="EGF28" s="65"/>
      <c r="EGG28" s="65"/>
      <c r="EGH28" s="65"/>
      <c r="EGI28" s="65"/>
      <c r="EGJ28" s="65"/>
      <c r="EGK28" s="65"/>
      <c r="EGL28" s="65"/>
      <c r="EGM28" s="65"/>
      <c r="EGN28" s="65"/>
      <c r="EGO28" s="65"/>
      <c r="EGP28" s="65"/>
      <c r="EGQ28" s="65"/>
      <c r="EGR28" s="65"/>
      <c r="EGS28" s="65"/>
      <c r="EGT28" s="65"/>
      <c r="EGU28" s="65"/>
      <c r="EGV28" s="65"/>
      <c r="EGW28" s="65"/>
      <c r="EGX28" s="65"/>
      <c r="EGY28" s="65"/>
      <c r="EGZ28" s="65"/>
      <c r="EHA28" s="65"/>
      <c r="EHB28" s="65"/>
      <c r="EHC28" s="65"/>
      <c r="EHD28" s="65"/>
      <c r="EHE28" s="65"/>
      <c r="EHF28" s="65"/>
      <c r="EHG28" s="65"/>
      <c r="EHH28" s="65"/>
      <c r="EHI28" s="65"/>
      <c r="EHJ28" s="65"/>
      <c r="EHK28" s="65"/>
      <c r="EHL28" s="65"/>
      <c r="EHM28" s="65"/>
      <c r="EHN28" s="65"/>
      <c r="EHO28" s="65"/>
      <c r="EHP28" s="65"/>
      <c r="EHQ28" s="65"/>
      <c r="EHR28" s="65"/>
      <c r="EHS28" s="65"/>
      <c r="EHT28" s="65"/>
      <c r="EHU28" s="65"/>
      <c r="EHV28" s="65"/>
      <c r="EHW28" s="65"/>
      <c r="EHX28" s="65"/>
      <c r="EHY28" s="65"/>
      <c r="EHZ28" s="65"/>
      <c r="EIA28" s="65"/>
      <c r="EIB28" s="65"/>
      <c r="EIC28" s="65"/>
      <c r="EID28" s="65"/>
      <c r="EIE28" s="65"/>
      <c r="EIF28" s="65"/>
      <c r="EIG28" s="65"/>
      <c r="EIH28" s="65"/>
      <c r="EII28" s="65"/>
      <c r="EIJ28" s="65"/>
      <c r="EIK28" s="65"/>
      <c r="EIL28" s="65"/>
      <c r="EIM28" s="65"/>
      <c r="EIN28" s="65"/>
      <c r="EIO28" s="65"/>
      <c r="EIP28" s="65"/>
      <c r="EIQ28" s="65"/>
      <c r="EIR28" s="65"/>
      <c r="EIS28" s="65"/>
      <c r="EIT28" s="65"/>
      <c r="EIU28" s="65"/>
      <c r="EIV28" s="65"/>
      <c r="EIW28" s="65"/>
      <c r="EIX28" s="65"/>
      <c r="EIY28" s="65"/>
      <c r="EIZ28" s="65"/>
      <c r="EJA28" s="65"/>
      <c r="EJB28" s="65"/>
      <c r="EJC28" s="65"/>
      <c r="EJD28" s="65"/>
      <c r="EJE28" s="65"/>
      <c r="EJF28" s="65"/>
      <c r="EJG28" s="65"/>
      <c r="EJH28" s="65"/>
      <c r="EJI28" s="65"/>
      <c r="EJJ28" s="65"/>
      <c r="EJK28" s="65"/>
      <c r="EJL28" s="65"/>
      <c r="EJM28" s="65"/>
      <c r="EJN28" s="65"/>
      <c r="EJO28" s="65"/>
      <c r="EJP28" s="65"/>
      <c r="EJQ28" s="65"/>
      <c r="EJR28" s="65"/>
      <c r="EJS28" s="65"/>
      <c r="EJT28" s="65"/>
      <c r="EJU28" s="65"/>
      <c r="EJV28" s="65"/>
      <c r="EJW28" s="65"/>
      <c r="EJX28" s="65"/>
      <c r="EJY28" s="65"/>
      <c r="EJZ28" s="65"/>
      <c r="EKA28" s="65"/>
      <c r="EKB28" s="65"/>
      <c r="EKC28" s="65"/>
      <c r="EKD28" s="65"/>
      <c r="EKE28" s="65"/>
      <c r="EKF28" s="65"/>
      <c r="EKG28" s="65"/>
      <c r="EKH28" s="65"/>
      <c r="EKI28" s="65"/>
      <c r="EKJ28" s="65"/>
      <c r="EKK28" s="65"/>
      <c r="EKL28" s="65"/>
      <c r="EKM28" s="65"/>
      <c r="EKN28" s="65"/>
      <c r="EKO28" s="65"/>
      <c r="EKP28" s="65"/>
      <c r="EKQ28" s="65"/>
      <c r="EKR28" s="65"/>
      <c r="EKS28" s="65"/>
      <c r="EKT28" s="65"/>
      <c r="EKU28" s="65"/>
      <c r="EKV28" s="65"/>
      <c r="EKW28" s="65"/>
      <c r="EKX28" s="65"/>
      <c r="EKY28" s="65"/>
      <c r="EKZ28" s="65"/>
      <c r="ELA28" s="65"/>
      <c r="ELB28" s="65"/>
      <c r="ELC28" s="65"/>
      <c r="ELD28" s="65"/>
      <c r="ELE28" s="65"/>
      <c r="ELF28" s="65"/>
      <c r="ELG28" s="65"/>
      <c r="ELH28" s="65"/>
      <c r="ELI28" s="65"/>
      <c r="ELJ28" s="65"/>
      <c r="ELK28" s="65"/>
      <c r="ELL28" s="65"/>
      <c r="ELM28" s="65"/>
      <c r="ELN28" s="65"/>
      <c r="ELO28" s="65"/>
      <c r="ELP28" s="65"/>
      <c r="ELQ28" s="65"/>
      <c r="ELR28" s="65"/>
      <c r="ELS28" s="65"/>
      <c r="ELT28" s="65"/>
      <c r="ELU28" s="65"/>
      <c r="ELV28" s="65"/>
      <c r="ELW28" s="65"/>
      <c r="ELX28" s="65"/>
      <c r="ELY28" s="65"/>
      <c r="ELZ28" s="65"/>
      <c r="EMA28" s="65"/>
      <c r="EMB28" s="65"/>
      <c r="EMC28" s="65"/>
      <c r="EMD28" s="65"/>
      <c r="EME28" s="65"/>
      <c r="EMF28" s="65"/>
      <c r="EMG28" s="65"/>
      <c r="EMH28" s="65"/>
      <c r="EMI28" s="65"/>
      <c r="EMJ28" s="65"/>
      <c r="EMK28" s="65"/>
      <c r="EML28" s="65"/>
      <c r="EMM28" s="65"/>
      <c r="EMN28" s="65"/>
      <c r="EMO28" s="65"/>
      <c r="EMP28" s="65"/>
      <c r="EMQ28" s="65"/>
      <c r="EMR28" s="65"/>
      <c r="EMS28" s="65"/>
      <c r="EMT28" s="65"/>
      <c r="EMU28" s="65"/>
      <c r="EMV28" s="65"/>
      <c r="EMW28" s="65"/>
      <c r="EMX28" s="65"/>
      <c r="EMY28" s="65"/>
      <c r="EMZ28" s="65"/>
      <c r="ENA28" s="65"/>
      <c r="ENB28" s="65"/>
      <c r="ENC28" s="65"/>
      <c r="END28" s="65"/>
      <c r="ENE28" s="65"/>
      <c r="ENF28" s="65"/>
      <c r="ENG28" s="65"/>
      <c r="ENH28" s="65"/>
      <c r="ENI28" s="65"/>
      <c r="ENJ28" s="65"/>
      <c r="ENK28" s="65"/>
      <c r="ENL28" s="65"/>
      <c r="ENM28" s="65"/>
      <c r="ENN28" s="65"/>
      <c r="ENO28" s="65"/>
      <c r="ENP28" s="65"/>
      <c r="ENQ28" s="65"/>
      <c r="ENR28" s="65"/>
      <c r="ENS28" s="65"/>
      <c r="ENT28" s="65"/>
      <c r="ENU28" s="65"/>
      <c r="ENV28" s="65"/>
      <c r="ENW28" s="65"/>
      <c r="ENX28" s="65"/>
      <c r="ENY28" s="65"/>
      <c r="ENZ28" s="65"/>
      <c r="EOA28" s="65"/>
      <c r="EOB28" s="65"/>
      <c r="EOC28" s="65"/>
      <c r="EOD28" s="65"/>
      <c r="EOE28" s="65"/>
      <c r="EOF28" s="65"/>
      <c r="EOG28" s="65"/>
      <c r="EOH28" s="65"/>
      <c r="EOI28" s="65"/>
      <c r="EOJ28" s="65"/>
      <c r="EOK28" s="65"/>
      <c r="EOL28" s="65"/>
      <c r="EOM28" s="65"/>
      <c r="EON28" s="65"/>
      <c r="EOO28" s="65"/>
      <c r="EOP28" s="65"/>
      <c r="EOQ28" s="65"/>
      <c r="EOR28" s="65"/>
      <c r="EOS28" s="65"/>
      <c r="EOT28" s="65"/>
      <c r="EOU28" s="65"/>
      <c r="EOV28" s="65"/>
      <c r="EOW28" s="65"/>
      <c r="EOX28" s="65"/>
      <c r="EOY28" s="65"/>
      <c r="EOZ28" s="65"/>
      <c r="EPA28" s="65"/>
      <c r="EPB28" s="65"/>
      <c r="EPC28" s="65"/>
      <c r="EPD28" s="65"/>
      <c r="EPE28" s="65"/>
      <c r="EPF28" s="65"/>
      <c r="EPG28" s="65"/>
      <c r="EPH28" s="65"/>
      <c r="EPI28" s="65"/>
      <c r="EPJ28" s="65"/>
      <c r="EPK28" s="65"/>
      <c r="EPL28" s="65"/>
      <c r="EPM28" s="65"/>
      <c r="EPN28" s="65"/>
      <c r="EPO28" s="65"/>
      <c r="EPP28" s="65"/>
      <c r="EPQ28" s="65"/>
      <c r="EPR28" s="65"/>
      <c r="EPS28" s="65"/>
      <c r="EPT28" s="65"/>
      <c r="EPU28" s="65"/>
      <c r="EPV28" s="65"/>
      <c r="EPW28" s="65"/>
      <c r="EPX28" s="65"/>
      <c r="EPY28" s="65"/>
      <c r="EPZ28" s="65"/>
      <c r="EQA28" s="65"/>
      <c r="EQB28" s="65"/>
      <c r="EQC28" s="65"/>
      <c r="EQD28" s="65"/>
      <c r="EQE28" s="65"/>
      <c r="EQF28" s="65"/>
      <c r="EQG28" s="65"/>
      <c r="EQH28" s="65"/>
      <c r="EQI28" s="65"/>
      <c r="EQJ28" s="65"/>
      <c r="EQK28" s="65"/>
      <c r="EQL28" s="65"/>
      <c r="EQM28" s="65"/>
      <c r="EQN28" s="65"/>
      <c r="EQO28" s="65"/>
      <c r="EQP28" s="65"/>
      <c r="EQQ28" s="65"/>
      <c r="EQR28" s="65"/>
      <c r="EQS28" s="65"/>
      <c r="EQT28" s="65"/>
      <c r="EQU28" s="65"/>
      <c r="EQV28" s="65"/>
      <c r="EQW28" s="65"/>
      <c r="EQX28" s="65"/>
      <c r="EQY28" s="65"/>
      <c r="EQZ28" s="65"/>
      <c r="ERA28" s="65"/>
      <c r="ERB28" s="65"/>
      <c r="ERC28" s="65"/>
      <c r="ERD28" s="65"/>
      <c r="ERE28" s="65"/>
      <c r="ERF28" s="65"/>
      <c r="ERG28" s="65"/>
      <c r="ERH28" s="65"/>
      <c r="ERI28" s="65"/>
      <c r="ERJ28" s="65"/>
      <c r="ERK28" s="65"/>
      <c r="ERL28" s="65"/>
      <c r="ERM28" s="65"/>
      <c r="ERN28" s="65"/>
      <c r="ERO28" s="65"/>
      <c r="ERP28" s="65"/>
      <c r="ERQ28" s="65"/>
      <c r="ERR28" s="65"/>
      <c r="ERS28" s="65"/>
      <c r="ERT28" s="65"/>
      <c r="ERU28" s="65"/>
      <c r="ERV28" s="65"/>
      <c r="ERW28" s="65"/>
      <c r="ERX28" s="65"/>
      <c r="ERY28" s="65"/>
      <c r="ERZ28" s="65"/>
      <c r="ESA28" s="65"/>
      <c r="ESB28" s="65"/>
      <c r="ESC28" s="65"/>
      <c r="ESD28" s="65"/>
      <c r="ESE28" s="65"/>
      <c r="ESF28" s="65"/>
      <c r="ESG28" s="65"/>
      <c r="ESH28" s="65"/>
      <c r="ESI28" s="65"/>
      <c r="ESJ28" s="65"/>
      <c r="ESK28" s="65"/>
      <c r="ESL28" s="65"/>
      <c r="ESM28" s="65"/>
      <c r="ESN28" s="65"/>
      <c r="ESO28" s="65"/>
      <c r="ESP28" s="65"/>
      <c r="ESQ28" s="65"/>
      <c r="ESR28" s="65"/>
      <c r="ESS28" s="65"/>
      <c r="EST28" s="65"/>
      <c r="ESU28" s="65"/>
      <c r="ESV28" s="65"/>
      <c r="ESW28" s="65"/>
      <c r="ESX28" s="65"/>
      <c r="ESY28" s="65"/>
      <c r="ESZ28" s="65"/>
      <c r="ETA28" s="65"/>
      <c r="ETB28" s="65"/>
      <c r="ETC28" s="65"/>
      <c r="ETD28" s="65"/>
      <c r="ETE28" s="65"/>
      <c r="ETF28" s="65"/>
      <c r="ETG28" s="65"/>
      <c r="ETH28" s="65"/>
      <c r="ETI28" s="65"/>
      <c r="ETJ28" s="65"/>
      <c r="ETK28" s="65"/>
      <c r="ETL28" s="65"/>
      <c r="ETM28" s="65"/>
      <c r="ETN28" s="65"/>
      <c r="ETO28" s="65"/>
      <c r="ETP28" s="65"/>
      <c r="ETQ28" s="65"/>
      <c r="ETR28" s="65"/>
      <c r="ETS28" s="65"/>
      <c r="ETT28" s="65"/>
      <c r="ETU28" s="65"/>
      <c r="ETV28" s="65"/>
      <c r="ETW28" s="65"/>
      <c r="ETX28" s="65"/>
      <c r="ETY28" s="65"/>
      <c r="ETZ28" s="65"/>
      <c r="EUA28" s="65"/>
      <c r="EUB28" s="65"/>
      <c r="EUC28" s="65"/>
      <c r="EUD28" s="65"/>
      <c r="EUE28" s="65"/>
      <c r="EUF28" s="65"/>
      <c r="EUG28" s="65"/>
      <c r="EUH28" s="65"/>
      <c r="EUI28" s="65"/>
      <c r="EUJ28" s="65"/>
      <c r="EUK28" s="65"/>
      <c r="EUL28" s="65"/>
      <c r="EUM28" s="65"/>
      <c r="EUN28" s="65"/>
      <c r="EUO28" s="65"/>
      <c r="EUP28" s="65"/>
      <c r="EUQ28" s="65"/>
      <c r="EUR28" s="65"/>
      <c r="EUS28" s="65"/>
      <c r="EUT28" s="65"/>
      <c r="EUU28" s="65"/>
      <c r="EUV28" s="65"/>
      <c r="EUW28" s="65"/>
      <c r="EUX28" s="65"/>
      <c r="EUY28" s="65"/>
      <c r="EUZ28" s="65"/>
      <c r="EVA28" s="65"/>
      <c r="EVB28" s="65"/>
      <c r="EVC28" s="65"/>
      <c r="EVD28" s="65"/>
      <c r="EVE28" s="65"/>
      <c r="EVF28" s="65"/>
      <c r="EVG28" s="65"/>
      <c r="EVH28" s="65"/>
      <c r="EVI28" s="65"/>
      <c r="EVJ28" s="65"/>
      <c r="EVK28" s="65"/>
      <c r="EVL28" s="65"/>
      <c r="EVM28" s="65"/>
      <c r="EVN28" s="65"/>
      <c r="EVO28" s="65"/>
      <c r="EVP28" s="65"/>
      <c r="EVQ28" s="65"/>
      <c r="EVR28" s="65"/>
      <c r="EVS28" s="65"/>
      <c r="EVT28" s="65"/>
      <c r="EVU28" s="65"/>
      <c r="EVV28" s="65"/>
      <c r="EVW28" s="65"/>
      <c r="EVX28" s="65"/>
      <c r="EVY28" s="65"/>
      <c r="EVZ28" s="65"/>
      <c r="EWA28" s="65"/>
      <c r="EWB28" s="65"/>
      <c r="EWC28" s="65"/>
      <c r="EWD28" s="65"/>
      <c r="EWE28" s="65"/>
      <c r="EWF28" s="65"/>
      <c r="EWG28" s="65"/>
      <c r="EWH28" s="65"/>
      <c r="EWI28" s="65"/>
      <c r="EWJ28" s="65"/>
      <c r="EWK28" s="65"/>
      <c r="EWL28" s="65"/>
      <c r="EWM28" s="65"/>
      <c r="EWN28" s="65"/>
      <c r="EWO28" s="65"/>
      <c r="EWP28" s="65"/>
      <c r="EWQ28" s="65"/>
      <c r="EWR28" s="65"/>
      <c r="EWS28" s="65"/>
      <c r="EWT28" s="65"/>
      <c r="EWU28" s="65"/>
      <c r="EWV28" s="65"/>
      <c r="EWW28" s="65"/>
      <c r="EWX28" s="65"/>
      <c r="EWY28" s="65"/>
      <c r="EWZ28" s="65"/>
      <c r="EXA28" s="65"/>
      <c r="EXB28" s="65"/>
      <c r="EXC28" s="65"/>
      <c r="EXD28" s="65"/>
      <c r="EXE28" s="65"/>
      <c r="EXF28" s="65"/>
      <c r="EXG28" s="65"/>
      <c r="EXH28" s="65"/>
      <c r="EXI28" s="65"/>
      <c r="EXJ28" s="65"/>
      <c r="EXK28" s="65"/>
      <c r="EXL28" s="65"/>
      <c r="EXM28" s="65"/>
      <c r="EXN28" s="65"/>
      <c r="EXO28" s="65"/>
      <c r="EXP28" s="65"/>
      <c r="EXQ28" s="65"/>
      <c r="EXR28" s="65"/>
      <c r="EXS28" s="65"/>
      <c r="EXT28" s="65"/>
      <c r="EXU28" s="65"/>
      <c r="EXV28" s="65"/>
      <c r="EXW28" s="65"/>
      <c r="EXX28" s="65"/>
      <c r="EXY28" s="65"/>
      <c r="EXZ28" s="65"/>
      <c r="EYA28" s="65"/>
      <c r="EYB28" s="65"/>
      <c r="EYC28" s="65"/>
      <c r="EYD28" s="65"/>
      <c r="EYE28" s="65"/>
      <c r="EYF28" s="65"/>
      <c r="EYG28" s="65"/>
      <c r="EYH28" s="65"/>
      <c r="EYI28" s="65"/>
      <c r="EYJ28" s="65"/>
      <c r="EYK28" s="65"/>
      <c r="EYL28" s="65"/>
      <c r="EYM28" s="65"/>
      <c r="EYN28" s="65"/>
      <c r="EYO28" s="65"/>
      <c r="EYP28" s="65"/>
      <c r="EYQ28" s="65"/>
      <c r="EYR28" s="65"/>
      <c r="EYS28" s="65"/>
      <c r="EYT28" s="65"/>
      <c r="EYU28" s="65"/>
      <c r="EYV28" s="65"/>
      <c r="EYW28" s="65"/>
      <c r="EYX28" s="65"/>
      <c r="EYY28" s="65"/>
      <c r="EYZ28" s="65"/>
      <c r="EZA28" s="65"/>
      <c r="EZB28" s="65"/>
      <c r="EZC28" s="65"/>
      <c r="EZD28" s="65"/>
      <c r="EZE28" s="65"/>
      <c r="EZF28" s="65"/>
      <c r="EZG28" s="65"/>
      <c r="EZH28" s="65"/>
      <c r="EZI28" s="65"/>
      <c r="EZJ28" s="65"/>
      <c r="EZK28" s="65"/>
      <c r="EZL28" s="65"/>
      <c r="EZM28" s="65"/>
      <c r="EZN28" s="65"/>
      <c r="EZO28" s="65"/>
      <c r="EZP28" s="65"/>
      <c r="EZQ28" s="65"/>
      <c r="EZR28" s="65"/>
      <c r="EZS28" s="65"/>
      <c r="EZT28" s="65"/>
      <c r="EZU28" s="65"/>
      <c r="EZV28" s="65"/>
      <c r="EZW28" s="65"/>
      <c r="EZX28" s="65"/>
      <c r="EZY28" s="65"/>
      <c r="EZZ28" s="65"/>
      <c r="FAA28" s="65"/>
      <c r="FAB28" s="65"/>
      <c r="FAC28" s="65"/>
      <c r="FAD28" s="65"/>
      <c r="FAE28" s="65"/>
      <c r="FAF28" s="65"/>
      <c r="FAG28" s="65"/>
      <c r="FAH28" s="65"/>
      <c r="FAI28" s="65"/>
      <c r="FAJ28" s="65"/>
      <c r="FAK28" s="65"/>
      <c r="FAL28" s="65"/>
      <c r="FAM28" s="65"/>
      <c r="FAN28" s="65"/>
      <c r="FAO28" s="65"/>
      <c r="FAP28" s="65"/>
      <c r="FAQ28" s="65"/>
      <c r="FAR28" s="65"/>
      <c r="FAS28" s="65"/>
      <c r="FAT28" s="65"/>
      <c r="FAU28" s="65"/>
      <c r="FAV28" s="65"/>
      <c r="FAW28" s="65"/>
      <c r="FAX28" s="65"/>
      <c r="FAY28" s="65"/>
      <c r="FAZ28" s="65"/>
      <c r="FBA28" s="65"/>
      <c r="FBB28" s="65"/>
      <c r="FBC28" s="65"/>
      <c r="FBD28" s="65"/>
      <c r="FBE28" s="65"/>
      <c r="FBF28" s="65"/>
      <c r="FBG28" s="65"/>
      <c r="FBH28" s="65"/>
      <c r="FBI28" s="65"/>
      <c r="FBJ28" s="65"/>
      <c r="FBK28" s="65"/>
      <c r="FBL28" s="65"/>
      <c r="FBM28" s="65"/>
      <c r="FBN28" s="65"/>
      <c r="FBO28" s="65"/>
      <c r="FBP28" s="65"/>
      <c r="FBQ28" s="65"/>
      <c r="FBR28" s="65"/>
      <c r="FBS28" s="65"/>
      <c r="FBT28" s="65"/>
      <c r="FBU28" s="65"/>
      <c r="FBV28" s="65"/>
      <c r="FBW28" s="65"/>
      <c r="FBX28" s="65"/>
      <c r="FBY28" s="65"/>
      <c r="FBZ28" s="65"/>
      <c r="FCA28" s="65"/>
      <c r="FCB28" s="65"/>
      <c r="FCC28" s="65"/>
      <c r="FCD28" s="65"/>
      <c r="FCE28" s="65"/>
      <c r="FCF28" s="65"/>
      <c r="FCG28" s="65"/>
      <c r="FCH28" s="65"/>
      <c r="FCI28" s="65"/>
      <c r="FCJ28" s="65"/>
      <c r="FCK28" s="65"/>
      <c r="FCL28" s="65"/>
      <c r="FCM28" s="65"/>
      <c r="FCN28" s="65"/>
      <c r="FCO28" s="65"/>
      <c r="FCP28" s="65"/>
      <c r="FCQ28" s="65"/>
      <c r="FCR28" s="65"/>
      <c r="FCS28" s="65"/>
      <c r="FCT28" s="65"/>
      <c r="FCU28" s="65"/>
      <c r="FCV28" s="65"/>
      <c r="FCW28" s="65"/>
      <c r="FCX28" s="65"/>
      <c r="FCY28" s="65"/>
      <c r="FCZ28" s="65"/>
      <c r="FDA28" s="65"/>
      <c r="FDB28" s="65"/>
      <c r="FDC28" s="65"/>
      <c r="FDD28" s="65"/>
      <c r="FDE28" s="65"/>
      <c r="FDF28" s="65"/>
      <c r="FDG28" s="65"/>
      <c r="FDH28" s="65"/>
      <c r="FDI28" s="65"/>
      <c r="FDJ28" s="65"/>
      <c r="FDK28" s="65"/>
      <c r="FDL28" s="65"/>
      <c r="FDM28" s="65"/>
      <c r="FDN28" s="65"/>
      <c r="FDO28" s="65"/>
      <c r="FDP28" s="65"/>
      <c r="FDQ28" s="65"/>
      <c r="FDR28" s="65"/>
      <c r="FDS28" s="65"/>
      <c r="FDT28" s="65"/>
      <c r="FDU28" s="65"/>
      <c r="FDV28" s="65"/>
      <c r="FDW28" s="65"/>
      <c r="FDX28" s="65"/>
      <c r="FDY28" s="65"/>
      <c r="FDZ28" s="65"/>
      <c r="FEA28" s="65"/>
      <c r="FEB28" s="65"/>
      <c r="FEC28" s="65"/>
      <c r="FED28" s="65"/>
      <c r="FEE28" s="65"/>
      <c r="FEF28" s="65"/>
      <c r="FEG28" s="65"/>
      <c r="FEH28" s="65"/>
      <c r="FEI28" s="65"/>
      <c r="FEJ28" s="65"/>
      <c r="FEK28" s="65"/>
      <c r="FEL28" s="65"/>
      <c r="FEM28" s="65"/>
      <c r="FEN28" s="65"/>
      <c r="FEO28" s="65"/>
      <c r="FEP28" s="65"/>
      <c r="FEQ28" s="65"/>
      <c r="FER28" s="65"/>
      <c r="FES28" s="65"/>
      <c r="FET28" s="65"/>
      <c r="FEU28" s="65"/>
      <c r="FEV28" s="65"/>
      <c r="FEW28" s="65"/>
      <c r="FEX28" s="65"/>
      <c r="FEY28" s="65"/>
      <c r="FEZ28" s="65"/>
      <c r="FFA28" s="65"/>
      <c r="FFB28" s="65"/>
      <c r="FFC28" s="65"/>
      <c r="FFD28" s="65"/>
      <c r="FFE28" s="65"/>
      <c r="FFF28" s="65"/>
      <c r="FFG28" s="65"/>
      <c r="FFH28" s="65"/>
      <c r="FFI28" s="65"/>
      <c r="FFJ28" s="65"/>
      <c r="FFK28" s="65"/>
      <c r="FFL28" s="65"/>
      <c r="FFM28" s="65"/>
      <c r="FFN28" s="65"/>
      <c r="FFO28" s="65"/>
      <c r="FFP28" s="65"/>
      <c r="FFQ28" s="65"/>
      <c r="FFR28" s="65"/>
      <c r="FFS28" s="65"/>
      <c r="FFT28" s="65"/>
      <c r="FFU28" s="65"/>
      <c r="FFV28" s="65"/>
      <c r="FFW28" s="65"/>
      <c r="FFX28" s="65"/>
      <c r="FFY28" s="65"/>
      <c r="FFZ28" s="65"/>
      <c r="FGA28" s="65"/>
      <c r="FGB28" s="65"/>
      <c r="FGC28" s="65"/>
      <c r="FGD28" s="65"/>
      <c r="FGE28" s="65"/>
      <c r="FGF28" s="65"/>
      <c r="FGG28" s="65"/>
      <c r="FGH28" s="65"/>
      <c r="FGI28" s="65"/>
      <c r="FGJ28" s="65"/>
      <c r="FGK28" s="65"/>
      <c r="FGL28" s="65"/>
      <c r="FGM28" s="65"/>
      <c r="FGN28" s="65"/>
      <c r="FGO28" s="65"/>
      <c r="FGP28" s="65"/>
      <c r="FGQ28" s="65"/>
      <c r="FGR28" s="65"/>
      <c r="FGS28" s="65"/>
      <c r="FGT28" s="65"/>
      <c r="FGU28" s="65"/>
      <c r="FGV28" s="65"/>
      <c r="FGW28" s="65"/>
      <c r="FGX28" s="65"/>
      <c r="FGY28" s="65"/>
      <c r="FGZ28" s="65"/>
      <c r="FHA28" s="65"/>
      <c r="FHB28" s="65"/>
      <c r="FHC28" s="65"/>
      <c r="FHD28" s="65"/>
      <c r="FHE28" s="65"/>
      <c r="FHF28" s="65"/>
      <c r="FHG28" s="65"/>
      <c r="FHH28" s="65"/>
      <c r="FHI28" s="65"/>
      <c r="FHJ28" s="65"/>
      <c r="FHK28" s="65"/>
      <c r="FHL28" s="65"/>
      <c r="FHM28" s="65"/>
      <c r="FHN28" s="65"/>
      <c r="FHO28" s="65"/>
      <c r="FHP28" s="65"/>
      <c r="FHQ28" s="65"/>
      <c r="FHR28" s="65"/>
      <c r="FHS28" s="65"/>
      <c r="FHT28" s="65"/>
      <c r="FHU28" s="65"/>
      <c r="FHV28" s="65"/>
      <c r="FHW28" s="65"/>
      <c r="FHX28" s="65"/>
      <c r="FHY28" s="65"/>
      <c r="FHZ28" s="65"/>
      <c r="FIA28" s="65"/>
      <c r="FIB28" s="65"/>
      <c r="FIC28" s="65"/>
      <c r="FID28" s="65"/>
      <c r="FIE28" s="65"/>
      <c r="FIF28" s="65"/>
      <c r="FIG28" s="65"/>
      <c r="FIH28" s="65"/>
      <c r="FII28" s="65"/>
      <c r="FIJ28" s="65"/>
      <c r="FIK28" s="65"/>
      <c r="FIL28" s="65"/>
      <c r="FIM28" s="65"/>
      <c r="FIN28" s="65"/>
      <c r="FIO28" s="65"/>
      <c r="FIP28" s="65"/>
      <c r="FIQ28" s="65"/>
      <c r="FIR28" s="65"/>
      <c r="FIS28" s="65"/>
      <c r="FIT28" s="65"/>
      <c r="FIU28" s="65"/>
      <c r="FIV28" s="65"/>
      <c r="FIW28" s="65"/>
      <c r="FIX28" s="65"/>
      <c r="FIY28" s="65"/>
      <c r="FIZ28" s="65"/>
      <c r="FJA28" s="65"/>
      <c r="FJB28" s="65"/>
      <c r="FJC28" s="65"/>
      <c r="FJD28" s="65"/>
      <c r="FJE28" s="65"/>
      <c r="FJF28" s="65"/>
      <c r="FJG28" s="65"/>
      <c r="FJH28" s="65"/>
      <c r="FJI28" s="65"/>
      <c r="FJJ28" s="65"/>
      <c r="FJK28" s="65"/>
      <c r="FJL28" s="65"/>
      <c r="FJM28" s="65"/>
      <c r="FJN28" s="65"/>
      <c r="FJO28" s="65"/>
      <c r="FJP28" s="65"/>
      <c r="FJQ28" s="65"/>
      <c r="FJR28" s="65"/>
      <c r="FJS28" s="65"/>
      <c r="FJT28" s="65"/>
      <c r="FJU28" s="65"/>
      <c r="FJV28" s="65"/>
      <c r="FJW28" s="65"/>
      <c r="FJX28" s="65"/>
      <c r="FJY28" s="65"/>
      <c r="FJZ28" s="65"/>
      <c r="FKA28" s="65"/>
      <c r="FKB28" s="65"/>
      <c r="FKC28" s="65"/>
      <c r="FKD28" s="65"/>
      <c r="FKE28" s="65"/>
      <c r="FKF28" s="65"/>
      <c r="FKG28" s="65"/>
      <c r="FKH28" s="65"/>
      <c r="FKI28" s="65"/>
      <c r="FKJ28" s="65"/>
      <c r="FKK28" s="65"/>
      <c r="FKL28" s="65"/>
      <c r="FKM28" s="65"/>
      <c r="FKN28" s="65"/>
      <c r="FKO28" s="65"/>
      <c r="FKP28" s="65"/>
      <c r="FKQ28" s="65"/>
      <c r="FKR28" s="65"/>
      <c r="FKS28" s="65"/>
      <c r="FKT28" s="65"/>
      <c r="FKU28" s="65"/>
      <c r="FKV28" s="65"/>
      <c r="FKW28" s="65"/>
      <c r="FKX28" s="65"/>
      <c r="FKY28" s="65"/>
      <c r="FKZ28" s="65"/>
      <c r="FLA28" s="65"/>
      <c r="FLB28" s="65"/>
      <c r="FLC28" s="65"/>
      <c r="FLD28" s="65"/>
      <c r="FLE28" s="65"/>
      <c r="FLF28" s="65"/>
      <c r="FLG28" s="65"/>
      <c r="FLH28" s="65"/>
      <c r="FLI28" s="65"/>
      <c r="FLJ28" s="65"/>
      <c r="FLK28" s="65"/>
      <c r="FLL28" s="65"/>
      <c r="FLM28" s="65"/>
      <c r="FLN28" s="65"/>
      <c r="FLO28" s="65"/>
      <c r="FLP28" s="65"/>
      <c r="FLQ28" s="65"/>
      <c r="FLR28" s="65"/>
      <c r="FLS28" s="65"/>
      <c r="FLT28" s="65"/>
      <c r="FLU28" s="65"/>
      <c r="FLV28" s="65"/>
      <c r="FLW28" s="65"/>
      <c r="FLX28" s="65"/>
      <c r="FLY28" s="65"/>
      <c r="FLZ28" s="65"/>
      <c r="FMA28" s="65"/>
      <c r="FMB28" s="65"/>
      <c r="FMC28" s="65"/>
      <c r="FMD28" s="65"/>
      <c r="FME28" s="65"/>
      <c r="FMF28" s="65"/>
      <c r="FMG28" s="65"/>
      <c r="FMH28" s="65"/>
      <c r="FMI28" s="65"/>
      <c r="FMJ28" s="65"/>
      <c r="FMK28" s="65"/>
      <c r="FML28" s="65"/>
      <c r="FMM28" s="65"/>
      <c r="FMN28" s="65"/>
      <c r="FMO28" s="65"/>
      <c r="FMP28" s="65"/>
      <c r="FMQ28" s="65"/>
      <c r="FMR28" s="65"/>
      <c r="FMS28" s="65"/>
      <c r="FMT28" s="65"/>
      <c r="FMU28" s="65"/>
      <c r="FMV28" s="65"/>
      <c r="FMW28" s="65"/>
      <c r="FMX28" s="65"/>
      <c r="FMY28" s="65"/>
      <c r="FMZ28" s="65"/>
      <c r="FNA28" s="65"/>
      <c r="FNB28" s="65"/>
      <c r="FNC28" s="65"/>
      <c r="FND28" s="65"/>
      <c r="FNE28" s="65"/>
      <c r="FNF28" s="65"/>
      <c r="FNG28" s="65"/>
      <c r="FNH28" s="65"/>
      <c r="FNI28" s="65"/>
      <c r="FNJ28" s="65"/>
      <c r="FNK28" s="65"/>
      <c r="FNL28" s="65"/>
      <c r="FNM28" s="65"/>
      <c r="FNN28" s="65"/>
      <c r="FNO28" s="65"/>
      <c r="FNP28" s="65"/>
      <c r="FNQ28" s="65"/>
      <c r="FNR28" s="65"/>
      <c r="FNS28" s="65"/>
      <c r="FNT28" s="65"/>
      <c r="FNU28" s="65"/>
      <c r="FNV28" s="65"/>
      <c r="FNW28" s="65"/>
      <c r="FNX28" s="65"/>
      <c r="FNY28" s="65"/>
      <c r="FNZ28" s="65"/>
      <c r="FOA28" s="65"/>
      <c r="FOB28" s="65"/>
      <c r="FOC28" s="65"/>
      <c r="FOD28" s="65"/>
      <c r="FOE28" s="65"/>
      <c r="FOF28" s="65"/>
      <c r="FOG28" s="65"/>
      <c r="FOH28" s="65"/>
      <c r="FOI28" s="65"/>
      <c r="FOJ28" s="65"/>
      <c r="FOK28" s="65"/>
      <c r="FOL28" s="65"/>
      <c r="FOM28" s="65"/>
      <c r="FON28" s="65"/>
      <c r="FOO28" s="65"/>
      <c r="FOP28" s="65"/>
      <c r="FOQ28" s="65"/>
      <c r="FOR28" s="65"/>
      <c r="FOS28" s="65"/>
      <c r="FOT28" s="65"/>
      <c r="FOU28" s="65"/>
      <c r="FOV28" s="65"/>
      <c r="FOW28" s="65"/>
      <c r="FOX28" s="65"/>
      <c r="FOY28" s="65"/>
      <c r="FOZ28" s="65"/>
      <c r="FPA28" s="65"/>
      <c r="FPB28" s="65"/>
      <c r="FPC28" s="65"/>
      <c r="FPD28" s="65"/>
      <c r="FPE28" s="65"/>
      <c r="FPF28" s="65"/>
      <c r="FPG28" s="65"/>
      <c r="FPH28" s="65"/>
      <c r="FPI28" s="65"/>
      <c r="FPJ28" s="65"/>
      <c r="FPK28" s="65"/>
      <c r="FPL28" s="65"/>
      <c r="FPM28" s="65"/>
      <c r="FPN28" s="65"/>
      <c r="FPO28" s="65"/>
      <c r="FPP28" s="65"/>
      <c r="FPQ28" s="65"/>
      <c r="FPR28" s="65"/>
      <c r="FPS28" s="65"/>
      <c r="FPT28" s="65"/>
      <c r="FPU28" s="65"/>
      <c r="FPV28" s="65"/>
      <c r="FPW28" s="65"/>
      <c r="FPX28" s="65"/>
      <c r="FPY28" s="65"/>
      <c r="FPZ28" s="65"/>
      <c r="FQA28" s="65"/>
      <c r="FQB28" s="65"/>
      <c r="FQC28" s="65"/>
      <c r="FQD28" s="65"/>
      <c r="FQE28" s="65"/>
      <c r="FQF28" s="65"/>
      <c r="FQG28" s="65"/>
      <c r="FQH28" s="65"/>
      <c r="FQI28" s="65"/>
      <c r="FQJ28" s="65"/>
      <c r="FQK28" s="65"/>
      <c r="FQL28" s="65"/>
      <c r="FQM28" s="65"/>
      <c r="FQN28" s="65"/>
      <c r="FQO28" s="65"/>
      <c r="FQP28" s="65"/>
      <c r="FQQ28" s="65"/>
      <c r="FQR28" s="65"/>
      <c r="FQS28" s="65"/>
      <c r="FQT28" s="65"/>
      <c r="FQU28" s="65"/>
      <c r="FQV28" s="65"/>
      <c r="FQW28" s="65"/>
      <c r="FQX28" s="65"/>
      <c r="FQY28" s="65"/>
      <c r="FQZ28" s="65"/>
      <c r="FRA28" s="65"/>
      <c r="FRB28" s="65"/>
      <c r="FRC28" s="65"/>
      <c r="FRD28" s="65"/>
      <c r="FRE28" s="65"/>
      <c r="FRF28" s="65"/>
      <c r="FRG28" s="65"/>
      <c r="FRH28" s="65"/>
      <c r="FRI28" s="65"/>
      <c r="FRJ28" s="65"/>
      <c r="FRK28" s="65"/>
      <c r="FRL28" s="65"/>
      <c r="FRM28" s="65"/>
      <c r="FRN28" s="65"/>
      <c r="FRO28" s="65"/>
      <c r="FRP28" s="65"/>
      <c r="FRQ28" s="65"/>
      <c r="FRR28" s="65"/>
      <c r="FRS28" s="65"/>
      <c r="FRT28" s="65"/>
      <c r="FRU28" s="65"/>
      <c r="FRV28" s="65"/>
      <c r="FRW28" s="65"/>
      <c r="FRX28" s="65"/>
      <c r="FRY28" s="65"/>
      <c r="FRZ28" s="65"/>
      <c r="FSA28" s="65"/>
      <c r="FSB28" s="65"/>
      <c r="FSC28" s="65"/>
      <c r="FSD28" s="65"/>
      <c r="FSE28" s="65"/>
      <c r="FSF28" s="65"/>
      <c r="FSG28" s="65"/>
      <c r="FSH28" s="65"/>
      <c r="FSI28" s="65"/>
      <c r="FSJ28" s="65"/>
      <c r="FSK28" s="65"/>
      <c r="FSL28" s="65"/>
      <c r="FSM28" s="65"/>
      <c r="FSN28" s="65"/>
      <c r="FSO28" s="65"/>
      <c r="FSP28" s="65"/>
      <c r="FSQ28" s="65"/>
      <c r="FSR28" s="65"/>
      <c r="FSS28" s="65"/>
      <c r="FST28" s="65"/>
      <c r="FSU28" s="65"/>
      <c r="FSV28" s="65"/>
      <c r="FSW28" s="65"/>
      <c r="FSX28" s="65"/>
      <c r="FSY28" s="65"/>
      <c r="FSZ28" s="65"/>
      <c r="FTA28" s="65"/>
      <c r="FTB28" s="65"/>
      <c r="FTC28" s="65"/>
      <c r="FTD28" s="65"/>
      <c r="FTE28" s="65"/>
      <c r="FTF28" s="65"/>
      <c r="FTG28" s="65"/>
      <c r="FTH28" s="65"/>
      <c r="FTI28" s="65"/>
      <c r="FTJ28" s="65"/>
      <c r="FTK28" s="65"/>
      <c r="FTL28" s="65"/>
      <c r="FTM28" s="65"/>
      <c r="FTN28" s="65"/>
      <c r="FTO28" s="65"/>
      <c r="FTP28" s="65"/>
      <c r="FTQ28" s="65"/>
      <c r="FTR28" s="65"/>
      <c r="FTS28" s="65"/>
      <c r="FTT28" s="65"/>
      <c r="FTU28" s="65"/>
      <c r="FTV28" s="65"/>
      <c r="FTW28" s="65"/>
      <c r="FTX28" s="65"/>
      <c r="FTY28" s="65"/>
      <c r="FTZ28" s="65"/>
      <c r="FUA28" s="65"/>
      <c r="FUB28" s="65"/>
      <c r="FUC28" s="65"/>
      <c r="FUD28" s="65"/>
      <c r="FUE28" s="65"/>
      <c r="FUF28" s="65"/>
      <c r="FUG28" s="65"/>
      <c r="FUH28" s="65"/>
      <c r="FUI28" s="65"/>
      <c r="FUJ28" s="65"/>
      <c r="FUK28" s="65"/>
      <c r="FUL28" s="65"/>
      <c r="FUM28" s="65"/>
      <c r="FUN28" s="65"/>
      <c r="FUO28" s="65"/>
      <c r="FUP28" s="65"/>
      <c r="FUQ28" s="65"/>
      <c r="FUR28" s="65"/>
      <c r="FUS28" s="65"/>
      <c r="FUT28" s="65"/>
      <c r="FUU28" s="65"/>
      <c r="FUV28" s="65"/>
      <c r="FUW28" s="65"/>
      <c r="FUX28" s="65"/>
      <c r="FUY28" s="65"/>
      <c r="FUZ28" s="65"/>
      <c r="FVA28" s="65"/>
      <c r="FVB28" s="65"/>
      <c r="FVC28" s="65"/>
      <c r="FVD28" s="65"/>
      <c r="FVE28" s="65"/>
      <c r="FVF28" s="65"/>
      <c r="FVG28" s="65"/>
      <c r="FVH28" s="65"/>
      <c r="FVI28" s="65"/>
      <c r="FVJ28" s="65"/>
      <c r="FVK28" s="65"/>
      <c r="FVL28" s="65"/>
      <c r="FVM28" s="65"/>
      <c r="FVN28" s="65"/>
      <c r="FVO28" s="65"/>
      <c r="FVP28" s="65"/>
      <c r="FVQ28" s="65"/>
      <c r="FVR28" s="65"/>
      <c r="FVS28" s="65"/>
      <c r="FVT28" s="65"/>
      <c r="FVU28" s="65"/>
      <c r="FVV28" s="65"/>
      <c r="FVW28" s="65"/>
      <c r="FVX28" s="65"/>
      <c r="FVY28" s="65"/>
      <c r="FVZ28" s="65"/>
      <c r="FWA28" s="65"/>
      <c r="FWB28" s="65"/>
      <c r="FWC28" s="65"/>
      <c r="FWD28" s="65"/>
      <c r="FWE28" s="65"/>
      <c r="FWF28" s="65"/>
      <c r="FWG28" s="65"/>
      <c r="FWH28" s="65"/>
      <c r="FWI28" s="65"/>
      <c r="FWJ28" s="65"/>
      <c r="FWK28" s="65"/>
      <c r="FWL28" s="65"/>
      <c r="FWM28" s="65"/>
      <c r="FWN28" s="65"/>
      <c r="FWO28" s="65"/>
      <c r="FWP28" s="65"/>
      <c r="FWQ28" s="65"/>
      <c r="FWR28" s="65"/>
      <c r="FWS28" s="65"/>
      <c r="FWT28" s="65"/>
      <c r="FWU28" s="65"/>
      <c r="FWV28" s="65"/>
      <c r="FWW28" s="65"/>
      <c r="FWX28" s="65"/>
      <c r="FWY28" s="65"/>
      <c r="FWZ28" s="65"/>
      <c r="FXA28" s="65"/>
      <c r="FXB28" s="65"/>
      <c r="FXC28" s="65"/>
      <c r="FXD28" s="65"/>
      <c r="FXE28" s="65"/>
      <c r="FXF28" s="65"/>
      <c r="FXG28" s="65"/>
      <c r="FXH28" s="65"/>
      <c r="FXI28" s="65"/>
      <c r="FXJ28" s="65"/>
      <c r="FXK28" s="65"/>
      <c r="FXL28" s="65"/>
      <c r="FXM28" s="65"/>
      <c r="FXN28" s="65"/>
      <c r="FXO28" s="65"/>
      <c r="FXP28" s="65"/>
      <c r="FXQ28" s="65"/>
      <c r="FXR28" s="65"/>
      <c r="FXS28" s="65"/>
      <c r="FXT28" s="65"/>
      <c r="FXU28" s="65"/>
      <c r="FXV28" s="65"/>
      <c r="FXW28" s="65"/>
      <c r="FXX28" s="65"/>
      <c r="FXY28" s="65"/>
      <c r="FXZ28" s="65"/>
      <c r="FYA28" s="65"/>
      <c r="FYB28" s="65"/>
      <c r="FYC28" s="65"/>
      <c r="FYD28" s="65"/>
      <c r="FYE28" s="65"/>
      <c r="FYF28" s="65"/>
      <c r="FYG28" s="65"/>
      <c r="FYH28" s="65"/>
      <c r="FYI28" s="65"/>
      <c r="FYJ28" s="65"/>
      <c r="FYK28" s="65"/>
      <c r="FYL28" s="65"/>
      <c r="FYM28" s="65"/>
      <c r="FYN28" s="65"/>
      <c r="FYO28" s="65"/>
      <c r="FYP28" s="65"/>
      <c r="FYQ28" s="65"/>
      <c r="FYR28" s="65"/>
      <c r="FYS28" s="65"/>
      <c r="FYT28" s="65"/>
      <c r="FYU28" s="65"/>
      <c r="FYV28" s="65"/>
      <c r="FYW28" s="65"/>
      <c r="FYX28" s="65"/>
      <c r="FYY28" s="65"/>
      <c r="FYZ28" s="65"/>
      <c r="FZA28" s="65"/>
      <c r="FZB28" s="65"/>
      <c r="FZC28" s="65"/>
      <c r="FZD28" s="65"/>
      <c r="FZE28" s="65"/>
      <c r="FZF28" s="65"/>
      <c r="FZG28" s="65"/>
      <c r="FZH28" s="65"/>
      <c r="FZI28" s="65"/>
      <c r="FZJ28" s="65"/>
      <c r="FZK28" s="65"/>
      <c r="FZL28" s="65"/>
      <c r="FZM28" s="65"/>
      <c r="FZN28" s="65"/>
      <c r="FZO28" s="65"/>
      <c r="FZP28" s="65"/>
      <c r="FZQ28" s="65"/>
      <c r="FZR28" s="65"/>
      <c r="FZS28" s="65"/>
      <c r="FZT28" s="65"/>
      <c r="FZU28" s="65"/>
      <c r="FZV28" s="65"/>
      <c r="FZW28" s="65"/>
      <c r="FZX28" s="65"/>
      <c r="FZY28" s="65"/>
      <c r="FZZ28" s="65"/>
      <c r="GAA28" s="65"/>
      <c r="GAB28" s="65"/>
      <c r="GAC28" s="65"/>
      <c r="GAD28" s="65"/>
      <c r="GAE28" s="65"/>
      <c r="GAF28" s="65"/>
      <c r="GAG28" s="65"/>
      <c r="GAH28" s="65"/>
      <c r="GAI28" s="65"/>
      <c r="GAJ28" s="65"/>
      <c r="GAK28" s="65"/>
      <c r="GAL28" s="65"/>
      <c r="GAM28" s="65"/>
      <c r="GAN28" s="65"/>
      <c r="GAO28" s="65"/>
      <c r="GAP28" s="65"/>
      <c r="GAQ28" s="65"/>
      <c r="GAR28" s="65"/>
      <c r="GAS28" s="65"/>
      <c r="GAT28" s="65"/>
      <c r="GAU28" s="65"/>
      <c r="GAV28" s="65"/>
      <c r="GAW28" s="65"/>
      <c r="GAX28" s="65"/>
      <c r="GAY28" s="65"/>
      <c r="GAZ28" s="65"/>
      <c r="GBA28" s="65"/>
      <c r="GBB28" s="65"/>
      <c r="GBC28" s="65"/>
      <c r="GBD28" s="65"/>
      <c r="GBE28" s="65"/>
      <c r="GBF28" s="65"/>
      <c r="GBG28" s="65"/>
      <c r="GBH28" s="65"/>
      <c r="GBI28" s="65"/>
      <c r="GBJ28" s="65"/>
      <c r="GBK28" s="65"/>
      <c r="GBL28" s="65"/>
      <c r="GBM28" s="65"/>
      <c r="GBN28" s="65"/>
      <c r="GBO28" s="65"/>
      <c r="GBP28" s="65"/>
      <c r="GBQ28" s="65"/>
      <c r="GBR28" s="65"/>
      <c r="GBS28" s="65"/>
      <c r="GBT28" s="65"/>
      <c r="GBU28" s="65"/>
      <c r="GBV28" s="65"/>
      <c r="GBW28" s="65"/>
      <c r="GBX28" s="65"/>
      <c r="GBY28" s="65"/>
      <c r="GBZ28" s="65"/>
      <c r="GCA28" s="65"/>
      <c r="GCB28" s="65"/>
      <c r="GCC28" s="65"/>
      <c r="GCD28" s="65"/>
      <c r="GCE28" s="65"/>
      <c r="GCF28" s="65"/>
      <c r="GCG28" s="65"/>
      <c r="GCH28" s="65"/>
      <c r="GCI28" s="65"/>
      <c r="GCJ28" s="65"/>
      <c r="GCK28" s="65"/>
      <c r="GCL28" s="65"/>
      <c r="GCM28" s="65"/>
      <c r="GCN28" s="65"/>
      <c r="GCO28" s="65"/>
      <c r="GCP28" s="65"/>
      <c r="GCQ28" s="65"/>
      <c r="GCR28" s="65"/>
      <c r="GCS28" s="65"/>
      <c r="GCT28" s="65"/>
      <c r="GCU28" s="65"/>
      <c r="GCV28" s="65"/>
      <c r="GCW28" s="65"/>
      <c r="GCX28" s="65"/>
      <c r="GCY28" s="65"/>
      <c r="GCZ28" s="65"/>
      <c r="GDA28" s="65"/>
      <c r="GDB28" s="65"/>
      <c r="GDC28" s="65"/>
      <c r="GDD28" s="65"/>
      <c r="GDE28" s="65"/>
      <c r="GDF28" s="65"/>
      <c r="GDG28" s="65"/>
      <c r="GDH28" s="65"/>
      <c r="GDI28" s="65"/>
      <c r="GDJ28" s="65"/>
      <c r="GDK28" s="65"/>
      <c r="GDL28" s="65"/>
      <c r="GDM28" s="65"/>
      <c r="GDN28" s="65"/>
      <c r="GDO28" s="65"/>
      <c r="GDP28" s="65"/>
      <c r="GDQ28" s="65"/>
      <c r="GDR28" s="65"/>
      <c r="GDS28" s="65"/>
      <c r="GDT28" s="65"/>
      <c r="GDU28" s="65"/>
      <c r="GDV28" s="65"/>
      <c r="GDW28" s="65"/>
      <c r="GDX28" s="65"/>
      <c r="GDY28" s="65"/>
      <c r="GDZ28" s="65"/>
      <c r="GEA28" s="65"/>
      <c r="GEB28" s="65"/>
      <c r="GEC28" s="65"/>
      <c r="GED28" s="65"/>
      <c r="GEE28" s="65"/>
      <c r="GEF28" s="65"/>
      <c r="GEG28" s="65"/>
      <c r="GEH28" s="65"/>
      <c r="GEI28" s="65"/>
      <c r="GEJ28" s="65"/>
      <c r="GEK28" s="65"/>
      <c r="GEL28" s="65"/>
      <c r="GEM28" s="65"/>
      <c r="GEN28" s="65"/>
      <c r="GEO28" s="65"/>
      <c r="GEP28" s="65"/>
      <c r="GEQ28" s="65"/>
      <c r="GER28" s="65"/>
      <c r="GES28" s="65"/>
      <c r="GET28" s="65"/>
      <c r="GEU28" s="65"/>
      <c r="GEV28" s="65"/>
      <c r="GEW28" s="65"/>
      <c r="GEX28" s="65"/>
      <c r="GEY28" s="65"/>
      <c r="GEZ28" s="65"/>
      <c r="GFA28" s="65"/>
      <c r="GFB28" s="65"/>
      <c r="GFC28" s="65"/>
      <c r="GFD28" s="65"/>
      <c r="GFE28" s="65"/>
      <c r="GFF28" s="65"/>
      <c r="GFG28" s="65"/>
      <c r="GFH28" s="65"/>
      <c r="GFI28" s="65"/>
      <c r="GFJ28" s="65"/>
      <c r="GFK28" s="65"/>
      <c r="GFL28" s="65"/>
      <c r="GFM28" s="65"/>
      <c r="GFN28" s="65"/>
      <c r="GFO28" s="65"/>
      <c r="GFP28" s="65"/>
      <c r="GFQ28" s="65"/>
      <c r="GFR28" s="65"/>
      <c r="GFS28" s="65"/>
      <c r="GFT28" s="65"/>
      <c r="GFU28" s="65"/>
      <c r="GFV28" s="65"/>
      <c r="GFW28" s="65"/>
      <c r="GFX28" s="65"/>
      <c r="GFY28" s="65"/>
      <c r="GFZ28" s="65"/>
      <c r="GGA28" s="65"/>
      <c r="GGB28" s="65"/>
      <c r="GGC28" s="65"/>
      <c r="GGD28" s="65"/>
      <c r="GGE28" s="65"/>
      <c r="GGF28" s="65"/>
      <c r="GGG28" s="65"/>
      <c r="GGH28" s="65"/>
      <c r="GGI28" s="65"/>
      <c r="GGJ28" s="65"/>
      <c r="GGK28" s="65"/>
      <c r="GGL28" s="65"/>
      <c r="GGM28" s="65"/>
      <c r="GGN28" s="65"/>
      <c r="GGO28" s="65"/>
      <c r="GGP28" s="65"/>
      <c r="GGQ28" s="65"/>
      <c r="GGR28" s="65"/>
      <c r="GGS28" s="65"/>
      <c r="GGT28" s="65"/>
      <c r="GGU28" s="65"/>
      <c r="GGV28" s="65"/>
      <c r="GGW28" s="65"/>
      <c r="GGX28" s="65"/>
      <c r="GGY28" s="65"/>
      <c r="GGZ28" s="65"/>
      <c r="GHA28" s="65"/>
      <c r="GHB28" s="65"/>
      <c r="GHC28" s="65"/>
      <c r="GHD28" s="65"/>
      <c r="GHE28" s="65"/>
      <c r="GHF28" s="65"/>
      <c r="GHG28" s="65"/>
      <c r="GHH28" s="65"/>
      <c r="GHI28" s="65"/>
      <c r="GHJ28" s="65"/>
      <c r="GHK28" s="65"/>
      <c r="GHL28" s="65"/>
      <c r="GHM28" s="65"/>
      <c r="GHN28" s="65"/>
      <c r="GHO28" s="65"/>
      <c r="GHP28" s="65"/>
      <c r="GHQ28" s="65"/>
      <c r="GHR28" s="65"/>
      <c r="GHS28" s="65"/>
      <c r="GHT28" s="65"/>
      <c r="GHU28" s="65"/>
      <c r="GHV28" s="65"/>
      <c r="GHW28" s="65"/>
      <c r="GHX28" s="65"/>
      <c r="GHY28" s="65"/>
      <c r="GHZ28" s="65"/>
      <c r="GIA28" s="65"/>
      <c r="GIB28" s="65"/>
      <c r="GIC28" s="65"/>
      <c r="GID28" s="65"/>
      <c r="GIE28" s="65"/>
      <c r="GIF28" s="65"/>
      <c r="GIG28" s="65"/>
      <c r="GIH28" s="65"/>
      <c r="GII28" s="65"/>
      <c r="GIJ28" s="65"/>
      <c r="GIK28" s="65"/>
      <c r="GIL28" s="65"/>
      <c r="GIM28" s="65"/>
      <c r="GIN28" s="65"/>
      <c r="GIO28" s="65"/>
      <c r="GIP28" s="65"/>
      <c r="GIQ28" s="65"/>
      <c r="GIR28" s="65"/>
      <c r="GIS28" s="65"/>
      <c r="GIT28" s="65"/>
      <c r="GIU28" s="65"/>
      <c r="GIV28" s="65"/>
      <c r="GIW28" s="65"/>
      <c r="GIX28" s="65"/>
      <c r="GIY28" s="65"/>
      <c r="GIZ28" s="65"/>
      <c r="GJA28" s="65"/>
      <c r="GJB28" s="65"/>
      <c r="GJC28" s="65"/>
      <c r="GJD28" s="65"/>
      <c r="GJE28" s="65"/>
      <c r="GJF28" s="65"/>
      <c r="GJG28" s="65"/>
      <c r="GJH28" s="65"/>
      <c r="GJI28" s="65"/>
      <c r="GJJ28" s="65"/>
      <c r="GJK28" s="65"/>
      <c r="GJL28" s="65"/>
      <c r="GJM28" s="65"/>
      <c r="GJN28" s="65"/>
      <c r="GJO28" s="65"/>
      <c r="GJP28" s="65"/>
      <c r="GJQ28" s="65"/>
      <c r="GJR28" s="65"/>
      <c r="GJS28" s="65"/>
      <c r="GJT28" s="65"/>
      <c r="GJU28" s="65"/>
      <c r="GJV28" s="65"/>
      <c r="GJW28" s="65"/>
      <c r="GJX28" s="65"/>
      <c r="GJY28" s="65"/>
      <c r="GJZ28" s="65"/>
      <c r="GKA28" s="65"/>
      <c r="GKB28" s="65"/>
      <c r="GKC28" s="65"/>
      <c r="GKD28" s="65"/>
      <c r="GKE28" s="65"/>
      <c r="GKF28" s="65"/>
      <c r="GKG28" s="65"/>
      <c r="GKH28" s="65"/>
      <c r="GKI28" s="65"/>
      <c r="GKJ28" s="65"/>
      <c r="GKK28" s="65"/>
      <c r="GKL28" s="65"/>
      <c r="GKM28" s="65"/>
      <c r="GKN28" s="65"/>
      <c r="GKO28" s="65"/>
      <c r="GKP28" s="65"/>
      <c r="GKQ28" s="65"/>
      <c r="GKR28" s="65"/>
      <c r="GKS28" s="65"/>
      <c r="GKT28" s="65"/>
      <c r="GKU28" s="65"/>
      <c r="GKV28" s="65"/>
      <c r="GKW28" s="65"/>
      <c r="GKX28" s="65"/>
      <c r="GKY28" s="65"/>
      <c r="GKZ28" s="65"/>
      <c r="GLA28" s="65"/>
      <c r="GLB28" s="65"/>
      <c r="GLC28" s="65"/>
      <c r="GLD28" s="65"/>
      <c r="GLE28" s="65"/>
      <c r="GLF28" s="65"/>
      <c r="GLG28" s="65"/>
      <c r="GLH28" s="65"/>
      <c r="GLI28" s="65"/>
      <c r="GLJ28" s="65"/>
      <c r="GLK28" s="65"/>
      <c r="GLL28" s="65"/>
      <c r="GLM28" s="65"/>
      <c r="GLN28" s="65"/>
      <c r="GLO28" s="65"/>
      <c r="GLP28" s="65"/>
      <c r="GLQ28" s="65"/>
      <c r="GLR28" s="65"/>
      <c r="GLS28" s="65"/>
      <c r="GLT28" s="65"/>
      <c r="GLU28" s="65"/>
      <c r="GLV28" s="65"/>
      <c r="GLW28" s="65"/>
      <c r="GLX28" s="65"/>
      <c r="GLY28" s="65"/>
      <c r="GLZ28" s="65"/>
      <c r="GMA28" s="65"/>
      <c r="GMB28" s="65"/>
      <c r="GMC28" s="65"/>
      <c r="GMD28" s="65"/>
      <c r="GME28" s="65"/>
      <c r="GMF28" s="65"/>
      <c r="GMG28" s="65"/>
      <c r="GMH28" s="65"/>
      <c r="GMI28" s="65"/>
      <c r="GMJ28" s="65"/>
      <c r="GMK28" s="65"/>
      <c r="GML28" s="65"/>
      <c r="GMM28" s="65"/>
      <c r="GMN28" s="65"/>
      <c r="GMO28" s="65"/>
      <c r="GMP28" s="65"/>
      <c r="GMQ28" s="65"/>
      <c r="GMR28" s="65"/>
      <c r="GMS28" s="65"/>
      <c r="GMT28" s="65"/>
      <c r="GMU28" s="65"/>
      <c r="GMV28" s="65"/>
      <c r="GMW28" s="65"/>
      <c r="GMX28" s="65"/>
      <c r="GMY28" s="65"/>
      <c r="GMZ28" s="65"/>
      <c r="GNA28" s="65"/>
      <c r="GNB28" s="65"/>
      <c r="GNC28" s="65"/>
      <c r="GND28" s="65"/>
      <c r="GNE28" s="65"/>
      <c r="GNF28" s="65"/>
      <c r="GNG28" s="65"/>
      <c r="GNH28" s="65"/>
      <c r="GNI28" s="65"/>
      <c r="GNJ28" s="65"/>
      <c r="GNK28" s="65"/>
      <c r="GNL28" s="65"/>
      <c r="GNM28" s="65"/>
      <c r="GNN28" s="65"/>
      <c r="GNO28" s="65"/>
      <c r="GNP28" s="65"/>
      <c r="GNQ28" s="65"/>
      <c r="GNR28" s="65"/>
      <c r="GNS28" s="65"/>
      <c r="GNT28" s="65"/>
      <c r="GNU28" s="65"/>
      <c r="GNV28" s="65"/>
      <c r="GNW28" s="65"/>
      <c r="GNX28" s="65"/>
      <c r="GNY28" s="65"/>
      <c r="GNZ28" s="65"/>
      <c r="GOA28" s="65"/>
      <c r="GOB28" s="65"/>
      <c r="GOC28" s="65"/>
      <c r="GOD28" s="65"/>
      <c r="GOE28" s="65"/>
      <c r="GOF28" s="65"/>
      <c r="GOG28" s="65"/>
      <c r="GOH28" s="65"/>
      <c r="GOI28" s="65"/>
      <c r="GOJ28" s="65"/>
      <c r="GOK28" s="65"/>
      <c r="GOL28" s="65"/>
      <c r="GOM28" s="65"/>
      <c r="GON28" s="65"/>
      <c r="GOO28" s="65"/>
      <c r="GOP28" s="65"/>
      <c r="GOQ28" s="65"/>
      <c r="GOR28" s="65"/>
      <c r="GOS28" s="65"/>
      <c r="GOT28" s="65"/>
      <c r="GOU28" s="65"/>
      <c r="GOV28" s="65"/>
      <c r="GOW28" s="65"/>
      <c r="GOX28" s="65"/>
      <c r="GOY28" s="65"/>
      <c r="GOZ28" s="65"/>
      <c r="GPA28" s="65"/>
      <c r="GPB28" s="65"/>
      <c r="GPC28" s="65"/>
      <c r="GPD28" s="65"/>
      <c r="GPE28" s="65"/>
      <c r="GPF28" s="65"/>
      <c r="GPG28" s="65"/>
      <c r="GPH28" s="65"/>
      <c r="GPI28" s="65"/>
      <c r="GPJ28" s="65"/>
      <c r="GPK28" s="65"/>
      <c r="GPL28" s="65"/>
      <c r="GPM28" s="65"/>
      <c r="GPN28" s="65"/>
      <c r="GPO28" s="65"/>
      <c r="GPP28" s="65"/>
      <c r="GPQ28" s="65"/>
      <c r="GPR28" s="65"/>
      <c r="GPS28" s="65"/>
      <c r="GPT28" s="65"/>
      <c r="GPU28" s="65"/>
      <c r="GPV28" s="65"/>
      <c r="GPW28" s="65"/>
      <c r="GPX28" s="65"/>
      <c r="GPY28" s="65"/>
      <c r="GPZ28" s="65"/>
      <c r="GQA28" s="65"/>
      <c r="GQB28" s="65"/>
      <c r="GQC28" s="65"/>
      <c r="GQD28" s="65"/>
      <c r="GQE28" s="65"/>
      <c r="GQF28" s="65"/>
      <c r="GQG28" s="65"/>
      <c r="GQH28" s="65"/>
      <c r="GQI28" s="65"/>
      <c r="GQJ28" s="65"/>
      <c r="GQK28" s="65"/>
      <c r="GQL28" s="65"/>
      <c r="GQM28" s="65"/>
      <c r="GQN28" s="65"/>
      <c r="GQO28" s="65"/>
      <c r="GQP28" s="65"/>
      <c r="GQQ28" s="65"/>
      <c r="GQR28" s="65"/>
      <c r="GQS28" s="65"/>
      <c r="GQT28" s="65"/>
      <c r="GQU28" s="65"/>
      <c r="GQV28" s="65"/>
      <c r="GQW28" s="65"/>
      <c r="GQX28" s="65"/>
      <c r="GQY28" s="65"/>
      <c r="GQZ28" s="65"/>
      <c r="GRA28" s="65"/>
      <c r="GRB28" s="65"/>
      <c r="GRC28" s="65"/>
      <c r="GRD28" s="65"/>
      <c r="GRE28" s="65"/>
      <c r="GRF28" s="65"/>
      <c r="GRG28" s="65"/>
      <c r="GRH28" s="65"/>
      <c r="GRI28" s="65"/>
      <c r="GRJ28" s="65"/>
      <c r="GRK28" s="65"/>
      <c r="GRL28" s="65"/>
      <c r="GRM28" s="65"/>
      <c r="GRN28" s="65"/>
      <c r="GRO28" s="65"/>
      <c r="GRP28" s="65"/>
      <c r="GRQ28" s="65"/>
      <c r="GRR28" s="65"/>
      <c r="GRS28" s="65"/>
      <c r="GRT28" s="65"/>
      <c r="GRU28" s="65"/>
      <c r="GRV28" s="65"/>
      <c r="GRW28" s="65"/>
      <c r="GRX28" s="65"/>
      <c r="GRY28" s="65"/>
      <c r="GRZ28" s="65"/>
      <c r="GSA28" s="65"/>
      <c r="GSB28" s="65"/>
      <c r="GSC28" s="65"/>
      <c r="GSD28" s="65"/>
      <c r="GSE28" s="65"/>
      <c r="GSF28" s="65"/>
      <c r="GSG28" s="65"/>
      <c r="GSH28" s="65"/>
      <c r="GSI28" s="65"/>
      <c r="GSJ28" s="65"/>
      <c r="GSK28" s="65"/>
      <c r="GSL28" s="65"/>
      <c r="GSM28" s="65"/>
      <c r="GSN28" s="65"/>
      <c r="GSO28" s="65"/>
      <c r="GSP28" s="65"/>
      <c r="GSQ28" s="65"/>
      <c r="GSR28" s="65"/>
      <c r="GSS28" s="65"/>
      <c r="GST28" s="65"/>
      <c r="GSU28" s="65"/>
      <c r="GSV28" s="65"/>
      <c r="GSW28" s="65"/>
      <c r="GSX28" s="65"/>
      <c r="GSY28" s="65"/>
      <c r="GSZ28" s="65"/>
      <c r="GTA28" s="65"/>
      <c r="GTB28" s="65"/>
      <c r="GTC28" s="65"/>
      <c r="GTD28" s="65"/>
      <c r="GTE28" s="65"/>
      <c r="GTF28" s="65"/>
      <c r="GTG28" s="65"/>
      <c r="GTH28" s="65"/>
      <c r="GTI28" s="65"/>
      <c r="GTJ28" s="65"/>
      <c r="GTK28" s="65"/>
      <c r="GTL28" s="65"/>
      <c r="GTM28" s="65"/>
      <c r="GTN28" s="65"/>
      <c r="GTO28" s="65"/>
      <c r="GTP28" s="65"/>
      <c r="GTQ28" s="65"/>
      <c r="GTR28" s="65"/>
      <c r="GTS28" s="65"/>
      <c r="GTT28" s="65"/>
      <c r="GTU28" s="65"/>
      <c r="GTV28" s="65"/>
      <c r="GTW28" s="65"/>
      <c r="GTX28" s="65"/>
      <c r="GTY28" s="65"/>
      <c r="GTZ28" s="65"/>
      <c r="GUA28" s="65"/>
      <c r="GUB28" s="65"/>
      <c r="GUC28" s="65"/>
      <c r="GUD28" s="65"/>
      <c r="GUE28" s="65"/>
      <c r="GUF28" s="65"/>
      <c r="GUG28" s="65"/>
      <c r="GUH28" s="65"/>
      <c r="GUI28" s="65"/>
      <c r="GUJ28" s="65"/>
      <c r="GUK28" s="65"/>
      <c r="GUL28" s="65"/>
      <c r="GUM28" s="65"/>
      <c r="GUN28" s="65"/>
      <c r="GUO28" s="65"/>
      <c r="GUP28" s="65"/>
      <c r="GUQ28" s="65"/>
      <c r="GUR28" s="65"/>
      <c r="GUS28" s="65"/>
      <c r="GUT28" s="65"/>
      <c r="GUU28" s="65"/>
      <c r="GUV28" s="65"/>
      <c r="GUW28" s="65"/>
      <c r="GUX28" s="65"/>
      <c r="GUY28" s="65"/>
      <c r="GUZ28" s="65"/>
      <c r="GVA28" s="65"/>
      <c r="GVB28" s="65"/>
      <c r="GVC28" s="65"/>
      <c r="GVD28" s="65"/>
      <c r="GVE28" s="65"/>
      <c r="GVF28" s="65"/>
      <c r="GVG28" s="65"/>
      <c r="GVH28" s="65"/>
      <c r="GVI28" s="65"/>
      <c r="GVJ28" s="65"/>
      <c r="GVK28" s="65"/>
      <c r="GVL28" s="65"/>
      <c r="GVM28" s="65"/>
      <c r="GVN28" s="65"/>
      <c r="GVO28" s="65"/>
      <c r="GVP28" s="65"/>
      <c r="GVQ28" s="65"/>
      <c r="GVR28" s="65"/>
      <c r="GVS28" s="65"/>
      <c r="GVT28" s="65"/>
      <c r="GVU28" s="65"/>
      <c r="GVV28" s="65"/>
      <c r="GVW28" s="65"/>
      <c r="GVX28" s="65"/>
      <c r="GVY28" s="65"/>
      <c r="GVZ28" s="65"/>
      <c r="GWA28" s="65"/>
      <c r="GWB28" s="65"/>
      <c r="GWC28" s="65"/>
      <c r="GWD28" s="65"/>
      <c r="GWE28" s="65"/>
      <c r="GWF28" s="65"/>
      <c r="GWG28" s="65"/>
      <c r="GWH28" s="65"/>
      <c r="GWI28" s="65"/>
      <c r="GWJ28" s="65"/>
      <c r="GWK28" s="65"/>
      <c r="GWL28" s="65"/>
      <c r="GWM28" s="65"/>
      <c r="GWN28" s="65"/>
      <c r="GWO28" s="65"/>
      <c r="GWP28" s="65"/>
      <c r="GWQ28" s="65"/>
      <c r="GWR28" s="65"/>
      <c r="GWS28" s="65"/>
      <c r="GWT28" s="65"/>
      <c r="GWU28" s="65"/>
      <c r="GWV28" s="65"/>
      <c r="GWW28" s="65"/>
      <c r="GWX28" s="65"/>
      <c r="GWY28" s="65"/>
      <c r="GWZ28" s="65"/>
      <c r="GXA28" s="65"/>
      <c r="GXB28" s="65"/>
      <c r="GXC28" s="65"/>
      <c r="GXD28" s="65"/>
      <c r="GXE28" s="65"/>
      <c r="GXF28" s="65"/>
      <c r="GXG28" s="65"/>
      <c r="GXH28" s="65"/>
      <c r="GXI28" s="65"/>
      <c r="GXJ28" s="65"/>
      <c r="GXK28" s="65"/>
      <c r="GXL28" s="65"/>
      <c r="GXM28" s="65"/>
      <c r="GXN28" s="65"/>
      <c r="GXO28" s="65"/>
      <c r="GXP28" s="65"/>
      <c r="GXQ28" s="65"/>
      <c r="GXR28" s="65"/>
      <c r="GXS28" s="65"/>
      <c r="GXT28" s="65"/>
      <c r="GXU28" s="65"/>
      <c r="GXV28" s="65"/>
      <c r="GXW28" s="65"/>
      <c r="GXX28" s="65"/>
      <c r="GXY28" s="65"/>
      <c r="GXZ28" s="65"/>
      <c r="GYA28" s="65"/>
      <c r="GYB28" s="65"/>
      <c r="GYC28" s="65"/>
      <c r="GYD28" s="65"/>
      <c r="GYE28" s="65"/>
      <c r="GYF28" s="65"/>
      <c r="GYG28" s="65"/>
      <c r="GYH28" s="65"/>
      <c r="GYI28" s="65"/>
      <c r="GYJ28" s="65"/>
      <c r="GYK28" s="65"/>
      <c r="GYL28" s="65"/>
      <c r="GYM28" s="65"/>
      <c r="GYN28" s="65"/>
      <c r="GYO28" s="65"/>
      <c r="GYP28" s="65"/>
      <c r="GYQ28" s="65"/>
      <c r="GYR28" s="65"/>
      <c r="GYS28" s="65"/>
      <c r="GYT28" s="65"/>
      <c r="GYU28" s="65"/>
      <c r="GYV28" s="65"/>
      <c r="GYW28" s="65"/>
      <c r="GYX28" s="65"/>
      <c r="GYY28" s="65"/>
      <c r="GYZ28" s="65"/>
      <c r="GZA28" s="65"/>
      <c r="GZB28" s="65"/>
      <c r="GZC28" s="65"/>
      <c r="GZD28" s="65"/>
      <c r="GZE28" s="65"/>
      <c r="GZF28" s="65"/>
      <c r="GZG28" s="65"/>
      <c r="GZH28" s="65"/>
      <c r="GZI28" s="65"/>
      <c r="GZJ28" s="65"/>
      <c r="GZK28" s="65"/>
      <c r="GZL28" s="65"/>
      <c r="GZM28" s="65"/>
      <c r="GZN28" s="65"/>
      <c r="GZO28" s="65"/>
      <c r="GZP28" s="65"/>
      <c r="GZQ28" s="65"/>
      <c r="GZR28" s="65"/>
      <c r="GZS28" s="65"/>
      <c r="GZT28" s="65"/>
      <c r="GZU28" s="65"/>
      <c r="GZV28" s="65"/>
      <c r="GZW28" s="65"/>
      <c r="GZX28" s="65"/>
      <c r="GZY28" s="65"/>
      <c r="GZZ28" s="65"/>
      <c r="HAA28" s="65"/>
      <c r="HAB28" s="65"/>
      <c r="HAC28" s="65"/>
      <c r="HAD28" s="65"/>
      <c r="HAE28" s="65"/>
      <c r="HAF28" s="65"/>
      <c r="HAG28" s="65"/>
      <c r="HAH28" s="65"/>
      <c r="HAI28" s="65"/>
      <c r="HAJ28" s="65"/>
      <c r="HAK28" s="65"/>
      <c r="HAL28" s="65"/>
      <c r="HAM28" s="65"/>
      <c r="HAN28" s="65"/>
      <c r="HAO28" s="65"/>
      <c r="HAP28" s="65"/>
      <c r="HAQ28" s="65"/>
      <c r="HAR28" s="65"/>
      <c r="HAS28" s="65"/>
      <c r="HAT28" s="65"/>
      <c r="HAU28" s="65"/>
      <c r="HAV28" s="65"/>
      <c r="HAW28" s="65"/>
      <c r="HAX28" s="65"/>
      <c r="HAY28" s="65"/>
      <c r="HAZ28" s="65"/>
      <c r="HBA28" s="65"/>
      <c r="HBB28" s="65"/>
      <c r="HBC28" s="65"/>
      <c r="HBD28" s="65"/>
      <c r="HBE28" s="65"/>
      <c r="HBF28" s="65"/>
      <c r="HBG28" s="65"/>
      <c r="HBH28" s="65"/>
      <c r="HBI28" s="65"/>
      <c r="HBJ28" s="65"/>
      <c r="HBK28" s="65"/>
      <c r="HBL28" s="65"/>
      <c r="HBM28" s="65"/>
      <c r="HBN28" s="65"/>
      <c r="HBO28" s="65"/>
      <c r="HBP28" s="65"/>
      <c r="HBQ28" s="65"/>
      <c r="HBR28" s="65"/>
      <c r="HBS28" s="65"/>
      <c r="HBT28" s="65"/>
      <c r="HBU28" s="65"/>
      <c r="HBV28" s="65"/>
      <c r="HBW28" s="65"/>
      <c r="HBX28" s="65"/>
      <c r="HBY28" s="65"/>
      <c r="HBZ28" s="65"/>
      <c r="HCA28" s="65"/>
      <c r="HCB28" s="65"/>
      <c r="HCC28" s="65"/>
      <c r="HCD28" s="65"/>
      <c r="HCE28" s="65"/>
      <c r="HCF28" s="65"/>
      <c r="HCG28" s="65"/>
      <c r="HCH28" s="65"/>
      <c r="HCI28" s="65"/>
      <c r="HCJ28" s="65"/>
      <c r="HCK28" s="65"/>
      <c r="HCL28" s="65"/>
      <c r="HCM28" s="65"/>
      <c r="HCN28" s="65"/>
      <c r="HCO28" s="65"/>
      <c r="HCP28" s="65"/>
      <c r="HCQ28" s="65"/>
      <c r="HCR28" s="65"/>
      <c r="HCS28" s="65"/>
      <c r="HCT28" s="65"/>
      <c r="HCU28" s="65"/>
      <c r="HCV28" s="65"/>
      <c r="HCW28" s="65"/>
      <c r="HCX28" s="65"/>
      <c r="HCY28" s="65"/>
      <c r="HCZ28" s="65"/>
      <c r="HDA28" s="65"/>
      <c r="HDB28" s="65"/>
      <c r="HDC28" s="65"/>
      <c r="HDD28" s="65"/>
      <c r="HDE28" s="65"/>
      <c r="HDF28" s="65"/>
      <c r="HDG28" s="65"/>
      <c r="HDH28" s="65"/>
      <c r="HDI28" s="65"/>
      <c r="HDJ28" s="65"/>
      <c r="HDK28" s="65"/>
      <c r="HDL28" s="65"/>
      <c r="HDM28" s="65"/>
      <c r="HDN28" s="65"/>
      <c r="HDO28" s="65"/>
      <c r="HDP28" s="65"/>
      <c r="HDQ28" s="65"/>
      <c r="HDR28" s="65"/>
      <c r="HDS28" s="65"/>
      <c r="HDT28" s="65"/>
      <c r="HDU28" s="65"/>
      <c r="HDV28" s="65"/>
      <c r="HDW28" s="65"/>
      <c r="HDX28" s="65"/>
      <c r="HDY28" s="65"/>
      <c r="HDZ28" s="65"/>
      <c r="HEA28" s="65"/>
      <c r="HEB28" s="65"/>
      <c r="HEC28" s="65"/>
      <c r="HED28" s="65"/>
      <c r="HEE28" s="65"/>
      <c r="HEF28" s="65"/>
      <c r="HEG28" s="65"/>
      <c r="HEH28" s="65"/>
      <c r="HEI28" s="65"/>
      <c r="HEJ28" s="65"/>
      <c r="HEK28" s="65"/>
      <c r="HEL28" s="65"/>
      <c r="HEM28" s="65"/>
      <c r="HEN28" s="65"/>
      <c r="HEO28" s="65"/>
      <c r="HEP28" s="65"/>
      <c r="HEQ28" s="65"/>
      <c r="HER28" s="65"/>
      <c r="HES28" s="65"/>
      <c r="HET28" s="65"/>
      <c r="HEU28" s="65"/>
      <c r="HEV28" s="65"/>
      <c r="HEW28" s="65"/>
      <c r="HEX28" s="65"/>
      <c r="HEY28" s="65"/>
      <c r="HEZ28" s="65"/>
      <c r="HFA28" s="65"/>
      <c r="HFB28" s="65"/>
      <c r="HFC28" s="65"/>
      <c r="HFD28" s="65"/>
      <c r="HFE28" s="65"/>
      <c r="HFF28" s="65"/>
      <c r="HFG28" s="65"/>
      <c r="HFH28" s="65"/>
      <c r="HFI28" s="65"/>
      <c r="HFJ28" s="65"/>
      <c r="HFK28" s="65"/>
      <c r="HFL28" s="65"/>
      <c r="HFM28" s="65"/>
      <c r="HFN28" s="65"/>
      <c r="HFO28" s="65"/>
      <c r="HFP28" s="65"/>
      <c r="HFQ28" s="65"/>
      <c r="HFR28" s="65"/>
      <c r="HFS28" s="65"/>
      <c r="HFT28" s="65"/>
      <c r="HFU28" s="65"/>
      <c r="HFV28" s="65"/>
      <c r="HFW28" s="65"/>
      <c r="HFX28" s="65"/>
      <c r="HFY28" s="65"/>
      <c r="HFZ28" s="65"/>
      <c r="HGA28" s="65"/>
      <c r="HGB28" s="65"/>
      <c r="HGC28" s="65"/>
      <c r="HGD28" s="65"/>
      <c r="HGE28" s="65"/>
      <c r="HGF28" s="65"/>
      <c r="HGG28" s="65"/>
      <c r="HGH28" s="65"/>
      <c r="HGI28" s="65"/>
      <c r="HGJ28" s="65"/>
      <c r="HGK28" s="65"/>
      <c r="HGL28" s="65"/>
      <c r="HGM28" s="65"/>
      <c r="HGN28" s="65"/>
      <c r="HGO28" s="65"/>
      <c r="HGP28" s="65"/>
      <c r="HGQ28" s="65"/>
      <c r="HGR28" s="65"/>
      <c r="HGS28" s="65"/>
      <c r="HGT28" s="65"/>
      <c r="HGU28" s="65"/>
      <c r="HGV28" s="65"/>
      <c r="HGW28" s="65"/>
      <c r="HGX28" s="65"/>
      <c r="HGY28" s="65"/>
      <c r="HGZ28" s="65"/>
      <c r="HHA28" s="65"/>
      <c r="HHB28" s="65"/>
      <c r="HHC28" s="65"/>
      <c r="HHD28" s="65"/>
      <c r="HHE28" s="65"/>
      <c r="HHF28" s="65"/>
      <c r="HHG28" s="65"/>
      <c r="HHH28" s="65"/>
      <c r="HHI28" s="65"/>
      <c r="HHJ28" s="65"/>
      <c r="HHK28" s="65"/>
      <c r="HHL28" s="65"/>
      <c r="HHM28" s="65"/>
      <c r="HHN28" s="65"/>
      <c r="HHO28" s="65"/>
      <c r="HHP28" s="65"/>
      <c r="HHQ28" s="65"/>
      <c r="HHR28" s="65"/>
      <c r="HHS28" s="65"/>
      <c r="HHT28" s="65"/>
      <c r="HHU28" s="65"/>
      <c r="HHV28" s="65"/>
      <c r="HHW28" s="65"/>
      <c r="HHX28" s="65"/>
      <c r="HHY28" s="65"/>
      <c r="HHZ28" s="65"/>
      <c r="HIA28" s="65"/>
      <c r="HIB28" s="65"/>
      <c r="HIC28" s="65"/>
      <c r="HID28" s="65"/>
      <c r="HIE28" s="65"/>
      <c r="HIF28" s="65"/>
      <c r="HIG28" s="65"/>
      <c r="HIH28" s="65"/>
      <c r="HII28" s="65"/>
      <c r="HIJ28" s="65"/>
      <c r="HIK28" s="65"/>
      <c r="HIL28" s="65"/>
      <c r="HIM28" s="65"/>
      <c r="HIN28" s="65"/>
      <c r="HIO28" s="65"/>
      <c r="HIP28" s="65"/>
      <c r="HIQ28" s="65"/>
      <c r="HIR28" s="65"/>
      <c r="HIS28" s="65"/>
      <c r="HIT28" s="65"/>
      <c r="HIU28" s="65"/>
      <c r="HIV28" s="65"/>
      <c r="HIW28" s="65"/>
      <c r="HIX28" s="65"/>
      <c r="HIY28" s="65"/>
      <c r="HIZ28" s="65"/>
      <c r="HJA28" s="65"/>
      <c r="HJB28" s="65"/>
      <c r="HJC28" s="65"/>
      <c r="HJD28" s="65"/>
      <c r="HJE28" s="65"/>
      <c r="HJF28" s="65"/>
      <c r="HJG28" s="65"/>
      <c r="HJH28" s="65"/>
      <c r="HJI28" s="65"/>
      <c r="HJJ28" s="65"/>
      <c r="HJK28" s="65"/>
      <c r="HJL28" s="65"/>
      <c r="HJM28" s="65"/>
      <c r="HJN28" s="65"/>
      <c r="HJO28" s="65"/>
      <c r="HJP28" s="65"/>
      <c r="HJQ28" s="65"/>
      <c r="HJR28" s="65"/>
      <c r="HJS28" s="65"/>
      <c r="HJT28" s="65"/>
      <c r="HJU28" s="65"/>
      <c r="HJV28" s="65"/>
      <c r="HJW28" s="65"/>
      <c r="HJX28" s="65"/>
      <c r="HJY28" s="65"/>
      <c r="HJZ28" s="65"/>
      <c r="HKA28" s="65"/>
      <c r="HKB28" s="65"/>
      <c r="HKC28" s="65"/>
      <c r="HKD28" s="65"/>
      <c r="HKE28" s="65"/>
      <c r="HKF28" s="65"/>
      <c r="HKG28" s="65"/>
      <c r="HKH28" s="65"/>
      <c r="HKI28" s="65"/>
      <c r="HKJ28" s="65"/>
      <c r="HKK28" s="65"/>
      <c r="HKL28" s="65"/>
      <c r="HKM28" s="65"/>
      <c r="HKN28" s="65"/>
      <c r="HKO28" s="65"/>
      <c r="HKP28" s="65"/>
      <c r="HKQ28" s="65"/>
      <c r="HKR28" s="65"/>
      <c r="HKS28" s="65"/>
      <c r="HKT28" s="65"/>
      <c r="HKU28" s="65"/>
      <c r="HKV28" s="65"/>
      <c r="HKW28" s="65"/>
      <c r="HKX28" s="65"/>
      <c r="HKY28" s="65"/>
      <c r="HKZ28" s="65"/>
      <c r="HLA28" s="65"/>
      <c r="HLB28" s="65"/>
      <c r="HLC28" s="65"/>
      <c r="HLD28" s="65"/>
      <c r="HLE28" s="65"/>
      <c r="HLF28" s="65"/>
      <c r="HLG28" s="65"/>
      <c r="HLH28" s="65"/>
      <c r="HLI28" s="65"/>
      <c r="HLJ28" s="65"/>
      <c r="HLK28" s="65"/>
      <c r="HLL28" s="65"/>
      <c r="HLM28" s="65"/>
      <c r="HLN28" s="65"/>
      <c r="HLO28" s="65"/>
      <c r="HLP28" s="65"/>
      <c r="HLQ28" s="65"/>
      <c r="HLR28" s="65"/>
      <c r="HLS28" s="65"/>
      <c r="HLT28" s="65"/>
      <c r="HLU28" s="65"/>
      <c r="HLV28" s="65"/>
      <c r="HLW28" s="65"/>
      <c r="HLX28" s="65"/>
      <c r="HLY28" s="65"/>
      <c r="HLZ28" s="65"/>
      <c r="HMA28" s="65"/>
      <c r="HMB28" s="65"/>
      <c r="HMC28" s="65"/>
      <c r="HMD28" s="65"/>
      <c r="HME28" s="65"/>
      <c r="HMF28" s="65"/>
      <c r="HMG28" s="65"/>
      <c r="HMH28" s="65"/>
      <c r="HMI28" s="65"/>
      <c r="HMJ28" s="65"/>
      <c r="HMK28" s="65"/>
      <c r="HML28" s="65"/>
      <c r="HMM28" s="65"/>
      <c r="HMN28" s="65"/>
      <c r="HMO28" s="65"/>
      <c r="HMP28" s="65"/>
      <c r="HMQ28" s="65"/>
      <c r="HMR28" s="65"/>
      <c r="HMS28" s="65"/>
      <c r="HMT28" s="65"/>
      <c r="HMU28" s="65"/>
      <c r="HMV28" s="65"/>
      <c r="HMW28" s="65"/>
      <c r="HMX28" s="65"/>
      <c r="HMY28" s="65"/>
      <c r="HMZ28" s="65"/>
      <c r="HNA28" s="65"/>
      <c r="HNB28" s="65"/>
      <c r="HNC28" s="65"/>
      <c r="HND28" s="65"/>
      <c r="HNE28" s="65"/>
      <c r="HNF28" s="65"/>
      <c r="HNG28" s="65"/>
      <c r="HNH28" s="65"/>
      <c r="HNI28" s="65"/>
      <c r="HNJ28" s="65"/>
      <c r="HNK28" s="65"/>
      <c r="HNL28" s="65"/>
      <c r="HNM28" s="65"/>
      <c r="HNN28" s="65"/>
      <c r="HNO28" s="65"/>
      <c r="HNP28" s="65"/>
      <c r="HNQ28" s="65"/>
      <c r="HNR28" s="65"/>
      <c r="HNS28" s="65"/>
      <c r="HNT28" s="65"/>
      <c r="HNU28" s="65"/>
      <c r="HNV28" s="65"/>
      <c r="HNW28" s="65"/>
      <c r="HNX28" s="65"/>
      <c r="HNY28" s="65"/>
      <c r="HNZ28" s="65"/>
      <c r="HOA28" s="65"/>
      <c r="HOB28" s="65"/>
      <c r="HOC28" s="65"/>
      <c r="HOD28" s="65"/>
      <c r="HOE28" s="65"/>
      <c r="HOF28" s="65"/>
      <c r="HOG28" s="65"/>
      <c r="HOH28" s="65"/>
      <c r="HOI28" s="65"/>
      <c r="HOJ28" s="65"/>
      <c r="HOK28" s="65"/>
      <c r="HOL28" s="65"/>
      <c r="HOM28" s="65"/>
      <c r="HON28" s="65"/>
      <c r="HOO28" s="65"/>
      <c r="HOP28" s="65"/>
      <c r="HOQ28" s="65"/>
      <c r="HOR28" s="65"/>
      <c r="HOS28" s="65"/>
      <c r="HOT28" s="65"/>
      <c r="HOU28" s="65"/>
      <c r="HOV28" s="65"/>
      <c r="HOW28" s="65"/>
      <c r="HOX28" s="65"/>
      <c r="HOY28" s="65"/>
      <c r="HOZ28" s="65"/>
      <c r="HPA28" s="65"/>
      <c r="HPB28" s="65"/>
      <c r="HPC28" s="65"/>
      <c r="HPD28" s="65"/>
      <c r="HPE28" s="65"/>
      <c r="HPF28" s="65"/>
      <c r="HPG28" s="65"/>
      <c r="HPH28" s="65"/>
      <c r="HPI28" s="65"/>
      <c r="HPJ28" s="65"/>
      <c r="HPK28" s="65"/>
      <c r="HPL28" s="65"/>
      <c r="HPM28" s="65"/>
      <c r="HPN28" s="65"/>
      <c r="HPO28" s="65"/>
      <c r="HPP28" s="65"/>
      <c r="HPQ28" s="65"/>
      <c r="HPR28" s="65"/>
      <c r="HPS28" s="65"/>
      <c r="HPT28" s="65"/>
      <c r="HPU28" s="65"/>
      <c r="HPV28" s="65"/>
      <c r="HPW28" s="65"/>
      <c r="HPX28" s="65"/>
      <c r="HPY28" s="65"/>
      <c r="HPZ28" s="65"/>
      <c r="HQA28" s="65"/>
      <c r="HQB28" s="65"/>
      <c r="HQC28" s="65"/>
      <c r="HQD28" s="65"/>
      <c r="HQE28" s="65"/>
      <c r="HQF28" s="65"/>
      <c r="HQG28" s="65"/>
      <c r="HQH28" s="65"/>
      <c r="HQI28" s="65"/>
      <c r="HQJ28" s="65"/>
      <c r="HQK28" s="65"/>
      <c r="HQL28" s="65"/>
      <c r="HQM28" s="65"/>
      <c r="HQN28" s="65"/>
      <c r="HQO28" s="65"/>
      <c r="HQP28" s="65"/>
      <c r="HQQ28" s="65"/>
      <c r="HQR28" s="65"/>
      <c r="HQS28" s="65"/>
      <c r="HQT28" s="65"/>
      <c r="HQU28" s="65"/>
      <c r="HQV28" s="65"/>
      <c r="HQW28" s="65"/>
      <c r="HQX28" s="65"/>
      <c r="HQY28" s="65"/>
      <c r="HQZ28" s="65"/>
      <c r="HRA28" s="65"/>
      <c r="HRB28" s="65"/>
      <c r="HRC28" s="65"/>
      <c r="HRD28" s="65"/>
      <c r="HRE28" s="65"/>
      <c r="HRF28" s="65"/>
      <c r="HRG28" s="65"/>
      <c r="HRH28" s="65"/>
      <c r="HRI28" s="65"/>
      <c r="HRJ28" s="65"/>
      <c r="HRK28" s="65"/>
      <c r="HRL28" s="65"/>
      <c r="HRM28" s="65"/>
      <c r="HRN28" s="65"/>
      <c r="HRO28" s="65"/>
      <c r="HRP28" s="65"/>
      <c r="HRQ28" s="65"/>
      <c r="HRR28" s="65"/>
      <c r="HRS28" s="65"/>
      <c r="HRT28" s="65"/>
      <c r="HRU28" s="65"/>
      <c r="HRV28" s="65"/>
      <c r="HRW28" s="65"/>
      <c r="HRX28" s="65"/>
      <c r="HRY28" s="65"/>
      <c r="HRZ28" s="65"/>
      <c r="HSA28" s="65"/>
      <c r="HSB28" s="65"/>
      <c r="HSC28" s="65"/>
      <c r="HSD28" s="65"/>
      <c r="HSE28" s="65"/>
      <c r="HSF28" s="65"/>
      <c r="HSG28" s="65"/>
      <c r="HSH28" s="65"/>
      <c r="HSI28" s="65"/>
      <c r="HSJ28" s="65"/>
      <c r="HSK28" s="65"/>
      <c r="HSL28" s="65"/>
      <c r="HSM28" s="65"/>
      <c r="HSN28" s="65"/>
      <c r="HSO28" s="65"/>
      <c r="HSP28" s="65"/>
      <c r="HSQ28" s="65"/>
      <c r="HSR28" s="65"/>
      <c r="HSS28" s="65"/>
      <c r="HST28" s="65"/>
      <c r="HSU28" s="65"/>
      <c r="HSV28" s="65"/>
      <c r="HSW28" s="65"/>
      <c r="HSX28" s="65"/>
      <c r="HSY28" s="65"/>
      <c r="HSZ28" s="65"/>
      <c r="HTA28" s="65"/>
      <c r="HTB28" s="65"/>
      <c r="HTC28" s="65"/>
      <c r="HTD28" s="65"/>
      <c r="HTE28" s="65"/>
      <c r="HTF28" s="65"/>
      <c r="HTG28" s="65"/>
      <c r="HTH28" s="65"/>
      <c r="HTI28" s="65"/>
      <c r="HTJ28" s="65"/>
      <c r="HTK28" s="65"/>
      <c r="HTL28" s="65"/>
      <c r="HTM28" s="65"/>
      <c r="HTN28" s="65"/>
      <c r="HTO28" s="65"/>
      <c r="HTP28" s="65"/>
      <c r="HTQ28" s="65"/>
      <c r="HTR28" s="65"/>
      <c r="HTS28" s="65"/>
      <c r="HTT28" s="65"/>
      <c r="HTU28" s="65"/>
      <c r="HTV28" s="65"/>
      <c r="HTW28" s="65"/>
      <c r="HTX28" s="65"/>
      <c r="HTY28" s="65"/>
      <c r="HTZ28" s="65"/>
      <c r="HUA28" s="65"/>
      <c r="HUB28" s="65"/>
      <c r="HUC28" s="65"/>
      <c r="HUD28" s="65"/>
      <c r="HUE28" s="65"/>
      <c r="HUF28" s="65"/>
      <c r="HUG28" s="65"/>
      <c r="HUH28" s="65"/>
      <c r="HUI28" s="65"/>
      <c r="HUJ28" s="65"/>
      <c r="HUK28" s="65"/>
      <c r="HUL28" s="65"/>
      <c r="HUM28" s="65"/>
      <c r="HUN28" s="65"/>
      <c r="HUO28" s="65"/>
      <c r="HUP28" s="65"/>
      <c r="HUQ28" s="65"/>
      <c r="HUR28" s="65"/>
      <c r="HUS28" s="65"/>
      <c r="HUT28" s="65"/>
      <c r="HUU28" s="65"/>
      <c r="HUV28" s="65"/>
      <c r="HUW28" s="65"/>
      <c r="HUX28" s="65"/>
      <c r="HUY28" s="65"/>
      <c r="HUZ28" s="65"/>
      <c r="HVA28" s="65"/>
      <c r="HVB28" s="65"/>
      <c r="HVC28" s="65"/>
      <c r="HVD28" s="65"/>
      <c r="HVE28" s="65"/>
      <c r="HVF28" s="65"/>
      <c r="HVG28" s="65"/>
      <c r="HVH28" s="65"/>
      <c r="HVI28" s="65"/>
      <c r="HVJ28" s="65"/>
      <c r="HVK28" s="65"/>
      <c r="HVL28" s="65"/>
      <c r="HVM28" s="65"/>
      <c r="HVN28" s="65"/>
      <c r="HVO28" s="65"/>
      <c r="HVP28" s="65"/>
      <c r="HVQ28" s="65"/>
      <c r="HVR28" s="65"/>
      <c r="HVS28" s="65"/>
      <c r="HVT28" s="65"/>
      <c r="HVU28" s="65"/>
      <c r="HVV28" s="65"/>
      <c r="HVW28" s="65"/>
      <c r="HVX28" s="65"/>
      <c r="HVY28" s="65"/>
      <c r="HVZ28" s="65"/>
      <c r="HWA28" s="65"/>
      <c r="HWB28" s="65"/>
      <c r="HWC28" s="65"/>
      <c r="HWD28" s="65"/>
      <c r="HWE28" s="65"/>
      <c r="HWF28" s="65"/>
      <c r="HWG28" s="65"/>
      <c r="HWH28" s="65"/>
      <c r="HWI28" s="65"/>
      <c r="HWJ28" s="65"/>
      <c r="HWK28" s="65"/>
      <c r="HWL28" s="65"/>
      <c r="HWM28" s="65"/>
      <c r="HWN28" s="65"/>
      <c r="HWO28" s="65"/>
      <c r="HWP28" s="65"/>
      <c r="HWQ28" s="65"/>
      <c r="HWR28" s="65"/>
      <c r="HWS28" s="65"/>
      <c r="HWT28" s="65"/>
      <c r="HWU28" s="65"/>
      <c r="HWV28" s="65"/>
      <c r="HWW28" s="65"/>
      <c r="HWX28" s="65"/>
      <c r="HWY28" s="65"/>
      <c r="HWZ28" s="65"/>
      <c r="HXA28" s="65"/>
      <c r="HXB28" s="65"/>
      <c r="HXC28" s="65"/>
      <c r="HXD28" s="65"/>
      <c r="HXE28" s="65"/>
      <c r="HXF28" s="65"/>
      <c r="HXG28" s="65"/>
      <c r="HXH28" s="65"/>
      <c r="HXI28" s="65"/>
      <c r="HXJ28" s="65"/>
      <c r="HXK28" s="65"/>
      <c r="HXL28" s="65"/>
      <c r="HXM28" s="65"/>
      <c r="HXN28" s="65"/>
      <c r="HXO28" s="65"/>
      <c r="HXP28" s="65"/>
      <c r="HXQ28" s="65"/>
      <c r="HXR28" s="65"/>
      <c r="HXS28" s="65"/>
      <c r="HXT28" s="65"/>
      <c r="HXU28" s="65"/>
      <c r="HXV28" s="65"/>
      <c r="HXW28" s="65"/>
      <c r="HXX28" s="65"/>
      <c r="HXY28" s="65"/>
      <c r="HXZ28" s="65"/>
      <c r="HYA28" s="65"/>
      <c r="HYB28" s="65"/>
      <c r="HYC28" s="65"/>
      <c r="HYD28" s="65"/>
      <c r="HYE28" s="65"/>
      <c r="HYF28" s="65"/>
      <c r="HYG28" s="65"/>
      <c r="HYH28" s="65"/>
      <c r="HYI28" s="65"/>
      <c r="HYJ28" s="65"/>
      <c r="HYK28" s="65"/>
      <c r="HYL28" s="65"/>
      <c r="HYM28" s="65"/>
      <c r="HYN28" s="65"/>
      <c r="HYO28" s="65"/>
      <c r="HYP28" s="65"/>
      <c r="HYQ28" s="65"/>
      <c r="HYR28" s="65"/>
      <c r="HYS28" s="65"/>
      <c r="HYT28" s="65"/>
      <c r="HYU28" s="65"/>
      <c r="HYV28" s="65"/>
      <c r="HYW28" s="65"/>
      <c r="HYX28" s="65"/>
      <c r="HYY28" s="65"/>
      <c r="HYZ28" s="65"/>
      <c r="HZA28" s="65"/>
      <c r="HZB28" s="65"/>
      <c r="HZC28" s="65"/>
      <c r="HZD28" s="65"/>
      <c r="HZE28" s="65"/>
      <c r="HZF28" s="65"/>
      <c r="HZG28" s="65"/>
      <c r="HZH28" s="65"/>
      <c r="HZI28" s="65"/>
      <c r="HZJ28" s="65"/>
      <c r="HZK28" s="65"/>
      <c r="HZL28" s="65"/>
      <c r="HZM28" s="65"/>
      <c r="HZN28" s="65"/>
      <c r="HZO28" s="65"/>
      <c r="HZP28" s="65"/>
      <c r="HZQ28" s="65"/>
      <c r="HZR28" s="65"/>
      <c r="HZS28" s="65"/>
      <c r="HZT28" s="65"/>
      <c r="HZU28" s="65"/>
      <c r="HZV28" s="65"/>
      <c r="HZW28" s="65"/>
      <c r="HZX28" s="65"/>
      <c r="HZY28" s="65"/>
      <c r="HZZ28" s="65"/>
      <c r="IAA28" s="65"/>
      <c r="IAB28" s="65"/>
      <c r="IAC28" s="65"/>
      <c r="IAD28" s="65"/>
      <c r="IAE28" s="65"/>
      <c r="IAF28" s="65"/>
      <c r="IAG28" s="65"/>
      <c r="IAH28" s="65"/>
      <c r="IAI28" s="65"/>
      <c r="IAJ28" s="65"/>
      <c r="IAK28" s="65"/>
      <c r="IAL28" s="65"/>
      <c r="IAM28" s="65"/>
      <c r="IAN28" s="65"/>
      <c r="IAO28" s="65"/>
      <c r="IAP28" s="65"/>
      <c r="IAQ28" s="65"/>
      <c r="IAR28" s="65"/>
      <c r="IAS28" s="65"/>
      <c r="IAT28" s="65"/>
      <c r="IAU28" s="65"/>
      <c r="IAV28" s="65"/>
      <c r="IAW28" s="65"/>
      <c r="IAX28" s="65"/>
      <c r="IAY28" s="65"/>
      <c r="IAZ28" s="65"/>
      <c r="IBA28" s="65"/>
      <c r="IBB28" s="65"/>
      <c r="IBC28" s="65"/>
      <c r="IBD28" s="65"/>
      <c r="IBE28" s="65"/>
      <c r="IBF28" s="65"/>
      <c r="IBG28" s="65"/>
      <c r="IBH28" s="65"/>
      <c r="IBI28" s="65"/>
      <c r="IBJ28" s="65"/>
      <c r="IBK28" s="65"/>
      <c r="IBL28" s="65"/>
      <c r="IBM28" s="65"/>
      <c r="IBN28" s="65"/>
      <c r="IBO28" s="65"/>
      <c r="IBP28" s="65"/>
      <c r="IBQ28" s="65"/>
      <c r="IBR28" s="65"/>
      <c r="IBS28" s="65"/>
      <c r="IBT28" s="65"/>
      <c r="IBU28" s="65"/>
      <c r="IBV28" s="65"/>
      <c r="IBW28" s="65"/>
      <c r="IBX28" s="65"/>
      <c r="IBY28" s="65"/>
      <c r="IBZ28" s="65"/>
      <c r="ICA28" s="65"/>
      <c r="ICB28" s="65"/>
      <c r="ICC28" s="65"/>
      <c r="ICD28" s="65"/>
      <c r="ICE28" s="65"/>
      <c r="ICF28" s="65"/>
      <c r="ICG28" s="65"/>
      <c r="ICH28" s="65"/>
      <c r="ICI28" s="65"/>
      <c r="ICJ28" s="65"/>
      <c r="ICK28" s="65"/>
      <c r="ICL28" s="65"/>
      <c r="ICM28" s="65"/>
      <c r="ICN28" s="65"/>
      <c r="ICO28" s="65"/>
      <c r="ICP28" s="65"/>
      <c r="ICQ28" s="65"/>
      <c r="ICR28" s="65"/>
      <c r="ICS28" s="65"/>
      <c r="ICT28" s="65"/>
      <c r="ICU28" s="65"/>
      <c r="ICV28" s="65"/>
      <c r="ICW28" s="65"/>
      <c r="ICX28" s="65"/>
      <c r="ICY28" s="65"/>
      <c r="ICZ28" s="65"/>
      <c r="IDA28" s="65"/>
      <c r="IDB28" s="65"/>
      <c r="IDC28" s="65"/>
      <c r="IDD28" s="65"/>
      <c r="IDE28" s="65"/>
      <c r="IDF28" s="65"/>
      <c r="IDG28" s="65"/>
      <c r="IDH28" s="65"/>
      <c r="IDI28" s="65"/>
      <c r="IDJ28" s="65"/>
      <c r="IDK28" s="65"/>
      <c r="IDL28" s="65"/>
      <c r="IDM28" s="65"/>
      <c r="IDN28" s="65"/>
      <c r="IDO28" s="65"/>
      <c r="IDP28" s="65"/>
      <c r="IDQ28" s="65"/>
      <c r="IDR28" s="65"/>
      <c r="IDS28" s="65"/>
      <c r="IDT28" s="65"/>
      <c r="IDU28" s="65"/>
      <c r="IDV28" s="65"/>
      <c r="IDW28" s="65"/>
      <c r="IDX28" s="65"/>
      <c r="IDY28" s="65"/>
      <c r="IDZ28" s="65"/>
      <c r="IEA28" s="65"/>
      <c r="IEB28" s="65"/>
      <c r="IEC28" s="65"/>
      <c r="IED28" s="65"/>
      <c r="IEE28" s="65"/>
      <c r="IEF28" s="65"/>
      <c r="IEG28" s="65"/>
      <c r="IEH28" s="65"/>
      <c r="IEI28" s="65"/>
      <c r="IEJ28" s="65"/>
      <c r="IEK28" s="65"/>
      <c r="IEL28" s="65"/>
      <c r="IEM28" s="65"/>
      <c r="IEN28" s="65"/>
      <c r="IEO28" s="65"/>
      <c r="IEP28" s="65"/>
      <c r="IEQ28" s="65"/>
      <c r="IER28" s="65"/>
      <c r="IES28" s="65"/>
      <c r="IET28" s="65"/>
      <c r="IEU28" s="65"/>
      <c r="IEV28" s="65"/>
      <c r="IEW28" s="65"/>
      <c r="IEX28" s="65"/>
      <c r="IEY28" s="65"/>
      <c r="IEZ28" s="65"/>
      <c r="IFA28" s="65"/>
      <c r="IFB28" s="65"/>
      <c r="IFC28" s="65"/>
      <c r="IFD28" s="65"/>
      <c r="IFE28" s="65"/>
      <c r="IFF28" s="65"/>
      <c r="IFG28" s="65"/>
      <c r="IFH28" s="65"/>
      <c r="IFI28" s="65"/>
      <c r="IFJ28" s="65"/>
      <c r="IFK28" s="65"/>
      <c r="IFL28" s="65"/>
      <c r="IFM28" s="65"/>
      <c r="IFN28" s="65"/>
      <c r="IFO28" s="65"/>
      <c r="IFP28" s="65"/>
      <c r="IFQ28" s="65"/>
      <c r="IFR28" s="65"/>
      <c r="IFS28" s="65"/>
      <c r="IFT28" s="65"/>
      <c r="IFU28" s="65"/>
      <c r="IFV28" s="65"/>
      <c r="IFW28" s="65"/>
      <c r="IFX28" s="65"/>
      <c r="IFY28" s="65"/>
      <c r="IFZ28" s="65"/>
      <c r="IGA28" s="65"/>
      <c r="IGB28" s="65"/>
      <c r="IGC28" s="65"/>
      <c r="IGD28" s="65"/>
      <c r="IGE28" s="65"/>
      <c r="IGF28" s="65"/>
      <c r="IGG28" s="65"/>
      <c r="IGH28" s="65"/>
      <c r="IGI28" s="65"/>
      <c r="IGJ28" s="65"/>
      <c r="IGK28" s="65"/>
      <c r="IGL28" s="65"/>
      <c r="IGM28" s="65"/>
      <c r="IGN28" s="65"/>
      <c r="IGO28" s="65"/>
      <c r="IGP28" s="65"/>
      <c r="IGQ28" s="65"/>
      <c r="IGR28" s="65"/>
      <c r="IGS28" s="65"/>
      <c r="IGT28" s="65"/>
      <c r="IGU28" s="65"/>
      <c r="IGV28" s="65"/>
      <c r="IGW28" s="65"/>
      <c r="IGX28" s="65"/>
      <c r="IGY28" s="65"/>
      <c r="IGZ28" s="65"/>
      <c r="IHA28" s="65"/>
      <c r="IHB28" s="65"/>
      <c r="IHC28" s="65"/>
      <c r="IHD28" s="65"/>
      <c r="IHE28" s="65"/>
      <c r="IHF28" s="65"/>
      <c r="IHG28" s="65"/>
      <c r="IHH28" s="65"/>
      <c r="IHI28" s="65"/>
      <c r="IHJ28" s="65"/>
      <c r="IHK28" s="65"/>
      <c r="IHL28" s="65"/>
      <c r="IHM28" s="65"/>
      <c r="IHN28" s="65"/>
      <c r="IHO28" s="65"/>
      <c r="IHP28" s="65"/>
      <c r="IHQ28" s="65"/>
      <c r="IHR28" s="65"/>
      <c r="IHS28" s="65"/>
      <c r="IHT28" s="65"/>
      <c r="IHU28" s="65"/>
      <c r="IHV28" s="65"/>
      <c r="IHW28" s="65"/>
      <c r="IHX28" s="65"/>
      <c r="IHY28" s="65"/>
      <c r="IHZ28" s="65"/>
      <c r="IIA28" s="65"/>
      <c r="IIB28" s="65"/>
      <c r="IIC28" s="65"/>
      <c r="IID28" s="65"/>
      <c r="IIE28" s="65"/>
      <c r="IIF28" s="65"/>
      <c r="IIG28" s="65"/>
      <c r="IIH28" s="65"/>
      <c r="III28" s="65"/>
      <c r="IIJ28" s="65"/>
      <c r="IIK28" s="65"/>
      <c r="IIL28" s="65"/>
      <c r="IIM28" s="65"/>
      <c r="IIN28" s="65"/>
      <c r="IIO28" s="65"/>
      <c r="IIP28" s="65"/>
      <c r="IIQ28" s="65"/>
      <c r="IIR28" s="65"/>
      <c r="IIS28" s="65"/>
      <c r="IIT28" s="65"/>
      <c r="IIU28" s="65"/>
      <c r="IIV28" s="65"/>
      <c r="IIW28" s="65"/>
      <c r="IIX28" s="65"/>
      <c r="IIY28" s="65"/>
      <c r="IIZ28" s="65"/>
      <c r="IJA28" s="65"/>
      <c r="IJB28" s="65"/>
      <c r="IJC28" s="65"/>
      <c r="IJD28" s="65"/>
      <c r="IJE28" s="65"/>
      <c r="IJF28" s="65"/>
      <c r="IJG28" s="65"/>
      <c r="IJH28" s="65"/>
      <c r="IJI28" s="65"/>
      <c r="IJJ28" s="65"/>
      <c r="IJK28" s="65"/>
      <c r="IJL28" s="65"/>
      <c r="IJM28" s="65"/>
      <c r="IJN28" s="65"/>
      <c r="IJO28" s="65"/>
      <c r="IJP28" s="65"/>
      <c r="IJQ28" s="65"/>
      <c r="IJR28" s="65"/>
      <c r="IJS28" s="65"/>
      <c r="IJT28" s="65"/>
      <c r="IJU28" s="65"/>
      <c r="IJV28" s="65"/>
      <c r="IJW28" s="65"/>
      <c r="IJX28" s="65"/>
      <c r="IJY28" s="65"/>
      <c r="IJZ28" s="65"/>
      <c r="IKA28" s="65"/>
      <c r="IKB28" s="65"/>
      <c r="IKC28" s="65"/>
      <c r="IKD28" s="65"/>
      <c r="IKE28" s="65"/>
      <c r="IKF28" s="65"/>
      <c r="IKG28" s="65"/>
      <c r="IKH28" s="65"/>
      <c r="IKI28" s="65"/>
      <c r="IKJ28" s="65"/>
      <c r="IKK28" s="65"/>
      <c r="IKL28" s="65"/>
      <c r="IKM28" s="65"/>
      <c r="IKN28" s="65"/>
      <c r="IKO28" s="65"/>
      <c r="IKP28" s="65"/>
      <c r="IKQ28" s="65"/>
      <c r="IKR28" s="65"/>
      <c r="IKS28" s="65"/>
      <c r="IKT28" s="65"/>
      <c r="IKU28" s="65"/>
      <c r="IKV28" s="65"/>
      <c r="IKW28" s="65"/>
      <c r="IKX28" s="65"/>
      <c r="IKY28" s="65"/>
      <c r="IKZ28" s="65"/>
      <c r="ILA28" s="65"/>
      <c r="ILB28" s="65"/>
      <c r="ILC28" s="65"/>
      <c r="ILD28" s="65"/>
      <c r="ILE28" s="65"/>
      <c r="ILF28" s="65"/>
      <c r="ILG28" s="65"/>
      <c r="ILH28" s="65"/>
      <c r="ILI28" s="65"/>
      <c r="ILJ28" s="65"/>
      <c r="ILK28" s="65"/>
      <c r="ILL28" s="65"/>
      <c r="ILM28" s="65"/>
      <c r="ILN28" s="65"/>
      <c r="ILO28" s="65"/>
      <c r="ILP28" s="65"/>
      <c r="ILQ28" s="65"/>
      <c r="ILR28" s="65"/>
      <c r="ILS28" s="65"/>
      <c r="ILT28" s="65"/>
      <c r="ILU28" s="65"/>
      <c r="ILV28" s="65"/>
      <c r="ILW28" s="65"/>
      <c r="ILX28" s="65"/>
      <c r="ILY28" s="65"/>
      <c r="ILZ28" s="65"/>
      <c r="IMA28" s="65"/>
      <c r="IMB28" s="65"/>
      <c r="IMC28" s="65"/>
      <c r="IMD28" s="65"/>
      <c r="IME28" s="65"/>
      <c r="IMF28" s="65"/>
      <c r="IMG28" s="65"/>
      <c r="IMH28" s="65"/>
      <c r="IMI28" s="65"/>
      <c r="IMJ28" s="65"/>
      <c r="IMK28" s="65"/>
      <c r="IML28" s="65"/>
      <c r="IMM28" s="65"/>
      <c r="IMN28" s="65"/>
      <c r="IMO28" s="65"/>
      <c r="IMP28" s="65"/>
      <c r="IMQ28" s="65"/>
      <c r="IMR28" s="65"/>
      <c r="IMS28" s="65"/>
      <c r="IMT28" s="65"/>
      <c r="IMU28" s="65"/>
      <c r="IMV28" s="65"/>
      <c r="IMW28" s="65"/>
      <c r="IMX28" s="65"/>
      <c r="IMY28" s="65"/>
      <c r="IMZ28" s="65"/>
      <c r="INA28" s="65"/>
      <c r="INB28" s="65"/>
      <c r="INC28" s="65"/>
      <c r="IND28" s="65"/>
      <c r="INE28" s="65"/>
      <c r="INF28" s="65"/>
      <c r="ING28" s="65"/>
      <c r="INH28" s="65"/>
      <c r="INI28" s="65"/>
      <c r="INJ28" s="65"/>
      <c r="INK28" s="65"/>
      <c r="INL28" s="65"/>
      <c r="INM28" s="65"/>
      <c r="INN28" s="65"/>
      <c r="INO28" s="65"/>
      <c r="INP28" s="65"/>
      <c r="INQ28" s="65"/>
      <c r="INR28" s="65"/>
      <c r="INS28" s="65"/>
      <c r="INT28" s="65"/>
      <c r="INU28" s="65"/>
      <c r="INV28" s="65"/>
      <c r="INW28" s="65"/>
      <c r="INX28" s="65"/>
      <c r="INY28" s="65"/>
      <c r="INZ28" s="65"/>
      <c r="IOA28" s="65"/>
      <c r="IOB28" s="65"/>
      <c r="IOC28" s="65"/>
      <c r="IOD28" s="65"/>
      <c r="IOE28" s="65"/>
      <c r="IOF28" s="65"/>
      <c r="IOG28" s="65"/>
      <c r="IOH28" s="65"/>
      <c r="IOI28" s="65"/>
      <c r="IOJ28" s="65"/>
      <c r="IOK28" s="65"/>
      <c r="IOL28" s="65"/>
      <c r="IOM28" s="65"/>
      <c r="ION28" s="65"/>
      <c r="IOO28" s="65"/>
      <c r="IOP28" s="65"/>
      <c r="IOQ28" s="65"/>
      <c r="IOR28" s="65"/>
      <c r="IOS28" s="65"/>
      <c r="IOT28" s="65"/>
      <c r="IOU28" s="65"/>
      <c r="IOV28" s="65"/>
      <c r="IOW28" s="65"/>
      <c r="IOX28" s="65"/>
      <c r="IOY28" s="65"/>
      <c r="IOZ28" s="65"/>
      <c r="IPA28" s="65"/>
      <c r="IPB28" s="65"/>
      <c r="IPC28" s="65"/>
      <c r="IPD28" s="65"/>
      <c r="IPE28" s="65"/>
      <c r="IPF28" s="65"/>
      <c r="IPG28" s="65"/>
      <c r="IPH28" s="65"/>
      <c r="IPI28" s="65"/>
      <c r="IPJ28" s="65"/>
      <c r="IPK28" s="65"/>
      <c r="IPL28" s="65"/>
      <c r="IPM28" s="65"/>
      <c r="IPN28" s="65"/>
      <c r="IPO28" s="65"/>
      <c r="IPP28" s="65"/>
      <c r="IPQ28" s="65"/>
      <c r="IPR28" s="65"/>
      <c r="IPS28" s="65"/>
      <c r="IPT28" s="65"/>
      <c r="IPU28" s="65"/>
      <c r="IPV28" s="65"/>
      <c r="IPW28" s="65"/>
      <c r="IPX28" s="65"/>
      <c r="IPY28" s="65"/>
      <c r="IPZ28" s="65"/>
      <c r="IQA28" s="65"/>
      <c r="IQB28" s="65"/>
      <c r="IQC28" s="65"/>
      <c r="IQD28" s="65"/>
      <c r="IQE28" s="65"/>
      <c r="IQF28" s="65"/>
      <c r="IQG28" s="65"/>
      <c r="IQH28" s="65"/>
      <c r="IQI28" s="65"/>
      <c r="IQJ28" s="65"/>
      <c r="IQK28" s="65"/>
      <c r="IQL28" s="65"/>
      <c r="IQM28" s="65"/>
      <c r="IQN28" s="65"/>
      <c r="IQO28" s="65"/>
      <c r="IQP28" s="65"/>
      <c r="IQQ28" s="65"/>
      <c r="IQR28" s="65"/>
      <c r="IQS28" s="65"/>
      <c r="IQT28" s="65"/>
      <c r="IQU28" s="65"/>
      <c r="IQV28" s="65"/>
      <c r="IQW28" s="65"/>
      <c r="IQX28" s="65"/>
      <c r="IQY28" s="65"/>
      <c r="IQZ28" s="65"/>
      <c r="IRA28" s="65"/>
      <c r="IRB28" s="65"/>
      <c r="IRC28" s="65"/>
      <c r="IRD28" s="65"/>
      <c r="IRE28" s="65"/>
      <c r="IRF28" s="65"/>
      <c r="IRG28" s="65"/>
      <c r="IRH28" s="65"/>
      <c r="IRI28" s="65"/>
      <c r="IRJ28" s="65"/>
      <c r="IRK28" s="65"/>
      <c r="IRL28" s="65"/>
      <c r="IRM28" s="65"/>
      <c r="IRN28" s="65"/>
      <c r="IRO28" s="65"/>
      <c r="IRP28" s="65"/>
      <c r="IRQ28" s="65"/>
      <c r="IRR28" s="65"/>
      <c r="IRS28" s="65"/>
      <c r="IRT28" s="65"/>
      <c r="IRU28" s="65"/>
      <c r="IRV28" s="65"/>
      <c r="IRW28" s="65"/>
      <c r="IRX28" s="65"/>
      <c r="IRY28" s="65"/>
      <c r="IRZ28" s="65"/>
      <c r="ISA28" s="65"/>
      <c r="ISB28" s="65"/>
      <c r="ISC28" s="65"/>
      <c r="ISD28" s="65"/>
      <c r="ISE28" s="65"/>
      <c r="ISF28" s="65"/>
      <c r="ISG28" s="65"/>
      <c r="ISH28" s="65"/>
      <c r="ISI28" s="65"/>
      <c r="ISJ28" s="65"/>
      <c r="ISK28" s="65"/>
      <c r="ISL28" s="65"/>
      <c r="ISM28" s="65"/>
      <c r="ISN28" s="65"/>
      <c r="ISO28" s="65"/>
      <c r="ISP28" s="65"/>
      <c r="ISQ28" s="65"/>
      <c r="ISR28" s="65"/>
      <c r="ISS28" s="65"/>
      <c r="IST28" s="65"/>
      <c r="ISU28" s="65"/>
      <c r="ISV28" s="65"/>
      <c r="ISW28" s="65"/>
      <c r="ISX28" s="65"/>
      <c r="ISY28" s="65"/>
      <c r="ISZ28" s="65"/>
      <c r="ITA28" s="65"/>
      <c r="ITB28" s="65"/>
      <c r="ITC28" s="65"/>
      <c r="ITD28" s="65"/>
      <c r="ITE28" s="65"/>
      <c r="ITF28" s="65"/>
      <c r="ITG28" s="65"/>
      <c r="ITH28" s="65"/>
      <c r="ITI28" s="65"/>
      <c r="ITJ28" s="65"/>
      <c r="ITK28" s="65"/>
      <c r="ITL28" s="65"/>
      <c r="ITM28" s="65"/>
      <c r="ITN28" s="65"/>
      <c r="ITO28" s="65"/>
      <c r="ITP28" s="65"/>
      <c r="ITQ28" s="65"/>
      <c r="ITR28" s="65"/>
      <c r="ITS28" s="65"/>
      <c r="ITT28" s="65"/>
      <c r="ITU28" s="65"/>
      <c r="ITV28" s="65"/>
      <c r="ITW28" s="65"/>
      <c r="ITX28" s="65"/>
      <c r="ITY28" s="65"/>
      <c r="ITZ28" s="65"/>
      <c r="IUA28" s="65"/>
      <c r="IUB28" s="65"/>
      <c r="IUC28" s="65"/>
      <c r="IUD28" s="65"/>
      <c r="IUE28" s="65"/>
      <c r="IUF28" s="65"/>
      <c r="IUG28" s="65"/>
      <c r="IUH28" s="65"/>
      <c r="IUI28" s="65"/>
      <c r="IUJ28" s="65"/>
      <c r="IUK28" s="65"/>
      <c r="IUL28" s="65"/>
      <c r="IUM28" s="65"/>
      <c r="IUN28" s="65"/>
      <c r="IUO28" s="65"/>
      <c r="IUP28" s="65"/>
      <c r="IUQ28" s="65"/>
      <c r="IUR28" s="65"/>
      <c r="IUS28" s="65"/>
      <c r="IUT28" s="65"/>
      <c r="IUU28" s="65"/>
      <c r="IUV28" s="65"/>
      <c r="IUW28" s="65"/>
      <c r="IUX28" s="65"/>
      <c r="IUY28" s="65"/>
      <c r="IUZ28" s="65"/>
      <c r="IVA28" s="65"/>
      <c r="IVB28" s="65"/>
      <c r="IVC28" s="65"/>
      <c r="IVD28" s="65"/>
      <c r="IVE28" s="65"/>
      <c r="IVF28" s="65"/>
      <c r="IVG28" s="65"/>
      <c r="IVH28" s="65"/>
      <c r="IVI28" s="65"/>
      <c r="IVJ28" s="65"/>
      <c r="IVK28" s="65"/>
      <c r="IVL28" s="65"/>
      <c r="IVM28" s="65"/>
      <c r="IVN28" s="65"/>
      <c r="IVO28" s="65"/>
      <c r="IVP28" s="65"/>
      <c r="IVQ28" s="65"/>
      <c r="IVR28" s="65"/>
      <c r="IVS28" s="65"/>
      <c r="IVT28" s="65"/>
      <c r="IVU28" s="65"/>
      <c r="IVV28" s="65"/>
      <c r="IVW28" s="65"/>
      <c r="IVX28" s="65"/>
      <c r="IVY28" s="65"/>
      <c r="IVZ28" s="65"/>
      <c r="IWA28" s="65"/>
      <c r="IWB28" s="65"/>
      <c r="IWC28" s="65"/>
      <c r="IWD28" s="65"/>
      <c r="IWE28" s="65"/>
      <c r="IWF28" s="65"/>
      <c r="IWG28" s="65"/>
      <c r="IWH28" s="65"/>
      <c r="IWI28" s="65"/>
      <c r="IWJ28" s="65"/>
      <c r="IWK28" s="65"/>
      <c r="IWL28" s="65"/>
      <c r="IWM28" s="65"/>
      <c r="IWN28" s="65"/>
      <c r="IWO28" s="65"/>
      <c r="IWP28" s="65"/>
      <c r="IWQ28" s="65"/>
      <c r="IWR28" s="65"/>
      <c r="IWS28" s="65"/>
      <c r="IWT28" s="65"/>
      <c r="IWU28" s="65"/>
      <c r="IWV28" s="65"/>
      <c r="IWW28" s="65"/>
      <c r="IWX28" s="65"/>
      <c r="IWY28" s="65"/>
      <c r="IWZ28" s="65"/>
      <c r="IXA28" s="65"/>
      <c r="IXB28" s="65"/>
      <c r="IXC28" s="65"/>
      <c r="IXD28" s="65"/>
      <c r="IXE28" s="65"/>
      <c r="IXF28" s="65"/>
      <c r="IXG28" s="65"/>
      <c r="IXH28" s="65"/>
      <c r="IXI28" s="65"/>
      <c r="IXJ28" s="65"/>
      <c r="IXK28" s="65"/>
      <c r="IXL28" s="65"/>
      <c r="IXM28" s="65"/>
      <c r="IXN28" s="65"/>
      <c r="IXO28" s="65"/>
      <c r="IXP28" s="65"/>
      <c r="IXQ28" s="65"/>
      <c r="IXR28" s="65"/>
      <c r="IXS28" s="65"/>
      <c r="IXT28" s="65"/>
      <c r="IXU28" s="65"/>
      <c r="IXV28" s="65"/>
      <c r="IXW28" s="65"/>
      <c r="IXX28" s="65"/>
      <c r="IXY28" s="65"/>
      <c r="IXZ28" s="65"/>
      <c r="IYA28" s="65"/>
      <c r="IYB28" s="65"/>
      <c r="IYC28" s="65"/>
      <c r="IYD28" s="65"/>
      <c r="IYE28" s="65"/>
      <c r="IYF28" s="65"/>
      <c r="IYG28" s="65"/>
      <c r="IYH28" s="65"/>
      <c r="IYI28" s="65"/>
      <c r="IYJ28" s="65"/>
      <c r="IYK28" s="65"/>
      <c r="IYL28" s="65"/>
      <c r="IYM28" s="65"/>
      <c r="IYN28" s="65"/>
      <c r="IYO28" s="65"/>
      <c r="IYP28" s="65"/>
      <c r="IYQ28" s="65"/>
      <c r="IYR28" s="65"/>
      <c r="IYS28" s="65"/>
      <c r="IYT28" s="65"/>
      <c r="IYU28" s="65"/>
      <c r="IYV28" s="65"/>
      <c r="IYW28" s="65"/>
      <c r="IYX28" s="65"/>
      <c r="IYY28" s="65"/>
      <c r="IYZ28" s="65"/>
      <c r="IZA28" s="65"/>
      <c r="IZB28" s="65"/>
      <c r="IZC28" s="65"/>
      <c r="IZD28" s="65"/>
      <c r="IZE28" s="65"/>
      <c r="IZF28" s="65"/>
      <c r="IZG28" s="65"/>
      <c r="IZH28" s="65"/>
      <c r="IZI28" s="65"/>
      <c r="IZJ28" s="65"/>
      <c r="IZK28" s="65"/>
      <c r="IZL28" s="65"/>
      <c r="IZM28" s="65"/>
      <c r="IZN28" s="65"/>
      <c r="IZO28" s="65"/>
      <c r="IZP28" s="65"/>
      <c r="IZQ28" s="65"/>
      <c r="IZR28" s="65"/>
      <c r="IZS28" s="65"/>
      <c r="IZT28" s="65"/>
      <c r="IZU28" s="65"/>
      <c r="IZV28" s="65"/>
      <c r="IZW28" s="65"/>
      <c r="IZX28" s="65"/>
      <c r="IZY28" s="65"/>
      <c r="IZZ28" s="65"/>
      <c r="JAA28" s="65"/>
      <c r="JAB28" s="65"/>
      <c r="JAC28" s="65"/>
      <c r="JAD28" s="65"/>
      <c r="JAE28" s="65"/>
      <c r="JAF28" s="65"/>
      <c r="JAG28" s="65"/>
      <c r="JAH28" s="65"/>
      <c r="JAI28" s="65"/>
      <c r="JAJ28" s="65"/>
      <c r="JAK28" s="65"/>
      <c r="JAL28" s="65"/>
      <c r="JAM28" s="65"/>
      <c r="JAN28" s="65"/>
      <c r="JAO28" s="65"/>
      <c r="JAP28" s="65"/>
      <c r="JAQ28" s="65"/>
      <c r="JAR28" s="65"/>
      <c r="JAS28" s="65"/>
      <c r="JAT28" s="65"/>
      <c r="JAU28" s="65"/>
      <c r="JAV28" s="65"/>
      <c r="JAW28" s="65"/>
      <c r="JAX28" s="65"/>
      <c r="JAY28" s="65"/>
      <c r="JAZ28" s="65"/>
      <c r="JBA28" s="65"/>
      <c r="JBB28" s="65"/>
      <c r="JBC28" s="65"/>
      <c r="JBD28" s="65"/>
      <c r="JBE28" s="65"/>
      <c r="JBF28" s="65"/>
      <c r="JBG28" s="65"/>
      <c r="JBH28" s="65"/>
      <c r="JBI28" s="65"/>
      <c r="JBJ28" s="65"/>
      <c r="JBK28" s="65"/>
      <c r="JBL28" s="65"/>
      <c r="JBM28" s="65"/>
      <c r="JBN28" s="65"/>
      <c r="JBO28" s="65"/>
      <c r="JBP28" s="65"/>
      <c r="JBQ28" s="65"/>
      <c r="JBR28" s="65"/>
      <c r="JBS28" s="65"/>
      <c r="JBT28" s="65"/>
      <c r="JBU28" s="65"/>
      <c r="JBV28" s="65"/>
      <c r="JBW28" s="65"/>
      <c r="JBX28" s="65"/>
      <c r="JBY28" s="65"/>
      <c r="JBZ28" s="65"/>
      <c r="JCA28" s="65"/>
      <c r="JCB28" s="65"/>
      <c r="JCC28" s="65"/>
      <c r="JCD28" s="65"/>
      <c r="JCE28" s="65"/>
      <c r="JCF28" s="65"/>
      <c r="JCG28" s="65"/>
      <c r="JCH28" s="65"/>
      <c r="JCI28" s="65"/>
      <c r="JCJ28" s="65"/>
      <c r="JCK28" s="65"/>
      <c r="JCL28" s="65"/>
      <c r="JCM28" s="65"/>
      <c r="JCN28" s="65"/>
      <c r="JCO28" s="65"/>
      <c r="JCP28" s="65"/>
      <c r="JCQ28" s="65"/>
      <c r="JCR28" s="65"/>
      <c r="JCS28" s="65"/>
      <c r="JCT28" s="65"/>
      <c r="JCU28" s="65"/>
      <c r="JCV28" s="65"/>
      <c r="JCW28" s="65"/>
      <c r="JCX28" s="65"/>
      <c r="JCY28" s="65"/>
      <c r="JCZ28" s="65"/>
      <c r="JDA28" s="65"/>
      <c r="JDB28" s="65"/>
      <c r="JDC28" s="65"/>
      <c r="JDD28" s="65"/>
      <c r="JDE28" s="65"/>
      <c r="JDF28" s="65"/>
      <c r="JDG28" s="65"/>
      <c r="JDH28" s="65"/>
      <c r="JDI28" s="65"/>
      <c r="JDJ28" s="65"/>
      <c r="JDK28" s="65"/>
      <c r="JDL28" s="65"/>
      <c r="JDM28" s="65"/>
      <c r="JDN28" s="65"/>
      <c r="JDO28" s="65"/>
      <c r="JDP28" s="65"/>
      <c r="JDQ28" s="65"/>
      <c r="JDR28" s="65"/>
      <c r="JDS28" s="65"/>
      <c r="JDT28" s="65"/>
      <c r="JDU28" s="65"/>
      <c r="JDV28" s="65"/>
      <c r="JDW28" s="65"/>
      <c r="JDX28" s="65"/>
      <c r="JDY28" s="65"/>
      <c r="JDZ28" s="65"/>
      <c r="JEA28" s="65"/>
      <c r="JEB28" s="65"/>
      <c r="JEC28" s="65"/>
      <c r="JED28" s="65"/>
      <c r="JEE28" s="65"/>
      <c r="JEF28" s="65"/>
      <c r="JEG28" s="65"/>
      <c r="JEH28" s="65"/>
      <c r="JEI28" s="65"/>
      <c r="JEJ28" s="65"/>
      <c r="JEK28" s="65"/>
      <c r="JEL28" s="65"/>
      <c r="JEM28" s="65"/>
      <c r="JEN28" s="65"/>
      <c r="JEO28" s="65"/>
      <c r="JEP28" s="65"/>
      <c r="JEQ28" s="65"/>
      <c r="JER28" s="65"/>
      <c r="JES28" s="65"/>
      <c r="JET28" s="65"/>
      <c r="JEU28" s="65"/>
      <c r="JEV28" s="65"/>
      <c r="JEW28" s="65"/>
      <c r="JEX28" s="65"/>
      <c r="JEY28" s="65"/>
      <c r="JEZ28" s="65"/>
      <c r="JFA28" s="65"/>
      <c r="JFB28" s="65"/>
      <c r="JFC28" s="65"/>
      <c r="JFD28" s="65"/>
      <c r="JFE28" s="65"/>
      <c r="JFF28" s="65"/>
      <c r="JFG28" s="65"/>
      <c r="JFH28" s="65"/>
      <c r="JFI28" s="65"/>
      <c r="JFJ28" s="65"/>
      <c r="JFK28" s="65"/>
      <c r="JFL28" s="65"/>
      <c r="JFM28" s="65"/>
      <c r="JFN28" s="65"/>
      <c r="JFO28" s="65"/>
      <c r="JFP28" s="65"/>
      <c r="JFQ28" s="65"/>
      <c r="JFR28" s="65"/>
      <c r="JFS28" s="65"/>
      <c r="JFT28" s="65"/>
      <c r="JFU28" s="65"/>
      <c r="JFV28" s="65"/>
      <c r="JFW28" s="65"/>
      <c r="JFX28" s="65"/>
      <c r="JFY28" s="65"/>
      <c r="JFZ28" s="65"/>
      <c r="JGA28" s="65"/>
      <c r="JGB28" s="65"/>
      <c r="JGC28" s="65"/>
      <c r="JGD28" s="65"/>
      <c r="JGE28" s="65"/>
      <c r="JGF28" s="65"/>
      <c r="JGG28" s="65"/>
      <c r="JGH28" s="65"/>
      <c r="JGI28" s="65"/>
      <c r="JGJ28" s="65"/>
      <c r="JGK28" s="65"/>
      <c r="JGL28" s="65"/>
      <c r="JGM28" s="65"/>
      <c r="JGN28" s="65"/>
      <c r="JGO28" s="65"/>
      <c r="JGP28" s="65"/>
      <c r="JGQ28" s="65"/>
      <c r="JGR28" s="65"/>
      <c r="JGS28" s="65"/>
      <c r="JGT28" s="65"/>
      <c r="JGU28" s="65"/>
      <c r="JGV28" s="65"/>
      <c r="JGW28" s="65"/>
      <c r="JGX28" s="65"/>
      <c r="JGY28" s="65"/>
      <c r="JGZ28" s="65"/>
      <c r="JHA28" s="65"/>
      <c r="JHB28" s="65"/>
      <c r="JHC28" s="65"/>
      <c r="JHD28" s="65"/>
      <c r="JHE28" s="65"/>
      <c r="JHF28" s="65"/>
      <c r="JHG28" s="65"/>
      <c r="JHH28" s="65"/>
      <c r="JHI28" s="65"/>
      <c r="JHJ28" s="65"/>
      <c r="JHK28" s="65"/>
      <c r="JHL28" s="65"/>
      <c r="JHM28" s="65"/>
      <c r="JHN28" s="65"/>
      <c r="JHO28" s="65"/>
      <c r="JHP28" s="65"/>
      <c r="JHQ28" s="65"/>
      <c r="JHR28" s="65"/>
      <c r="JHS28" s="65"/>
      <c r="JHT28" s="65"/>
      <c r="JHU28" s="65"/>
      <c r="JHV28" s="65"/>
      <c r="JHW28" s="65"/>
      <c r="JHX28" s="65"/>
      <c r="JHY28" s="65"/>
      <c r="JHZ28" s="65"/>
      <c r="JIA28" s="65"/>
      <c r="JIB28" s="65"/>
      <c r="JIC28" s="65"/>
      <c r="JID28" s="65"/>
      <c r="JIE28" s="65"/>
      <c r="JIF28" s="65"/>
      <c r="JIG28" s="65"/>
      <c r="JIH28" s="65"/>
      <c r="JII28" s="65"/>
      <c r="JIJ28" s="65"/>
      <c r="JIK28" s="65"/>
      <c r="JIL28" s="65"/>
      <c r="JIM28" s="65"/>
      <c r="JIN28" s="65"/>
      <c r="JIO28" s="65"/>
      <c r="JIP28" s="65"/>
      <c r="JIQ28" s="65"/>
      <c r="JIR28" s="65"/>
      <c r="JIS28" s="65"/>
      <c r="JIT28" s="65"/>
      <c r="JIU28" s="65"/>
      <c r="JIV28" s="65"/>
      <c r="JIW28" s="65"/>
      <c r="JIX28" s="65"/>
      <c r="JIY28" s="65"/>
      <c r="JIZ28" s="65"/>
      <c r="JJA28" s="65"/>
      <c r="JJB28" s="65"/>
      <c r="JJC28" s="65"/>
      <c r="JJD28" s="65"/>
      <c r="JJE28" s="65"/>
      <c r="JJF28" s="65"/>
      <c r="JJG28" s="65"/>
      <c r="JJH28" s="65"/>
      <c r="JJI28" s="65"/>
      <c r="JJJ28" s="65"/>
      <c r="JJK28" s="65"/>
      <c r="JJL28" s="65"/>
      <c r="JJM28" s="65"/>
      <c r="JJN28" s="65"/>
      <c r="JJO28" s="65"/>
      <c r="JJP28" s="65"/>
      <c r="JJQ28" s="65"/>
      <c r="JJR28" s="65"/>
      <c r="JJS28" s="65"/>
      <c r="JJT28" s="65"/>
      <c r="JJU28" s="65"/>
      <c r="JJV28" s="65"/>
      <c r="JJW28" s="65"/>
      <c r="JJX28" s="65"/>
      <c r="JJY28" s="65"/>
      <c r="JJZ28" s="65"/>
      <c r="JKA28" s="65"/>
      <c r="JKB28" s="65"/>
      <c r="JKC28" s="65"/>
      <c r="JKD28" s="65"/>
      <c r="JKE28" s="65"/>
      <c r="JKF28" s="65"/>
      <c r="JKG28" s="65"/>
      <c r="JKH28" s="65"/>
      <c r="JKI28" s="65"/>
      <c r="JKJ28" s="65"/>
      <c r="JKK28" s="65"/>
      <c r="JKL28" s="65"/>
      <c r="JKM28" s="65"/>
      <c r="JKN28" s="65"/>
      <c r="JKO28" s="65"/>
      <c r="JKP28" s="65"/>
      <c r="JKQ28" s="65"/>
      <c r="JKR28" s="65"/>
      <c r="JKS28" s="65"/>
      <c r="JKT28" s="65"/>
      <c r="JKU28" s="65"/>
      <c r="JKV28" s="65"/>
      <c r="JKW28" s="65"/>
      <c r="JKX28" s="65"/>
      <c r="JKY28" s="65"/>
      <c r="JKZ28" s="65"/>
      <c r="JLA28" s="65"/>
      <c r="JLB28" s="65"/>
      <c r="JLC28" s="65"/>
      <c r="JLD28" s="65"/>
      <c r="JLE28" s="65"/>
      <c r="JLF28" s="65"/>
      <c r="JLG28" s="65"/>
      <c r="JLH28" s="65"/>
      <c r="JLI28" s="65"/>
      <c r="JLJ28" s="65"/>
      <c r="JLK28" s="65"/>
      <c r="JLL28" s="65"/>
      <c r="JLM28" s="65"/>
      <c r="JLN28" s="65"/>
      <c r="JLO28" s="65"/>
      <c r="JLP28" s="65"/>
      <c r="JLQ28" s="65"/>
      <c r="JLR28" s="65"/>
      <c r="JLS28" s="65"/>
      <c r="JLT28" s="65"/>
      <c r="JLU28" s="65"/>
      <c r="JLV28" s="65"/>
      <c r="JLW28" s="65"/>
      <c r="JLX28" s="65"/>
      <c r="JLY28" s="65"/>
      <c r="JLZ28" s="65"/>
      <c r="JMA28" s="65"/>
      <c r="JMB28" s="65"/>
      <c r="JMC28" s="65"/>
      <c r="JMD28" s="65"/>
      <c r="JME28" s="65"/>
      <c r="JMF28" s="65"/>
      <c r="JMG28" s="65"/>
      <c r="JMH28" s="65"/>
      <c r="JMI28" s="65"/>
      <c r="JMJ28" s="65"/>
      <c r="JMK28" s="65"/>
      <c r="JML28" s="65"/>
      <c r="JMM28" s="65"/>
      <c r="JMN28" s="65"/>
      <c r="JMO28" s="65"/>
      <c r="JMP28" s="65"/>
      <c r="JMQ28" s="65"/>
      <c r="JMR28" s="65"/>
      <c r="JMS28" s="65"/>
      <c r="JMT28" s="65"/>
      <c r="JMU28" s="65"/>
      <c r="JMV28" s="65"/>
      <c r="JMW28" s="65"/>
      <c r="JMX28" s="65"/>
      <c r="JMY28" s="65"/>
      <c r="JMZ28" s="65"/>
      <c r="JNA28" s="65"/>
      <c r="JNB28" s="65"/>
      <c r="JNC28" s="65"/>
      <c r="JND28" s="65"/>
      <c r="JNE28" s="65"/>
      <c r="JNF28" s="65"/>
      <c r="JNG28" s="65"/>
      <c r="JNH28" s="65"/>
      <c r="JNI28" s="65"/>
      <c r="JNJ28" s="65"/>
      <c r="JNK28" s="65"/>
      <c r="JNL28" s="65"/>
      <c r="JNM28" s="65"/>
      <c r="JNN28" s="65"/>
      <c r="JNO28" s="65"/>
      <c r="JNP28" s="65"/>
      <c r="JNQ28" s="65"/>
      <c r="JNR28" s="65"/>
      <c r="JNS28" s="65"/>
      <c r="JNT28" s="65"/>
      <c r="JNU28" s="65"/>
      <c r="JNV28" s="65"/>
      <c r="JNW28" s="65"/>
      <c r="JNX28" s="65"/>
      <c r="JNY28" s="65"/>
      <c r="JNZ28" s="65"/>
      <c r="JOA28" s="65"/>
      <c r="JOB28" s="65"/>
      <c r="JOC28" s="65"/>
      <c r="JOD28" s="65"/>
      <c r="JOE28" s="65"/>
      <c r="JOF28" s="65"/>
      <c r="JOG28" s="65"/>
      <c r="JOH28" s="65"/>
      <c r="JOI28" s="65"/>
      <c r="JOJ28" s="65"/>
      <c r="JOK28" s="65"/>
      <c r="JOL28" s="65"/>
      <c r="JOM28" s="65"/>
      <c r="JON28" s="65"/>
      <c r="JOO28" s="65"/>
      <c r="JOP28" s="65"/>
      <c r="JOQ28" s="65"/>
      <c r="JOR28" s="65"/>
      <c r="JOS28" s="65"/>
      <c r="JOT28" s="65"/>
      <c r="JOU28" s="65"/>
      <c r="JOV28" s="65"/>
      <c r="JOW28" s="65"/>
      <c r="JOX28" s="65"/>
      <c r="JOY28" s="65"/>
      <c r="JOZ28" s="65"/>
      <c r="JPA28" s="65"/>
      <c r="JPB28" s="65"/>
      <c r="JPC28" s="65"/>
      <c r="JPD28" s="65"/>
      <c r="JPE28" s="65"/>
      <c r="JPF28" s="65"/>
      <c r="JPG28" s="65"/>
      <c r="JPH28" s="65"/>
      <c r="JPI28" s="65"/>
      <c r="JPJ28" s="65"/>
      <c r="JPK28" s="65"/>
      <c r="JPL28" s="65"/>
      <c r="JPM28" s="65"/>
      <c r="JPN28" s="65"/>
      <c r="JPO28" s="65"/>
      <c r="JPP28" s="65"/>
      <c r="JPQ28" s="65"/>
      <c r="JPR28" s="65"/>
      <c r="JPS28" s="65"/>
      <c r="JPT28" s="65"/>
      <c r="JPU28" s="65"/>
      <c r="JPV28" s="65"/>
      <c r="JPW28" s="65"/>
      <c r="JPX28" s="65"/>
      <c r="JPY28" s="65"/>
      <c r="JPZ28" s="65"/>
      <c r="JQA28" s="65"/>
      <c r="JQB28" s="65"/>
      <c r="JQC28" s="65"/>
      <c r="JQD28" s="65"/>
      <c r="JQE28" s="65"/>
      <c r="JQF28" s="65"/>
      <c r="JQG28" s="65"/>
      <c r="JQH28" s="65"/>
      <c r="JQI28" s="65"/>
      <c r="JQJ28" s="65"/>
      <c r="JQK28" s="65"/>
      <c r="JQL28" s="65"/>
      <c r="JQM28" s="65"/>
      <c r="JQN28" s="65"/>
      <c r="JQO28" s="65"/>
      <c r="JQP28" s="65"/>
      <c r="JQQ28" s="65"/>
      <c r="JQR28" s="65"/>
      <c r="JQS28" s="65"/>
      <c r="JQT28" s="65"/>
      <c r="JQU28" s="65"/>
      <c r="JQV28" s="65"/>
      <c r="JQW28" s="65"/>
      <c r="JQX28" s="65"/>
      <c r="JQY28" s="65"/>
      <c r="JQZ28" s="65"/>
      <c r="JRA28" s="65"/>
      <c r="JRB28" s="65"/>
      <c r="JRC28" s="65"/>
      <c r="JRD28" s="65"/>
      <c r="JRE28" s="65"/>
      <c r="JRF28" s="65"/>
      <c r="JRG28" s="65"/>
      <c r="JRH28" s="65"/>
      <c r="JRI28" s="65"/>
      <c r="JRJ28" s="65"/>
      <c r="JRK28" s="65"/>
      <c r="JRL28" s="65"/>
      <c r="JRM28" s="65"/>
      <c r="JRN28" s="65"/>
      <c r="JRO28" s="65"/>
      <c r="JRP28" s="65"/>
      <c r="JRQ28" s="65"/>
      <c r="JRR28" s="65"/>
      <c r="JRS28" s="65"/>
      <c r="JRT28" s="65"/>
      <c r="JRU28" s="65"/>
      <c r="JRV28" s="65"/>
      <c r="JRW28" s="65"/>
      <c r="JRX28" s="65"/>
      <c r="JRY28" s="65"/>
      <c r="JRZ28" s="65"/>
      <c r="JSA28" s="65"/>
      <c r="JSB28" s="65"/>
      <c r="JSC28" s="65"/>
      <c r="JSD28" s="65"/>
      <c r="JSE28" s="65"/>
      <c r="JSF28" s="65"/>
      <c r="JSG28" s="65"/>
      <c r="JSH28" s="65"/>
      <c r="JSI28" s="65"/>
      <c r="JSJ28" s="65"/>
      <c r="JSK28" s="65"/>
      <c r="JSL28" s="65"/>
      <c r="JSM28" s="65"/>
      <c r="JSN28" s="65"/>
      <c r="JSO28" s="65"/>
      <c r="JSP28" s="65"/>
      <c r="JSQ28" s="65"/>
      <c r="JSR28" s="65"/>
      <c r="JSS28" s="65"/>
      <c r="JST28" s="65"/>
      <c r="JSU28" s="65"/>
      <c r="JSV28" s="65"/>
      <c r="JSW28" s="65"/>
      <c r="JSX28" s="65"/>
      <c r="JSY28" s="65"/>
      <c r="JSZ28" s="65"/>
      <c r="JTA28" s="65"/>
      <c r="JTB28" s="65"/>
      <c r="JTC28" s="65"/>
      <c r="JTD28" s="65"/>
      <c r="JTE28" s="65"/>
      <c r="JTF28" s="65"/>
      <c r="JTG28" s="65"/>
      <c r="JTH28" s="65"/>
      <c r="JTI28" s="65"/>
      <c r="JTJ28" s="65"/>
      <c r="JTK28" s="65"/>
      <c r="JTL28" s="65"/>
      <c r="JTM28" s="65"/>
      <c r="JTN28" s="65"/>
      <c r="JTO28" s="65"/>
      <c r="JTP28" s="65"/>
      <c r="JTQ28" s="65"/>
      <c r="JTR28" s="65"/>
      <c r="JTS28" s="65"/>
      <c r="JTT28" s="65"/>
      <c r="JTU28" s="65"/>
      <c r="JTV28" s="65"/>
      <c r="JTW28" s="65"/>
      <c r="JTX28" s="65"/>
      <c r="JTY28" s="65"/>
      <c r="JTZ28" s="65"/>
      <c r="JUA28" s="65"/>
      <c r="JUB28" s="65"/>
      <c r="JUC28" s="65"/>
      <c r="JUD28" s="65"/>
      <c r="JUE28" s="65"/>
      <c r="JUF28" s="65"/>
      <c r="JUG28" s="65"/>
      <c r="JUH28" s="65"/>
      <c r="JUI28" s="65"/>
      <c r="JUJ28" s="65"/>
      <c r="JUK28" s="65"/>
      <c r="JUL28" s="65"/>
      <c r="JUM28" s="65"/>
      <c r="JUN28" s="65"/>
      <c r="JUO28" s="65"/>
      <c r="JUP28" s="65"/>
      <c r="JUQ28" s="65"/>
      <c r="JUR28" s="65"/>
      <c r="JUS28" s="65"/>
      <c r="JUT28" s="65"/>
      <c r="JUU28" s="65"/>
      <c r="JUV28" s="65"/>
      <c r="JUW28" s="65"/>
      <c r="JUX28" s="65"/>
      <c r="JUY28" s="65"/>
      <c r="JUZ28" s="65"/>
      <c r="JVA28" s="65"/>
      <c r="JVB28" s="65"/>
      <c r="JVC28" s="65"/>
      <c r="JVD28" s="65"/>
      <c r="JVE28" s="65"/>
      <c r="JVF28" s="65"/>
      <c r="JVG28" s="65"/>
      <c r="JVH28" s="65"/>
      <c r="JVI28" s="65"/>
      <c r="JVJ28" s="65"/>
      <c r="JVK28" s="65"/>
      <c r="JVL28" s="65"/>
      <c r="JVM28" s="65"/>
      <c r="JVN28" s="65"/>
      <c r="JVO28" s="65"/>
      <c r="JVP28" s="65"/>
      <c r="JVQ28" s="65"/>
      <c r="JVR28" s="65"/>
      <c r="JVS28" s="65"/>
      <c r="JVT28" s="65"/>
      <c r="JVU28" s="65"/>
      <c r="JVV28" s="65"/>
      <c r="JVW28" s="65"/>
      <c r="JVX28" s="65"/>
      <c r="JVY28" s="65"/>
      <c r="JVZ28" s="65"/>
      <c r="JWA28" s="65"/>
      <c r="JWB28" s="65"/>
      <c r="JWC28" s="65"/>
      <c r="JWD28" s="65"/>
      <c r="JWE28" s="65"/>
      <c r="JWF28" s="65"/>
      <c r="JWG28" s="65"/>
      <c r="JWH28" s="65"/>
      <c r="JWI28" s="65"/>
      <c r="JWJ28" s="65"/>
      <c r="JWK28" s="65"/>
      <c r="JWL28" s="65"/>
      <c r="JWM28" s="65"/>
      <c r="JWN28" s="65"/>
      <c r="JWO28" s="65"/>
      <c r="JWP28" s="65"/>
      <c r="JWQ28" s="65"/>
      <c r="JWR28" s="65"/>
      <c r="JWS28" s="65"/>
      <c r="JWT28" s="65"/>
      <c r="JWU28" s="65"/>
      <c r="JWV28" s="65"/>
      <c r="JWW28" s="65"/>
      <c r="JWX28" s="65"/>
      <c r="JWY28" s="65"/>
      <c r="JWZ28" s="65"/>
      <c r="JXA28" s="65"/>
      <c r="JXB28" s="65"/>
      <c r="JXC28" s="65"/>
      <c r="JXD28" s="65"/>
      <c r="JXE28" s="65"/>
      <c r="JXF28" s="65"/>
      <c r="JXG28" s="65"/>
      <c r="JXH28" s="65"/>
      <c r="JXI28" s="65"/>
      <c r="JXJ28" s="65"/>
      <c r="JXK28" s="65"/>
      <c r="JXL28" s="65"/>
      <c r="JXM28" s="65"/>
      <c r="JXN28" s="65"/>
      <c r="JXO28" s="65"/>
      <c r="JXP28" s="65"/>
      <c r="JXQ28" s="65"/>
      <c r="JXR28" s="65"/>
      <c r="JXS28" s="65"/>
      <c r="JXT28" s="65"/>
      <c r="JXU28" s="65"/>
      <c r="JXV28" s="65"/>
      <c r="JXW28" s="65"/>
      <c r="JXX28" s="65"/>
      <c r="JXY28" s="65"/>
      <c r="JXZ28" s="65"/>
      <c r="JYA28" s="65"/>
      <c r="JYB28" s="65"/>
      <c r="JYC28" s="65"/>
      <c r="JYD28" s="65"/>
      <c r="JYE28" s="65"/>
      <c r="JYF28" s="65"/>
      <c r="JYG28" s="65"/>
      <c r="JYH28" s="65"/>
      <c r="JYI28" s="65"/>
      <c r="JYJ28" s="65"/>
      <c r="JYK28" s="65"/>
      <c r="JYL28" s="65"/>
      <c r="JYM28" s="65"/>
      <c r="JYN28" s="65"/>
      <c r="JYO28" s="65"/>
      <c r="JYP28" s="65"/>
      <c r="JYQ28" s="65"/>
      <c r="JYR28" s="65"/>
      <c r="JYS28" s="65"/>
      <c r="JYT28" s="65"/>
      <c r="JYU28" s="65"/>
      <c r="JYV28" s="65"/>
      <c r="JYW28" s="65"/>
      <c r="JYX28" s="65"/>
      <c r="JYY28" s="65"/>
      <c r="JYZ28" s="65"/>
      <c r="JZA28" s="65"/>
      <c r="JZB28" s="65"/>
      <c r="JZC28" s="65"/>
      <c r="JZD28" s="65"/>
      <c r="JZE28" s="65"/>
      <c r="JZF28" s="65"/>
      <c r="JZG28" s="65"/>
      <c r="JZH28" s="65"/>
      <c r="JZI28" s="65"/>
      <c r="JZJ28" s="65"/>
      <c r="JZK28" s="65"/>
      <c r="JZL28" s="65"/>
      <c r="JZM28" s="65"/>
      <c r="JZN28" s="65"/>
      <c r="JZO28" s="65"/>
      <c r="JZP28" s="65"/>
      <c r="JZQ28" s="65"/>
      <c r="JZR28" s="65"/>
      <c r="JZS28" s="65"/>
      <c r="JZT28" s="65"/>
      <c r="JZU28" s="65"/>
      <c r="JZV28" s="65"/>
      <c r="JZW28" s="65"/>
      <c r="JZX28" s="65"/>
      <c r="JZY28" s="65"/>
      <c r="JZZ28" s="65"/>
      <c r="KAA28" s="65"/>
      <c r="KAB28" s="65"/>
      <c r="KAC28" s="65"/>
      <c r="KAD28" s="65"/>
      <c r="KAE28" s="65"/>
      <c r="KAF28" s="65"/>
      <c r="KAG28" s="65"/>
      <c r="KAH28" s="65"/>
      <c r="KAI28" s="65"/>
      <c r="KAJ28" s="65"/>
      <c r="KAK28" s="65"/>
      <c r="KAL28" s="65"/>
      <c r="KAM28" s="65"/>
      <c r="KAN28" s="65"/>
      <c r="KAO28" s="65"/>
      <c r="KAP28" s="65"/>
      <c r="KAQ28" s="65"/>
      <c r="KAR28" s="65"/>
      <c r="KAS28" s="65"/>
      <c r="KAT28" s="65"/>
      <c r="KAU28" s="65"/>
      <c r="KAV28" s="65"/>
      <c r="KAW28" s="65"/>
      <c r="KAX28" s="65"/>
      <c r="KAY28" s="65"/>
      <c r="KAZ28" s="65"/>
      <c r="KBA28" s="65"/>
      <c r="KBB28" s="65"/>
      <c r="KBC28" s="65"/>
      <c r="KBD28" s="65"/>
      <c r="KBE28" s="65"/>
      <c r="KBF28" s="65"/>
      <c r="KBG28" s="65"/>
      <c r="KBH28" s="65"/>
      <c r="KBI28" s="65"/>
      <c r="KBJ28" s="65"/>
      <c r="KBK28" s="65"/>
      <c r="KBL28" s="65"/>
      <c r="KBM28" s="65"/>
      <c r="KBN28" s="65"/>
      <c r="KBO28" s="65"/>
      <c r="KBP28" s="65"/>
      <c r="KBQ28" s="65"/>
      <c r="KBR28" s="65"/>
      <c r="KBS28" s="65"/>
      <c r="KBT28" s="65"/>
      <c r="KBU28" s="65"/>
      <c r="KBV28" s="65"/>
      <c r="KBW28" s="65"/>
      <c r="KBX28" s="65"/>
      <c r="KBY28" s="65"/>
      <c r="KBZ28" s="65"/>
      <c r="KCA28" s="65"/>
      <c r="KCB28" s="65"/>
      <c r="KCC28" s="65"/>
      <c r="KCD28" s="65"/>
      <c r="KCE28" s="65"/>
      <c r="KCF28" s="65"/>
      <c r="KCG28" s="65"/>
      <c r="KCH28" s="65"/>
      <c r="KCI28" s="65"/>
      <c r="KCJ28" s="65"/>
      <c r="KCK28" s="65"/>
      <c r="KCL28" s="65"/>
      <c r="KCM28" s="65"/>
      <c r="KCN28" s="65"/>
      <c r="KCO28" s="65"/>
      <c r="KCP28" s="65"/>
      <c r="KCQ28" s="65"/>
      <c r="KCR28" s="65"/>
      <c r="KCS28" s="65"/>
      <c r="KCT28" s="65"/>
      <c r="KCU28" s="65"/>
      <c r="KCV28" s="65"/>
      <c r="KCW28" s="65"/>
      <c r="KCX28" s="65"/>
      <c r="KCY28" s="65"/>
      <c r="KCZ28" s="65"/>
      <c r="KDA28" s="65"/>
      <c r="KDB28" s="65"/>
      <c r="KDC28" s="65"/>
      <c r="KDD28" s="65"/>
      <c r="KDE28" s="65"/>
      <c r="KDF28" s="65"/>
      <c r="KDG28" s="65"/>
      <c r="KDH28" s="65"/>
      <c r="KDI28" s="65"/>
      <c r="KDJ28" s="65"/>
      <c r="KDK28" s="65"/>
      <c r="KDL28" s="65"/>
      <c r="KDM28" s="65"/>
      <c r="KDN28" s="65"/>
      <c r="KDO28" s="65"/>
      <c r="KDP28" s="65"/>
      <c r="KDQ28" s="65"/>
      <c r="KDR28" s="65"/>
      <c r="KDS28" s="65"/>
      <c r="KDT28" s="65"/>
      <c r="KDU28" s="65"/>
      <c r="KDV28" s="65"/>
      <c r="KDW28" s="65"/>
      <c r="KDX28" s="65"/>
      <c r="KDY28" s="65"/>
      <c r="KDZ28" s="65"/>
      <c r="KEA28" s="65"/>
      <c r="KEB28" s="65"/>
      <c r="KEC28" s="65"/>
      <c r="KED28" s="65"/>
      <c r="KEE28" s="65"/>
      <c r="KEF28" s="65"/>
      <c r="KEG28" s="65"/>
      <c r="KEH28" s="65"/>
      <c r="KEI28" s="65"/>
      <c r="KEJ28" s="65"/>
      <c r="KEK28" s="65"/>
      <c r="KEL28" s="65"/>
      <c r="KEM28" s="65"/>
      <c r="KEN28" s="65"/>
      <c r="KEO28" s="65"/>
      <c r="KEP28" s="65"/>
      <c r="KEQ28" s="65"/>
      <c r="KER28" s="65"/>
      <c r="KES28" s="65"/>
      <c r="KET28" s="65"/>
      <c r="KEU28" s="65"/>
      <c r="KEV28" s="65"/>
      <c r="KEW28" s="65"/>
      <c r="KEX28" s="65"/>
      <c r="KEY28" s="65"/>
      <c r="KEZ28" s="65"/>
      <c r="KFA28" s="65"/>
      <c r="KFB28" s="65"/>
      <c r="KFC28" s="65"/>
      <c r="KFD28" s="65"/>
      <c r="KFE28" s="65"/>
      <c r="KFF28" s="65"/>
      <c r="KFG28" s="65"/>
      <c r="KFH28" s="65"/>
      <c r="KFI28" s="65"/>
      <c r="KFJ28" s="65"/>
      <c r="KFK28" s="65"/>
      <c r="KFL28" s="65"/>
      <c r="KFM28" s="65"/>
      <c r="KFN28" s="65"/>
      <c r="KFO28" s="65"/>
      <c r="KFP28" s="65"/>
      <c r="KFQ28" s="65"/>
      <c r="KFR28" s="65"/>
      <c r="KFS28" s="65"/>
      <c r="KFT28" s="65"/>
      <c r="KFU28" s="65"/>
      <c r="KFV28" s="65"/>
      <c r="KFW28" s="65"/>
      <c r="KFX28" s="65"/>
      <c r="KFY28" s="65"/>
      <c r="KFZ28" s="65"/>
      <c r="KGA28" s="65"/>
      <c r="KGB28" s="65"/>
      <c r="KGC28" s="65"/>
      <c r="KGD28" s="65"/>
      <c r="KGE28" s="65"/>
      <c r="KGF28" s="65"/>
      <c r="KGG28" s="65"/>
      <c r="KGH28" s="65"/>
      <c r="KGI28" s="65"/>
      <c r="KGJ28" s="65"/>
      <c r="KGK28" s="65"/>
      <c r="KGL28" s="65"/>
      <c r="KGM28" s="65"/>
      <c r="KGN28" s="65"/>
      <c r="KGO28" s="65"/>
      <c r="KGP28" s="65"/>
      <c r="KGQ28" s="65"/>
      <c r="KGR28" s="65"/>
      <c r="KGS28" s="65"/>
      <c r="KGT28" s="65"/>
      <c r="KGU28" s="65"/>
      <c r="KGV28" s="65"/>
      <c r="KGW28" s="65"/>
      <c r="KGX28" s="65"/>
      <c r="KGY28" s="65"/>
      <c r="KGZ28" s="65"/>
      <c r="KHA28" s="65"/>
      <c r="KHB28" s="65"/>
      <c r="KHC28" s="65"/>
      <c r="KHD28" s="65"/>
      <c r="KHE28" s="65"/>
      <c r="KHF28" s="65"/>
      <c r="KHG28" s="65"/>
      <c r="KHH28" s="65"/>
      <c r="KHI28" s="65"/>
      <c r="KHJ28" s="65"/>
      <c r="KHK28" s="65"/>
      <c r="KHL28" s="65"/>
      <c r="KHM28" s="65"/>
      <c r="KHN28" s="65"/>
      <c r="KHO28" s="65"/>
      <c r="KHP28" s="65"/>
      <c r="KHQ28" s="65"/>
      <c r="KHR28" s="65"/>
      <c r="KHS28" s="65"/>
      <c r="KHT28" s="65"/>
      <c r="KHU28" s="65"/>
      <c r="KHV28" s="65"/>
      <c r="KHW28" s="65"/>
      <c r="KHX28" s="65"/>
      <c r="KHY28" s="65"/>
      <c r="KHZ28" s="65"/>
      <c r="KIA28" s="65"/>
      <c r="KIB28" s="65"/>
      <c r="KIC28" s="65"/>
      <c r="KID28" s="65"/>
      <c r="KIE28" s="65"/>
      <c r="KIF28" s="65"/>
      <c r="KIG28" s="65"/>
      <c r="KIH28" s="65"/>
      <c r="KII28" s="65"/>
      <c r="KIJ28" s="65"/>
      <c r="KIK28" s="65"/>
      <c r="KIL28" s="65"/>
      <c r="KIM28" s="65"/>
      <c r="KIN28" s="65"/>
      <c r="KIO28" s="65"/>
      <c r="KIP28" s="65"/>
      <c r="KIQ28" s="65"/>
      <c r="KIR28" s="65"/>
      <c r="KIS28" s="65"/>
      <c r="KIT28" s="65"/>
      <c r="KIU28" s="65"/>
      <c r="KIV28" s="65"/>
      <c r="KIW28" s="65"/>
      <c r="KIX28" s="65"/>
      <c r="KIY28" s="65"/>
      <c r="KIZ28" s="65"/>
      <c r="KJA28" s="65"/>
      <c r="KJB28" s="65"/>
      <c r="KJC28" s="65"/>
      <c r="KJD28" s="65"/>
      <c r="KJE28" s="65"/>
      <c r="KJF28" s="65"/>
      <c r="KJG28" s="65"/>
      <c r="KJH28" s="65"/>
      <c r="KJI28" s="65"/>
      <c r="KJJ28" s="65"/>
      <c r="KJK28" s="65"/>
      <c r="KJL28" s="65"/>
      <c r="KJM28" s="65"/>
      <c r="KJN28" s="65"/>
      <c r="KJO28" s="65"/>
      <c r="KJP28" s="65"/>
      <c r="KJQ28" s="65"/>
      <c r="KJR28" s="65"/>
      <c r="KJS28" s="65"/>
      <c r="KJT28" s="65"/>
      <c r="KJU28" s="65"/>
      <c r="KJV28" s="65"/>
      <c r="KJW28" s="65"/>
      <c r="KJX28" s="65"/>
      <c r="KJY28" s="65"/>
      <c r="KJZ28" s="65"/>
      <c r="KKA28" s="65"/>
      <c r="KKB28" s="65"/>
      <c r="KKC28" s="65"/>
      <c r="KKD28" s="65"/>
      <c r="KKE28" s="65"/>
      <c r="KKF28" s="65"/>
      <c r="KKG28" s="65"/>
      <c r="KKH28" s="65"/>
      <c r="KKI28" s="65"/>
      <c r="KKJ28" s="65"/>
      <c r="KKK28" s="65"/>
      <c r="KKL28" s="65"/>
      <c r="KKM28" s="65"/>
      <c r="KKN28" s="65"/>
      <c r="KKO28" s="65"/>
      <c r="KKP28" s="65"/>
      <c r="KKQ28" s="65"/>
      <c r="KKR28" s="65"/>
      <c r="KKS28" s="65"/>
      <c r="KKT28" s="65"/>
      <c r="KKU28" s="65"/>
      <c r="KKV28" s="65"/>
      <c r="KKW28" s="65"/>
      <c r="KKX28" s="65"/>
      <c r="KKY28" s="65"/>
      <c r="KKZ28" s="65"/>
      <c r="KLA28" s="65"/>
      <c r="KLB28" s="65"/>
      <c r="KLC28" s="65"/>
      <c r="KLD28" s="65"/>
      <c r="KLE28" s="65"/>
      <c r="KLF28" s="65"/>
      <c r="KLG28" s="65"/>
      <c r="KLH28" s="65"/>
      <c r="KLI28" s="65"/>
      <c r="KLJ28" s="65"/>
      <c r="KLK28" s="65"/>
      <c r="KLL28" s="65"/>
      <c r="KLM28" s="65"/>
      <c r="KLN28" s="65"/>
      <c r="KLO28" s="65"/>
      <c r="KLP28" s="65"/>
      <c r="KLQ28" s="65"/>
      <c r="KLR28" s="65"/>
      <c r="KLS28" s="65"/>
      <c r="KLT28" s="65"/>
      <c r="KLU28" s="65"/>
      <c r="KLV28" s="65"/>
      <c r="KLW28" s="65"/>
      <c r="KLX28" s="65"/>
      <c r="KLY28" s="65"/>
      <c r="KLZ28" s="65"/>
      <c r="KMA28" s="65"/>
      <c r="KMB28" s="65"/>
      <c r="KMC28" s="65"/>
      <c r="KMD28" s="65"/>
      <c r="KME28" s="65"/>
      <c r="KMF28" s="65"/>
      <c r="KMG28" s="65"/>
      <c r="KMH28" s="65"/>
      <c r="KMI28" s="65"/>
      <c r="KMJ28" s="65"/>
      <c r="KMK28" s="65"/>
      <c r="KML28" s="65"/>
      <c r="KMM28" s="65"/>
      <c r="KMN28" s="65"/>
      <c r="KMO28" s="65"/>
      <c r="KMP28" s="65"/>
      <c r="KMQ28" s="65"/>
      <c r="KMR28" s="65"/>
      <c r="KMS28" s="65"/>
      <c r="KMT28" s="65"/>
      <c r="KMU28" s="65"/>
      <c r="KMV28" s="65"/>
      <c r="KMW28" s="65"/>
      <c r="KMX28" s="65"/>
      <c r="KMY28" s="65"/>
      <c r="KMZ28" s="65"/>
      <c r="KNA28" s="65"/>
      <c r="KNB28" s="65"/>
      <c r="KNC28" s="65"/>
      <c r="KND28" s="65"/>
      <c r="KNE28" s="65"/>
      <c r="KNF28" s="65"/>
      <c r="KNG28" s="65"/>
      <c r="KNH28" s="65"/>
      <c r="KNI28" s="65"/>
      <c r="KNJ28" s="65"/>
      <c r="KNK28" s="65"/>
      <c r="KNL28" s="65"/>
      <c r="KNM28" s="65"/>
      <c r="KNN28" s="65"/>
      <c r="KNO28" s="65"/>
      <c r="KNP28" s="65"/>
      <c r="KNQ28" s="65"/>
      <c r="KNR28" s="65"/>
      <c r="KNS28" s="65"/>
      <c r="KNT28" s="65"/>
      <c r="KNU28" s="65"/>
      <c r="KNV28" s="65"/>
      <c r="KNW28" s="65"/>
      <c r="KNX28" s="65"/>
      <c r="KNY28" s="65"/>
      <c r="KNZ28" s="65"/>
      <c r="KOA28" s="65"/>
      <c r="KOB28" s="65"/>
      <c r="KOC28" s="65"/>
      <c r="KOD28" s="65"/>
      <c r="KOE28" s="65"/>
      <c r="KOF28" s="65"/>
      <c r="KOG28" s="65"/>
      <c r="KOH28" s="65"/>
      <c r="KOI28" s="65"/>
      <c r="KOJ28" s="65"/>
      <c r="KOK28" s="65"/>
      <c r="KOL28" s="65"/>
      <c r="KOM28" s="65"/>
      <c r="KON28" s="65"/>
      <c r="KOO28" s="65"/>
      <c r="KOP28" s="65"/>
      <c r="KOQ28" s="65"/>
      <c r="KOR28" s="65"/>
      <c r="KOS28" s="65"/>
      <c r="KOT28" s="65"/>
      <c r="KOU28" s="65"/>
      <c r="KOV28" s="65"/>
      <c r="KOW28" s="65"/>
      <c r="KOX28" s="65"/>
      <c r="KOY28" s="65"/>
      <c r="KOZ28" s="65"/>
      <c r="KPA28" s="65"/>
      <c r="KPB28" s="65"/>
      <c r="KPC28" s="65"/>
      <c r="KPD28" s="65"/>
      <c r="KPE28" s="65"/>
      <c r="KPF28" s="65"/>
      <c r="KPG28" s="65"/>
      <c r="KPH28" s="65"/>
      <c r="KPI28" s="65"/>
      <c r="KPJ28" s="65"/>
      <c r="KPK28" s="65"/>
      <c r="KPL28" s="65"/>
      <c r="KPM28" s="65"/>
      <c r="KPN28" s="65"/>
      <c r="KPO28" s="65"/>
      <c r="KPP28" s="65"/>
      <c r="KPQ28" s="65"/>
      <c r="KPR28" s="65"/>
      <c r="KPS28" s="65"/>
      <c r="KPT28" s="65"/>
      <c r="KPU28" s="65"/>
      <c r="KPV28" s="65"/>
      <c r="KPW28" s="65"/>
      <c r="KPX28" s="65"/>
      <c r="KPY28" s="65"/>
      <c r="KPZ28" s="65"/>
      <c r="KQA28" s="65"/>
      <c r="KQB28" s="65"/>
      <c r="KQC28" s="65"/>
      <c r="KQD28" s="65"/>
      <c r="KQE28" s="65"/>
      <c r="KQF28" s="65"/>
      <c r="KQG28" s="65"/>
      <c r="KQH28" s="65"/>
      <c r="KQI28" s="65"/>
      <c r="KQJ28" s="65"/>
      <c r="KQK28" s="65"/>
      <c r="KQL28" s="65"/>
      <c r="KQM28" s="65"/>
      <c r="KQN28" s="65"/>
      <c r="KQO28" s="65"/>
      <c r="KQP28" s="65"/>
      <c r="KQQ28" s="65"/>
      <c r="KQR28" s="65"/>
      <c r="KQS28" s="65"/>
      <c r="KQT28" s="65"/>
      <c r="KQU28" s="65"/>
      <c r="KQV28" s="65"/>
      <c r="KQW28" s="65"/>
      <c r="KQX28" s="65"/>
      <c r="KQY28" s="65"/>
      <c r="KQZ28" s="65"/>
      <c r="KRA28" s="65"/>
      <c r="KRB28" s="65"/>
      <c r="KRC28" s="65"/>
      <c r="KRD28" s="65"/>
      <c r="KRE28" s="65"/>
      <c r="KRF28" s="65"/>
      <c r="KRG28" s="65"/>
      <c r="KRH28" s="65"/>
      <c r="KRI28" s="65"/>
      <c r="KRJ28" s="65"/>
      <c r="KRK28" s="65"/>
      <c r="KRL28" s="65"/>
      <c r="KRM28" s="65"/>
      <c r="KRN28" s="65"/>
      <c r="KRO28" s="65"/>
      <c r="KRP28" s="65"/>
      <c r="KRQ28" s="65"/>
      <c r="KRR28" s="65"/>
      <c r="KRS28" s="65"/>
      <c r="KRT28" s="65"/>
      <c r="KRU28" s="65"/>
      <c r="KRV28" s="65"/>
      <c r="KRW28" s="65"/>
      <c r="KRX28" s="65"/>
      <c r="KRY28" s="65"/>
      <c r="KRZ28" s="65"/>
      <c r="KSA28" s="65"/>
      <c r="KSB28" s="65"/>
      <c r="KSC28" s="65"/>
      <c r="KSD28" s="65"/>
      <c r="KSE28" s="65"/>
      <c r="KSF28" s="65"/>
      <c r="KSG28" s="65"/>
      <c r="KSH28" s="65"/>
      <c r="KSI28" s="65"/>
      <c r="KSJ28" s="65"/>
      <c r="KSK28" s="65"/>
      <c r="KSL28" s="65"/>
      <c r="KSM28" s="65"/>
      <c r="KSN28" s="65"/>
      <c r="KSO28" s="65"/>
      <c r="KSP28" s="65"/>
      <c r="KSQ28" s="65"/>
      <c r="KSR28" s="65"/>
      <c r="KSS28" s="65"/>
      <c r="KST28" s="65"/>
      <c r="KSU28" s="65"/>
      <c r="KSV28" s="65"/>
      <c r="KSW28" s="65"/>
      <c r="KSX28" s="65"/>
      <c r="KSY28" s="65"/>
      <c r="KSZ28" s="65"/>
      <c r="KTA28" s="65"/>
      <c r="KTB28" s="65"/>
      <c r="KTC28" s="65"/>
      <c r="KTD28" s="65"/>
      <c r="KTE28" s="65"/>
      <c r="KTF28" s="65"/>
      <c r="KTG28" s="65"/>
      <c r="KTH28" s="65"/>
      <c r="KTI28" s="65"/>
      <c r="KTJ28" s="65"/>
      <c r="KTK28" s="65"/>
      <c r="KTL28" s="65"/>
      <c r="KTM28" s="65"/>
      <c r="KTN28" s="65"/>
      <c r="KTO28" s="65"/>
      <c r="KTP28" s="65"/>
      <c r="KTQ28" s="65"/>
      <c r="KTR28" s="65"/>
      <c r="KTS28" s="65"/>
      <c r="KTT28" s="65"/>
      <c r="KTU28" s="65"/>
      <c r="KTV28" s="65"/>
      <c r="KTW28" s="65"/>
      <c r="KTX28" s="65"/>
      <c r="KTY28" s="65"/>
      <c r="KTZ28" s="65"/>
      <c r="KUA28" s="65"/>
      <c r="KUB28" s="65"/>
      <c r="KUC28" s="65"/>
      <c r="KUD28" s="65"/>
      <c r="KUE28" s="65"/>
      <c r="KUF28" s="65"/>
      <c r="KUG28" s="65"/>
      <c r="KUH28" s="65"/>
      <c r="KUI28" s="65"/>
      <c r="KUJ28" s="65"/>
      <c r="KUK28" s="65"/>
      <c r="KUL28" s="65"/>
      <c r="KUM28" s="65"/>
      <c r="KUN28" s="65"/>
      <c r="KUO28" s="65"/>
      <c r="KUP28" s="65"/>
      <c r="KUQ28" s="65"/>
      <c r="KUR28" s="65"/>
      <c r="KUS28" s="65"/>
      <c r="KUT28" s="65"/>
      <c r="KUU28" s="65"/>
      <c r="KUV28" s="65"/>
      <c r="KUW28" s="65"/>
      <c r="KUX28" s="65"/>
      <c r="KUY28" s="65"/>
      <c r="KUZ28" s="65"/>
      <c r="KVA28" s="65"/>
      <c r="KVB28" s="65"/>
      <c r="KVC28" s="65"/>
      <c r="KVD28" s="65"/>
      <c r="KVE28" s="65"/>
      <c r="KVF28" s="65"/>
      <c r="KVG28" s="65"/>
      <c r="KVH28" s="65"/>
      <c r="KVI28" s="65"/>
      <c r="KVJ28" s="65"/>
      <c r="KVK28" s="65"/>
      <c r="KVL28" s="65"/>
      <c r="KVM28" s="65"/>
      <c r="KVN28" s="65"/>
      <c r="KVO28" s="65"/>
      <c r="KVP28" s="65"/>
      <c r="KVQ28" s="65"/>
      <c r="KVR28" s="65"/>
      <c r="KVS28" s="65"/>
      <c r="KVT28" s="65"/>
      <c r="KVU28" s="65"/>
      <c r="KVV28" s="65"/>
      <c r="KVW28" s="65"/>
      <c r="KVX28" s="65"/>
      <c r="KVY28" s="65"/>
      <c r="KVZ28" s="65"/>
      <c r="KWA28" s="65"/>
      <c r="KWB28" s="65"/>
      <c r="KWC28" s="65"/>
      <c r="KWD28" s="65"/>
      <c r="KWE28" s="65"/>
      <c r="KWF28" s="65"/>
      <c r="KWG28" s="65"/>
      <c r="KWH28" s="65"/>
      <c r="KWI28" s="65"/>
      <c r="KWJ28" s="65"/>
      <c r="KWK28" s="65"/>
      <c r="KWL28" s="65"/>
      <c r="KWM28" s="65"/>
      <c r="KWN28" s="65"/>
      <c r="KWO28" s="65"/>
      <c r="KWP28" s="65"/>
      <c r="KWQ28" s="65"/>
      <c r="KWR28" s="65"/>
      <c r="KWS28" s="65"/>
      <c r="KWT28" s="65"/>
      <c r="KWU28" s="65"/>
      <c r="KWV28" s="65"/>
      <c r="KWW28" s="65"/>
      <c r="KWX28" s="65"/>
      <c r="KWY28" s="65"/>
      <c r="KWZ28" s="65"/>
      <c r="KXA28" s="65"/>
      <c r="KXB28" s="65"/>
      <c r="KXC28" s="65"/>
      <c r="KXD28" s="65"/>
      <c r="KXE28" s="65"/>
      <c r="KXF28" s="65"/>
      <c r="KXG28" s="65"/>
      <c r="KXH28" s="65"/>
      <c r="KXI28" s="65"/>
      <c r="KXJ28" s="65"/>
      <c r="KXK28" s="65"/>
      <c r="KXL28" s="65"/>
      <c r="KXM28" s="65"/>
      <c r="KXN28" s="65"/>
      <c r="KXO28" s="65"/>
      <c r="KXP28" s="65"/>
      <c r="KXQ28" s="65"/>
      <c r="KXR28" s="65"/>
      <c r="KXS28" s="65"/>
      <c r="KXT28" s="65"/>
      <c r="KXU28" s="65"/>
      <c r="KXV28" s="65"/>
      <c r="KXW28" s="65"/>
      <c r="KXX28" s="65"/>
      <c r="KXY28" s="65"/>
      <c r="KXZ28" s="65"/>
      <c r="KYA28" s="65"/>
      <c r="KYB28" s="65"/>
      <c r="KYC28" s="65"/>
      <c r="KYD28" s="65"/>
      <c r="KYE28" s="65"/>
      <c r="KYF28" s="65"/>
      <c r="KYG28" s="65"/>
      <c r="KYH28" s="65"/>
      <c r="KYI28" s="65"/>
      <c r="KYJ28" s="65"/>
      <c r="KYK28" s="65"/>
      <c r="KYL28" s="65"/>
      <c r="KYM28" s="65"/>
      <c r="KYN28" s="65"/>
      <c r="KYO28" s="65"/>
      <c r="KYP28" s="65"/>
      <c r="KYQ28" s="65"/>
      <c r="KYR28" s="65"/>
      <c r="KYS28" s="65"/>
      <c r="KYT28" s="65"/>
      <c r="KYU28" s="65"/>
      <c r="KYV28" s="65"/>
      <c r="KYW28" s="65"/>
      <c r="KYX28" s="65"/>
      <c r="KYY28" s="65"/>
      <c r="KYZ28" s="65"/>
      <c r="KZA28" s="65"/>
      <c r="KZB28" s="65"/>
      <c r="KZC28" s="65"/>
      <c r="KZD28" s="65"/>
      <c r="KZE28" s="65"/>
      <c r="KZF28" s="65"/>
      <c r="KZG28" s="65"/>
      <c r="KZH28" s="65"/>
      <c r="KZI28" s="65"/>
      <c r="KZJ28" s="65"/>
      <c r="KZK28" s="65"/>
      <c r="KZL28" s="65"/>
      <c r="KZM28" s="65"/>
      <c r="KZN28" s="65"/>
      <c r="KZO28" s="65"/>
      <c r="KZP28" s="65"/>
      <c r="KZQ28" s="65"/>
      <c r="KZR28" s="65"/>
      <c r="KZS28" s="65"/>
      <c r="KZT28" s="65"/>
      <c r="KZU28" s="65"/>
      <c r="KZV28" s="65"/>
      <c r="KZW28" s="65"/>
      <c r="KZX28" s="65"/>
      <c r="KZY28" s="65"/>
      <c r="KZZ28" s="65"/>
      <c r="LAA28" s="65"/>
      <c r="LAB28" s="65"/>
      <c r="LAC28" s="65"/>
      <c r="LAD28" s="65"/>
      <c r="LAE28" s="65"/>
      <c r="LAF28" s="65"/>
      <c r="LAG28" s="65"/>
      <c r="LAH28" s="65"/>
      <c r="LAI28" s="65"/>
      <c r="LAJ28" s="65"/>
      <c r="LAK28" s="65"/>
      <c r="LAL28" s="65"/>
      <c r="LAM28" s="65"/>
      <c r="LAN28" s="65"/>
      <c r="LAO28" s="65"/>
      <c r="LAP28" s="65"/>
      <c r="LAQ28" s="65"/>
      <c r="LAR28" s="65"/>
      <c r="LAS28" s="65"/>
      <c r="LAT28" s="65"/>
      <c r="LAU28" s="65"/>
      <c r="LAV28" s="65"/>
      <c r="LAW28" s="65"/>
      <c r="LAX28" s="65"/>
      <c r="LAY28" s="65"/>
      <c r="LAZ28" s="65"/>
      <c r="LBA28" s="65"/>
      <c r="LBB28" s="65"/>
      <c r="LBC28" s="65"/>
      <c r="LBD28" s="65"/>
      <c r="LBE28" s="65"/>
      <c r="LBF28" s="65"/>
      <c r="LBG28" s="65"/>
      <c r="LBH28" s="65"/>
      <c r="LBI28" s="65"/>
      <c r="LBJ28" s="65"/>
      <c r="LBK28" s="65"/>
      <c r="LBL28" s="65"/>
      <c r="LBM28" s="65"/>
      <c r="LBN28" s="65"/>
      <c r="LBO28" s="65"/>
      <c r="LBP28" s="65"/>
      <c r="LBQ28" s="65"/>
      <c r="LBR28" s="65"/>
      <c r="LBS28" s="65"/>
      <c r="LBT28" s="65"/>
      <c r="LBU28" s="65"/>
      <c r="LBV28" s="65"/>
      <c r="LBW28" s="65"/>
      <c r="LBX28" s="65"/>
      <c r="LBY28" s="65"/>
      <c r="LBZ28" s="65"/>
      <c r="LCA28" s="65"/>
      <c r="LCB28" s="65"/>
      <c r="LCC28" s="65"/>
      <c r="LCD28" s="65"/>
      <c r="LCE28" s="65"/>
      <c r="LCF28" s="65"/>
      <c r="LCG28" s="65"/>
      <c r="LCH28" s="65"/>
      <c r="LCI28" s="65"/>
      <c r="LCJ28" s="65"/>
      <c r="LCK28" s="65"/>
      <c r="LCL28" s="65"/>
      <c r="LCM28" s="65"/>
      <c r="LCN28" s="65"/>
      <c r="LCO28" s="65"/>
      <c r="LCP28" s="65"/>
      <c r="LCQ28" s="65"/>
      <c r="LCR28" s="65"/>
      <c r="LCS28" s="65"/>
      <c r="LCT28" s="65"/>
      <c r="LCU28" s="65"/>
      <c r="LCV28" s="65"/>
      <c r="LCW28" s="65"/>
      <c r="LCX28" s="65"/>
      <c r="LCY28" s="65"/>
      <c r="LCZ28" s="65"/>
      <c r="LDA28" s="65"/>
      <c r="LDB28" s="65"/>
      <c r="LDC28" s="65"/>
      <c r="LDD28" s="65"/>
      <c r="LDE28" s="65"/>
      <c r="LDF28" s="65"/>
      <c r="LDG28" s="65"/>
      <c r="LDH28" s="65"/>
      <c r="LDI28" s="65"/>
      <c r="LDJ28" s="65"/>
      <c r="LDK28" s="65"/>
      <c r="LDL28" s="65"/>
      <c r="LDM28" s="65"/>
      <c r="LDN28" s="65"/>
      <c r="LDO28" s="65"/>
      <c r="LDP28" s="65"/>
      <c r="LDQ28" s="65"/>
      <c r="LDR28" s="65"/>
      <c r="LDS28" s="65"/>
      <c r="LDT28" s="65"/>
      <c r="LDU28" s="65"/>
      <c r="LDV28" s="65"/>
      <c r="LDW28" s="65"/>
      <c r="LDX28" s="65"/>
      <c r="LDY28" s="65"/>
      <c r="LDZ28" s="65"/>
      <c r="LEA28" s="65"/>
      <c r="LEB28" s="65"/>
      <c r="LEC28" s="65"/>
      <c r="LED28" s="65"/>
      <c r="LEE28" s="65"/>
      <c r="LEF28" s="65"/>
      <c r="LEG28" s="65"/>
      <c r="LEH28" s="65"/>
      <c r="LEI28" s="65"/>
      <c r="LEJ28" s="65"/>
      <c r="LEK28" s="65"/>
      <c r="LEL28" s="65"/>
      <c r="LEM28" s="65"/>
      <c r="LEN28" s="65"/>
      <c r="LEO28" s="65"/>
      <c r="LEP28" s="65"/>
      <c r="LEQ28" s="65"/>
      <c r="LER28" s="65"/>
      <c r="LES28" s="65"/>
      <c r="LET28" s="65"/>
      <c r="LEU28" s="65"/>
      <c r="LEV28" s="65"/>
      <c r="LEW28" s="65"/>
      <c r="LEX28" s="65"/>
      <c r="LEY28" s="65"/>
      <c r="LEZ28" s="65"/>
      <c r="LFA28" s="65"/>
      <c r="LFB28" s="65"/>
      <c r="LFC28" s="65"/>
      <c r="LFD28" s="65"/>
      <c r="LFE28" s="65"/>
      <c r="LFF28" s="65"/>
      <c r="LFG28" s="65"/>
      <c r="LFH28" s="65"/>
      <c r="LFI28" s="65"/>
      <c r="LFJ28" s="65"/>
      <c r="LFK28" s="65"/>
      <c r="LFL28" s="65"/>
      <c r="LFM28" s="65"/>
      <c r="LFN28" s="65"/>
      <c r="LFO28" s="65"/>
      <c r="LFP28" s="65"/>
      <c r="LFQ28" s="65"/>
      <c r="LFR28" s="65"/>
      <c r="LFS28" s="65"/>
      <c r="LFT28" s="65"/>
      <c r="LFU28" s="65"/>
      <c r="LFV28" s="65"/>
      <c r="LFW28" s="65"/>
      <c r="LFX28" s="65"/>
      <c r="LFY28" s="65"/>
      <c r="LFZ28" s="65"/>
      <c r="LGA28" s="65"/>
      <c r="LGB28" s="65"/>
      <c r="LGC28" s="65"/>
      <c r="LGD28" s="65"/>
      <c r="LGE28" s="65"/>
      <c r="LGF28" s="65"/>
      <c r="LGG28" s="65"/>
      <c r="LGH28" s="65"/>
      <c r="LGI28" s="65"/>
      <c r="LGJ28" s="65"/>
      <c r="LGK28" s="65"/>
      <c r="LGL28" s="65"/>
      <c r="LGM28" s="65"/>
      <c r="LGN28" s="65"/>
      <c r="LGO28" s="65"/>
      <c r="LGP28" s="65"/>
      <c r="LGQ28" s="65"/>
      <c r="LGR28" s="65"/>
      <c r="LGS28" s="65"/>
      <c r="LGT28" s="65"/>
      <c r="LGU28" s="65"/>
      <c r="LGV28" s="65"/>
      <c r="LGW28" s="65"/>
      <c r="LGX28" s="65"/>
      <c r="LGY28" s="65"/>
      <c r="LGZ28" s="65"/>
      <c r="LHA28" s="65"/>
      <c r="LHB28" s="65"/>
      <c r="LHC28" s="65"/>
      <c r="LHD28" s="65"/>
      <c r="LHE28" s="65"/>
      <c r="LHF28" s="65"/>
      <c r="LHG28" s="65"/>
      <c r="LHH28" s="65"/>
      <c r="LHI28" s="65"/>
      <c r="LHJ28" s="65"/>
      <c r="LHK28" s="65"/>
      <c r="LHL28" s="65"/>
      <c r="LHM28" s="65"/>
      <c r="LHN28" s="65"/>
      <c r="LHO28" s="65"/>
      <c r="LHP28" s="65"/>
      <c r="LHQ28" s="65"/>
      <c r="LHR28" s="65"/>
      <c r="LHS28" s="65"/>
      <c r="LHT28" s="65"/>
      <c r="LHU28" s="65"/>
      <c r="LHV28" s="65"/>
      <c r="LHW28" s="65"/>
      <c r="LHX28" s="65"/>
      <c r="LHY28" s="65"/>
      <c r="LHZ28" s="65"/>
      <c r="LIA28" s="65"/>
      <c r="LIB28" s="65"/>
      <c r="LIC28" s="65"/>
      <c r="LID28" s="65"/>
      <c r="LIE28" s="65"/>
      <c r="LIF28" s="65"/>
      <c r="LIG28" s="65"/>
      <c r="LIH28" s="65"/>
      <c r="LII28" s="65"/>
      <c r="LIJ28" s="65"/>
      <c r="LIK28" s="65"/>
      <c r="LIL28" s="65"/>
      <c r="LIM28" s="65"/>
      <c r="LIN28" s="65"/>
      <c r="LIO28" s="65"/>
      <c r="LIP28" s="65"/>
      <c r="LIQ28" s="65"/>
      <c r="LIR28" s="65"/>
      <c r="LIS28" s="65"/>
      <c r="LIT28" s="65"/>
      <c r="LIU28" s="65"/>
      <c r="LIV28" s="65"/>
      <c r="LIW28" s="65"/>
      <c r="LIX28" s="65"/>
      <c r="LIY28" s="65"/>
      <c r="LIZ28" s="65"/>
      <c r="LJA28" s="65"/>
      <c r="LJB28" s="65"/>
      <c r="LJC28" s="65"/>
      <c r="LJD28" s="65"/>
      <c r="LJE28" s="65"/>
      <c r="LJF28" s="65"/>
      <c r="LJG28" s="65"/>
      <c r="LJH28" s="65"/>
      <c r="LJI28" s="65"/>
      <c r="LJJ28" s="65"/>
      <c r="LJK28" s="65"/>
      <c r="LJL28" s="65"/>
      <c r="LJM28" s="65"/>
      <c r="LJN28" s="65"/>
      <c r="LJO28" s="65"/>
      <c r="LJP28" s="65"/>
      <c r="LJQ28" s="65"/>
      <c r="LJR28" s="65"/>
      <c r="LJS28" s="65"/>
      <c r="LJT28" s="65"/>
      <c r="LJU28" s="65"/>
      <c r="LJV28" s="65"/>
      <c r="LJW28" s="65"/>
      <c r="LJX28" s="65"/>
      <c r="LJY28" s="65"/>
      <c r="LJZ28" s="65"/>
      <c r="LKA28" s="65"/>
      <c r="LKB28" s="65"/>
      <c r="LKC28" s="65"/>
      <c r="LKD28" s="65"/>
      <c r="LKE28" s="65"/>
      <c r="LKF28" s="65"/>
      <c r="LKG28" s="65"/>
      <c r="LKH28" s="65"/>
      <c r="LKI28" s="65"/>
      <c r="LKJ28" s="65"/>
      <c r="LKK28" s="65"/>
      <c r="LKL28" s="65"/>
      <c r="LKM28" s="65"/>
      <c r="LKN28" s="65"/>
      <c r="LKO28" s="65"/>
      <c r="LKP28" s="65"/>
      <c r="LKQ28" s="65"/>
      <c r="LKR28" s="65"/>
      <c r="LKS28" s="65"/>
      <c r="LKT28" s="65"/>
      <c r="LKU28" s="65"/>
      <c r="LKV28" s="65"/>
      <c r="LKW28" s="65"/>
      <c r="LKX28" s="65"/>
      <c r="LKY28" s="65"/>
      <c r="LKZ28" s="65"/>
      <c r="LLA28" s="65"/>
      <c r="LLB28" s="65"/>
      <c r="LLC28" s="65"/>
      <c r="LLD28" s="65"/>
      <c r="LLE28" s="65"/>
      <c r="LLF28" s="65"/>
      <c r="LLG28" s="65"/>
      <c r="LLH28" s="65"/>
      <c r="LLI28" s="65"/>
      <c r="LLJ28" s="65"/>
      <c r="LLK28" s="65"/>
      <c r="LLL28" s="65"/>
      <c r="LLM28" s="65"/>
      <c r="LLN28" s="65"/>
      <c r="LLO28" s="65"/>
      <c r="LLP28" s="65"/>
      <c r="LLQ28" s="65"/>
      <c r="LLR28" s="65"/>
      <c r="LLS28" s="65"/>
      <c r="LLT28" s="65"/>
      <c r="LLU28" s="65"/>
      <c r="LLV28" s="65"/>
      <c r="LLW28" s="65"/>
      <c r="LLX28" s="65"/>
      <c r="LLY28" s="65"/>
      <c r="LLZ28" s="65"/>
      <c r="LMA28" s="65"/>
      <c r="LMB28" s="65"/>
      <c r="LMC28" s="65"/>
      <c r="LMD28" s="65"/>
      <c r="LME28" s="65"/>
      <c r="LMF28" s="65"/>
      <c r="LMG28" s="65"/>
      <c r="LMH28" s="65"/>
      <c r="LMI28" s="65"/>
      <c r="LMJ28" s="65"/>
      <c r="LMK28" s="65"/>
      <c r="LML28" s="65"/>
      <c r="LMM28" s="65"/>
      <c r="LMN28" s="65"/>
      <c r="LMO28" s="65"/>
      <c r="LMP28" s="65"/>
      <c r="LMQ28" s="65"/>
      <c r="LMR28" s="65"/>
      <c r="LMS28" s="65"/>
      <c r="LMT28" s="65"/>
      <c r="LMU28" s="65"/>
      <c r="LMV28" s="65"/>
      <c r="LMW28" s="65"/>
      <c r="LMX28" s="65"/>
      <c r="LMY28" s="65"/>
      <c r="LMZ28" s="65"/>
      <c r="LNA28" s="65"/>
      <c r="LNB28" s="65"/>
      <c r="LNC28" s="65"/>
      <c r="LND28" s="65"/>
      <c r="LNE28" s="65"/>
      <c r="LNF28" s="65"/>
      <c r="LNG28" s="65"/>
      <c r="LNH28" s="65"/>
      <c r="LNI28" s="65"/>
      <c r="LNJ28" s="65"/>
      <c r="LNK28" s="65"/>
      <c r="LNL28" s="65"/>
      <c r="LNM28" s="65"/>
      <c r="LNN28" s="65"/>
      <c r="LNO28" s="65"/>
      <c r="LNP28" s="65"/>
      <c r="LNQ28" s="65"/>
      <c r="LNR28" s="65"/>
      <c r="LNS28" s="65"/>
      <c r="LNT28" s="65"/>
      <c r="LNU28" s="65"/>
      <c r="LNV28" s="65"/>
      <c r="LNW28" s="65"/>
      <c r="LNX28" s="65"/>
      <c r="LNY28" s="65"/>
      <c r="LNZ28" s="65"/>
      <c r="LOA28" s="65"/>
      <c r="LOB28" s="65"/>
      <c r="LOC28" s="65"/>
      <c r="LOD28" s="65"/>
      <c r="LOE28" s="65"/>
      <c r="LOF28" s="65"/>
      <c r="LOG28" s="65"/>
      <c r="LOH28" s="65"/>
      <c r="LOI28" s="65"/>
      <c r="LOJ28" s="65"/>
      <c r="LOK28" s="65"/>
      <c r="LOL28" s="65"/>
      <c r="LOM28" s="65"/>
      <c r="LON28" s="65"/>
      <c r="LOO28" s="65"/>
      <c r="LOP28" s="65"/>
      <c r="LOQ28" s="65"/>
      <c r="LOR28" s="65"/>
      <c r="LOS28" s="65"/>
      <c r="LOT28" s="65"/>
      <c r="LOU28" s="65"/>
      <c r="LOV28" s="65"/>
      <c r="LOW28" s="65"/>
      <c r="LOX28" s="65"/>
      <c r="LOY28" s="65"/>
      <c r="LOZ28" s="65"/>
      <c r="LPA28" s="65"/>
      <c r="LPB28" s="65"/>
      <c r="LPC28" s="65"/>
      <c r="LPD28" s="65"/>
      <c r="LPE28" s="65"/>
      <c r="LPF28" s="65"/>
      <c r="LPG28" s="65"/>
      <c r="LPH28" s="65"/>
      <c r="LPI28" s="65"/>
      <c r="LPJ28" s="65"/>
      <c r="LPK28" s="65"/>
      <c r="LPL28" s="65"/>
      <c r="LPM28" s="65"/>
      <c r="LPN28" s="65"/>
      <c r="LPO28" s="65"/>
      <c r="LPP28" s="65"/>
      <c r="LPQ28" s="65"/>
      <c r="LPR28" s="65"/>
      <c r="LPS28" s="65"/>
      <c r="LPT28" s="65"/>
      <c r="LPU28" s="65"/>
      <c r="LPV28" s="65"/>
      <c r="LPW28" s="65"/>
      <c r="LPX28" s="65"/>
      <c r="LPY28" s="65"/>
      <c r="LPZ28" s="65"/>
      <c r="LQA28" s="65"/>
      <c r="LQB28" s="65"/>
      <c r="LQC28" s="65"/>
      <c r="LQD28" s="65"/>
      <c r="LQE28" s="65"/>
      <c r="LQF28" s="65"/>
      <c r="LQG28" s="65"/>
      <c r="LQH28" s="65"/>
      <c r="LQI28" s="65"/>
      <c r="LQJ28" s="65"/>
      <c r="LQK28" s="65"/>
      <c r="LQL28" s="65"/>
      <c r="LQM28" s="65"/>
      <c r="LQN28" s="65"/>
      <c r="LQO28" s="65"/>
      <c r="LQP28" s="65"/>
      <c r="LQQ28" s="65"/>
      <c r="LQR28" s="65"/>
      <c r="LQS28" s="65"/>
      <c r="LQT28" s="65"/>
      <c r="LQU28" s="65"/>
      <c r="LQV28" s="65"/>
      <c r="LQW28" s="65"/>
      <c r="LQX28" s="65"/>
      <c r="LQY28" s="65"/>
      <c r="LQZ28" s="65"/>
      <c r="LRA28" s="65"/>
      <c r="LRB28" s="65"/>
      <c r="LRC28" s="65"/>
      <c r="LRD28" s="65"/>
      <c r="LRE28" s="65"/>
      <c r="LRF28" s="65"/>
      <c r="LRG28" s="65"/>
      <c r="LRH28" s="65"/>
      <c r="LRI28" s="65"/>
      <c r="LRJ28" s="65"/>
      <c r="LRK28" s="65"/>
      <c r="LRL28" s="65"/>
      <c r="LRM28" s="65"/>
      <c r="LRN28" s="65"/>
      <c r="LRO28" s="65"/>
      <c r="LRP28" s="65"/>
      <c r="LRQ28" s="65"/>
      <c r="LRR28" s="65"/>
      <c r="LRS28" s="65"/>
      <c r="LRT28" s="65"/>
      <c r="LRU28" s="65"/>
      <c r="LRV28" s="65"/>
      <c r="LRW28" s="65"/>
      <c r="LRX28" s="65"/>
      <c r="LRY28" s="65"/>
      <c r="LRZ28" s="65"/>
      <c r="LSA28" s="65"/>
      <c r="LSB28" s="65"/>
      <c r="LSC28" s="65"/>
      <c r="LSD28" s="65"/>
      <c r="LSE28" s="65"/>
      <c r="LSF28" s="65"/>
      <c r="LSG28" s="65"/>
      <c r="LSH28" s="65"/>
      <c r="LSI28" s="65"/>
      <c r="LSJ28" s="65"/>
      <c r="LSK28" s="65"/>
      <c r="LSL28" s="65"/>
      <c r="LSM28" s="65"/>
      <c r="LSN28" s="65"/>
      <c r="LSO28" s="65"/>
      <c r="LSP28" s="65"/>
      <c r="LSQ28" s="65"/>
      <c r="LSR28" s="65"/>
      <c r="LSS28" s="65"/>
      <c r="LST28" s="65"/>
      <c r="LSU28" s="65"/>
      <c r="LSV28" s="65"/>
      <c r="LSW28" s="65"/>
      <c r="LSX28" s="65"/>
      <c r="LSY28" s="65"/>
      <c r="LSZ28" s="65"/>
      <c r="LTA28" s="65"/>
      <c r="LTB28" s="65"/>
      <c r="LTC28" s="65"/>
      <c r="LTD28" s="65"/>
      <c r="LTE28" s="65"/>
      <c r="LTF28" s="65"/>
      <c r="LTG28" s="65"/>
      <c r="LTH28" s="65"/>
      <c r="LTI28" s="65"/>
      <c r="LTJ28" s="65"/>
      <c r="LTK28" s="65"/>
      <c r="LTL28" s="65"/>
      <c r="LTM28" s="65"/>
      <c r="LTN28" s="65"/>
      <c r="LTO28" s="65"/>
      <c r="LTP28" s="65"/>
      <c r="LTQ28" s="65"/>
      <c r="LTR28" s="65"/>
      <c r="LTS28" s="65"/>
      <c r="LTT28" s="65"/>
      <c r="LTU28" s="65"/>
      <c r="LTV28" s="65"/>
      <c r="LTW28" s="65"/>
      <c r="LTX28" s="65"/>
      <c r="LTY28" s="65"/>
      <c r="LTZ28" s="65"/>
      <c r="LUA28" s="65"/>
      <c r="LUB28" s="65"/>
      <c r="LUC28" s="65"/>
      <c r="LUD28" s="65"/>
      <c r="LUE28" s="65"/>
      <c r="LUF28" s="65"/>
      <c r="LUG28" s="65"/>
      <c r="LUH28" s="65"/>
      <c r="LUI28" s="65"/>
      <c r="LUJ28" s="65"/>
      <c r="LUK28" s="65"/>
      <c r="LUL28" s="65"/>
      <c r="LUM28" s="65"/>
      <c r="LUN28" s="65"/>
      <c r="LUO28" s="65"/>
      <c r="LUP28" s="65"/>
      <c r="LUQ28" s="65"/>
      <c r="LUR28" s="65"/>
      <c r="LUS28" s="65"/>
      <c r="LUT28" s="65"/>
      <c r="LUU28" s="65"/>
      <c r="LUV28" s="65"/>
      <c r="LUW28" s="65"/>
      <c r="LUX28" s="65"/>
      <c r="LUY28" s="65"/>
      <c r="LUZ28" s="65"/>
      <c r="LVA28" s="65"/>
      <c r="LVB28" s="65"/>
      <c r="LVC28" s="65"/>
      <c r="LVD28" s="65"/>
      <c r="LVE28" s="65"/>
      <c r="LVF28" s="65"/>
      <c r="LVG28" s="65"/>
      <c r="LVH28" s="65"/>
      <c r="LVI28" s="65"/>
      <c r="LVJ28" s="65"/>
      <c r="LVK28" s="65"/>
      <c r="LVL28" s="65"/>
      <c r="LVM28" s="65"/>
      <c r="LVN28" s="65"/>
      <c r="LVO28" s="65"/>
      <c r="LVP28" s="65"/>
      <c r="LVQ28" s="65"/>
      <c r="LVR28" s="65"/>
      <c r="LVS28" s="65"/>
      <c r="LVT28" s="65"/>
      <c r="LVU28" s="65"/>
      <c r="LVV28" s="65"/>
      <c r="LVW28" s="65"/>
      <c r="LVX28" s="65"/>
      <c r="LVY28" s="65"/>
      <c r="LVZ28" s="65"/>
      <c r="LWA28" s="65"/>
      <c r="LWB28" s="65"/>
      <c r="LWC28" s="65"/>
      <c r="LWD28" s="65"/>
      <c r="LWE28" s="65"/>
      <c r="LWF28" s="65"/>
      <c r="LWG28" s="65"/>
      <c r="LWH28" s="65"/>
      <c r="LWI28" s="65"/>
      <c r="LWJ28" s="65"/>
      <c r="LWK28" s="65"/>
      <c r="LWL28" s="65"/>
      <c r="LWM28" s="65"/>
      <c r="LWN28" s="65"/>
      <c r="LWO28" s="65"/>
      <c r="LWP28" s="65"/>
      <c r="LWQ28" s="65"/>
      <c r="LWR28" s="65"/>
      <c r="LWS28" s="65"/>
      <c r="LWT28" s="65"/>
      <c r="LWU28" s="65"/>
      <c r="LWV28" s="65"/>
      <c r="LWW28" s="65"/>
      <c r="LWX28" s="65"/>
      <c r="LWY28" s="65"/>
      <c r="LWZ28" s="65"/>
      <c r="LXA28" s="65"/>
      <c r="LXB28" s="65"/>
      <c r="LXC28" s="65"/>
      <c r="LXD28" s="65"/>
      <c r="LXE28" s="65"/>
      <c r="LXF28" s="65"/>
      <c r="LXG28" s="65"/>
      <c r="LXH28" s="65"/>
      <c r="LXI28" s="65"/>
      <c r="LXJ28" s="65"/>
      <c r="LXK28" s="65"/>
      <c r="LXL28" s="65"/>
      <c r="LXM28" s="65"/>
      <c r="LXN28" s="65"/>
      <c r="LXO28" s="65"/>
      <c r="LXP28" s="65"/>
      <c r="LXQ28" s="65"/>
      <c r="LXR28" s="65"/>
      <c r="LXS28" s="65"/>
      <c r="LXT28" s="65"/>
      <c r="LXU28" s="65"/>
      <c r="LXV28" s="65"/>
      <c r="LXW28" s="65"/>
      <c r="LXX28" s="65"/>
      <c r="LXY28" s="65"/>
      <c r="LXZ28" s="65"/>
      <c r="LYA28" s="65"/>
      <c r="LYB28" s="65"/>
      <c r="LYC28" s="65"/>
      <c r="LYD28" s="65"/>
      <c r="LYE28" s="65"/>
      <c r="LYF28" s="65"/>
      <c r="LYG28" s="65"/>
      <c r="LYH28" s="65"/>
      <c r="LYI28" s="65"/>
      <c r="LYJ28" s="65"/>
      <c r="LYK28" s="65"/>
      <c r="LYL28" s="65"/>
      <c r="LYM28" s="65"/>
      <c r="LYN28" s="65"/>
      <c r="LYO28" s="65"/>
      <c r="LYP28" s="65"/>
      <c r="LYQ28" s="65"/>
      <c r="LYR28" s="65"/>
      <c r="LYS28" s="65"/>
      <c r="LYT28" s="65"/>
      <c r="LYU28" s="65"/>
      <c r="LYV28" s="65"/>
      <c r="LYW28" s="65"/>
      <c r="LYX28" s="65"/>
      <c r="LYY28" s="65"/>
      <c r="LYZ28" s="65"/>
      <c r="LZA28" s="65"/>
      <c r="LZB28" s="65"/>
      <c r="LZC28" s="65"/>
      <c r="LZD28" s="65"/>
      <c r="LZE28" s="65"/>
      <c r="LZF28" s="65"/>
      <c r="LZG28" s="65"/>
      <c r="LZH28" s="65"/>
      <c r="LZI28" s="65"/>
      <c r="LZJ28" s="65"/>
      <c r="LZK28" s="65"/>
      <c r="LZL28" s="65"/>
      <c r="LZM28" s="65"/>
      <c r="LZN28" s="65"/>
      <c r="LZO28" s="65"/>
      <c r="LZP28" s="65"/>
      <c r="LZQ28" s="65"/>
      <c r="LZR28" s="65"/>
      <c r="LZS28" s="65"/>
      <c r="LZT28" s="65"/>
      <c r="LZU28" s="65"/>
      <c r="LZV28" s="65"/>
      <c r="LZW28" s="65"/>
      <c r="LZX28" s="65"/>
      <c r="LZY28" s="65"/>
      <c r="LZZ28" s="65"/>
      <c r="MAA28" s="65"/>
      <c r="MAB28" s="65"/>
      <c r="MAC28" s="65"/>
      <c r="MAD28" s="65"/>
      <c r="MAE28" s="65"/>
      <c r="MAF28" s="65"/>
      <c r="MAG28" s="65"/>
      <c r="MAH28" s="65"/>
      <c r="MAI28" s="65"/>
      <c r="MAJ28" s="65"/>
      <c r="MAK28" s="65"/>
      <c r="MAL28" s="65"/>
      <c r="MAM28" s="65"/>
      <c r="MAN28" s="65"/>
      <c r="MAO28" s="65"/>
      <c r="MAP28" s="65"/>
      <c r="MAQ28" s="65"/>
      <c r="MAR28" s="65"/>
      <c r="MAS28" s="65"/>
      <c r="MAT28" s="65"/>
      <c r="MAU28" s="65"/>
      <c r="MAV28" s="65"/>
      <c r="MAW28" s="65"/>
      <c r="MAX28" s="65"/>
      <c r="MAY28" s="65"/>
      <c r="MAZ28" s="65"/>
      <c r="MBA28" s="65"/>
      <c r="MBB28" s="65"/>
      <c r="MBC28" s="65"/>
      <c r="MBD28" s="65"/>
      <c r="MBE28" s="65"/>
      <c r="MBF28" s="65"/>
      <c r="MBG28" s="65"/>
      <c r="MBH28" s="65"/>
      <c r="MBI28" s="65"/>
      <c r="MBJ28" s="65"/>
      <c r="MBK28" s="65"/>
      <c r="MBL28" s="65"/>
      <c r="MBM28" s="65"/>
      <c r="MBN28" s="65"/>
      <c r="MBO28" s="65"/>
      <c r="MBP28" s="65"/>
      <c r="MBQ28" s="65"/>
      <c r="MBR28" s="65"/>
      <c r="MBS28" s="65"/>
      <c r="MBT28" s="65"/>
      <c r="MBU28" s="65"/>
      <c r="MBV28" s="65"/>
      <c r="MBW28" s="65"/>
      <c r="MBX28" s="65"/>
      <c r="MBY28" s="65"/>
      <c r="MBZ28" s="65"/>
      <c r="MCA28" s="65"/>
      <c r="MCB28" s="65"/>
      <c r="MCC28" s="65"/>
      <c r="MCD28" s="65"/>
      <c r="MCE28" s="65"/>
      <c r="MCF28" s="65"/>
      <c r="MCG28" s="65"/>
      <c r="MCH28" s="65"/>
      <c r="MCI28" s="65"/>
      <c r="MCJ28" s="65"/>
      <c r="MCK28" s="65"/>
      <c r="MCL28" s="65"/>
      <c r="MCM28" s="65"/>
      <c r="MCN28" s="65"/>
      <c r="MCO28" s="65"/>
      <c r="MCP28" s="65"/>
      <c r="MCQ28" s="65"/>
      <c r="MCR28" s="65"/>
      <c r="MCS28" s="65"/>
      <c r="MCT28" s="65"/>
      <c r="MCU28" s="65"/>
      <c r="MCV28" s="65"/>
      <c r="MCW28" s="65"/>
      <c r="MCX28" s="65"/>
      <c r="MCY28" s="65"/>
      <c r="MCZ28" s="65"/>
      <c r="MDA28" s="65"/>
      <c r="MDB28" s="65"/>
      <c r="MDC28" s="65"/>
      <c r="MDD28" s="65"/>
      <c r="MDE28" s="65"/>
      <c r="MDF28" s="65"/>
      <c r="MDG28" s="65"/>
      <c r="MDH28" s="65"/>
      <c r="MDI28" s="65"/>
      <c r="MDJ28" s="65"/>
      <c r="MDK28" s="65"/>
      <c r="MDL28" s="65"/>
      <c r="MDM28" s="65"/>
      <c r="MDN28" s="65"/>
      <c r="MDO28" s="65"/>
      <c r="MDP28" s="65"/>
      <c r="MDQ28" s="65"/>
      <c r="MDR28" s="65"/>
      <c r="MDS28" s="65"/>
      <c r="MDT28" s="65"/>
      <c r="MDU28" s="65"/>
      <c r="MDV28" s="65"/>
      <c r="MDW28" s="65"/>
      <c r="MDX28" s="65"/>
      <c r="MDY28" s="65"/>
      <c r="MDZ28" s="65"/>
      <c r="MEA28" s="65"/>
      <c r="MEB28" s="65"/>
      <c r="MEC28" s="65"/>
      <c r="MED28" s="65"/>
      <c r="MEE28" s="65"/>
      <c r="MEF28" s="65"/>
      <c r="MEG28" s="65"/>
      <c r="MEH28" s="65"/>
      <c r="MEI28" s="65"/>
      <c r="MEJ28" s="65"/>
      <c r="MEK28" s="65"/>
      <c r="MEL28" s="65"/>
      <c r="MEM28" s="65"/>
      <c r="MEN28" s="65"/>
      <c r="MEO28" s="65"/>
      <c r="MEP28" s="65"/>
      <c r="MEQ28" s="65"/>
      <c r="MER28" s="65"/>
      <c r="MES28" s="65"/>
      <c r="MET28" s="65"/>
      <c r="MEU28" s="65"/>
      <c r="MEV28" s="65"/>
      <c r="MEW28" s="65"/>
      <c r="MEX28" s="65"/>
      <c r="MEY28" s="65"/>
      <c r="MEZ28" s="65"/>
      <c r="MFA28" s="65"/>
      <c r="MFB28" s="65"/>
      <c r="MFC28" s="65"/>
      <c r="MFD28" s="65"/>
      <c r="MFE28" s="65"/>
      <c r="MFF28" s="65"/>
      <c r="MFG28" s="65"/>
      <c r="MFH28" s="65"/>
      <c r="MFI28" s="65"/>
      <c r="MFJ28" s="65"/>
      <c r="MFK28" s="65"/>
      <c r="MFL28" s="65"/>
      <c r="MFM28" s="65"/>
      <c r="MFN28" s="65"/>
      <c r="MFO28" s="65"/>
      <c r="MFP28" s="65"/>
      <c r="MFQ28" s="65"/>
      <c r="MFR28" s="65"/>
      <c r="MFS28" s="65"/>
      <c r="MFT28" s="65"/>
      <c r="MFU28" s="65"/>
      <c r="MFV28" s="65"/>
      <c r="MFW28" s="65"/>
      <c r="MFX28" s="65"/>
      <c r="MFY28" s="65"/>
      <c r="MFZ28" s="65"/>
      <c r="MGA28" s="65"/>
      <c r="MGB28" s="65"/>
      <c r="MGC28" s="65"/>
      <c r="MGD28" s="65"/>
      <c r="MGE28" s="65"/>
      <c r="MGF28" s="65"/>
      <c r="MGG28" s="65"/>
      <c r="MGH28" s="65"/>
      <c r="MGI28" s="65"/>
      <c r="MGJ28" s="65"/>
      <c r="MGK28" s="65"/>
      <c r="MGL28" s="65"/>
      <c r="MGM28" s="65"/>
      <c r="MGN28" s="65"/>
      <c r="MGO28" s="65"/>
      <c r="MGP28" s="65"/>
      <c r="MGQ28" s="65"/>
      <c r="MGR28" s="65"/>
      <c r="MGS28" s="65"/>
      <c r="MGT28" s="65"/>
      <c r="MGU28" s="65"/>
      <c r="MGV28" s="65"/>
      <c r="MGW28" s="65"/>
      <c r="MGX28" s="65"/>
      <c r="MGY28" s="65"/>
      <c r="MGZ28" s="65"/>
      <c r="MHA28" s="65"/>
      <c r="MHB28" s="65"/>
      <c r="MHC28" s="65"/>
      <c r="MHD28" s="65"/>
      <c r="MHE28" s="65"/>
      <c r="MHF28" s="65"/>
      <c r="MHG28" s="65"/>
      <c r="MHH28" s="65"/>
      <c r="MHI28" s="65"/>
      <c r="MHJ28" s="65"/>
      <c r="MHK28" s="65"/>
      <c r="MHL28" s="65"/>
      <c r="MHM28" s="65"/>
      <c r="MHN28" s="65"/>
      <c r="MHO28" s="65"/>
      <c r="MHP28" s="65"/>
      <c r="MHQ28" s="65"/>
      <c r="MHR28" s="65"/>
      <c r="MHS28" s="65"/>
      <c r="MHT28" s="65"/>
      <c r="MHU28" s="65"/>
      <c r="MHV28" s="65"/>
      <c r="MHW28" s="65"/>
      <c r="MHX28" s="65"/>
      <c r="MHY28" s="65"/>
      <c r="MHZ28" s="65"/>
      <c r="MIA28" s="65"/>
      <c r="MIB28" s="65"/>
      <c r="MIC28" s="65"/>
      <c r="MID28" s="65"/>
      <c r="MIE28" s="65"/>
      <c r="MIF28" s="65"/>
      <c r="MIG28" s="65"/>
      <c r="MIH28" s="65"/>
      <c r="MII28" s="65"/>
      <c r="MIJ28" s="65"/>
      <c r="MIK28" s="65"/>
      <c r="MIL28" s="65"/>
      <c r="MIM28" s="65"/>
      <c r="MIN28" s="65"/>
      <c r="MIO28" s="65"/>
      <c r="MIP28" s="65"/>
      <c r="MIQ28" s="65"/>
      <c r="MIR28" s="65"/>
      <c r="MIS28" s="65"/>
      <c r="MIT28" s="65"/>
      <c r="MIU28" s="65"/>
      <c r="MIV28" s="65"/>
      <c r="MIW28" s="65"/>
      <c r="MIX28" s="65"/>
      <c r="MIY28" s="65"/>
      <c r="MIZ28" s="65"/>
      <c r="MJA28" s="65"/>
      <c r="MJB28" s="65"/>
      <c r="MJC28" s="65"/>
      <c r="MJD28" s="65"/>
      <c r="MJE28" s="65"/>
      <c r="MJF28" s="65"/>
      <c r="MJG28" s="65"/>
      <c r="MJH28" s="65"/>
      <c r="MJI28" s="65"/>
      <c r="MJJ28" s="65"/>
      <c r="MJK28" s="65"/>
      <c r="MJL28" s="65"/>
      <c r="MJM28" s="65"/>
      <c r="MJN28" s="65"/>
      <c r="MJO28" s="65"/>
      <c r="MJP28" s="65"/>
      <c r="MJQ28" s="65"/>
      <c r="MJR28" s="65"/>
      <c r="MJS28" s="65"/>
      <c r="MJT28" s="65"/>
      <c r="MJU28" s="65"/>
      <c r="MJV28" s="65"/>
      <c r="MJW28" s="65"/>
      <c r="MJX28" s="65"/>
      <c r="MJY28" s="65"/>
      <c r="MJZ28" s="65"/>
      <c r="MKA28" s="65"/>
      <c r="MKB28" s="65"/>
      <c r="MKC28" s="65"/>
      <c r="MKD28" s="65"/>
      <c r="MKE28" s="65"/>
      <c r="MKF28" s="65"/>
      <c r="MKG28" s="65"/>
      <c r="MKH28" s="65"/>
      <c r="MKI28" s="65"/>
      <c r="MKJ28" s="65"/>
      <c r="MKK28" s="65"/>
      <c r="MKL28" s="65"/>
      <c r="MKM28" s="65"/>
      <c r="MKN28" s="65"/>
      <c r="MKO28" s="65"/>
      <c r="MKP28" s="65"/>
      <c r="MKQ28" s="65"/>
      <c r="MKR28" s="65"/>
      <c r="MKS28" s="65"/>
      <c r="MKT28" s="65"/>
      <c r="MKU28" s="65"/>
      <c r="MKV28" s="65"/>
      <c r="MKW28" s="65"/>
      <c r="MKX28" s="65"/>
      <c r="MKY28" s="65"/>
      <c r="MKZ28" s="65"/>
      <c r="MLA28" s="65"/>
      <c r="MLB28" s="65"/>
      <c r="MLC28" s="65"/>
      <c r="MLD28" s="65"/>
      <c r="MLE28" s="65"/>
      <c r="MLF28" s="65"/>
      <c r="MLG28" s="65"/>
      <c r="MLH28" s="65"/>
      <c r="MLI28" s="65"/>
      <c r="MLJ28" s="65"/>
      <c r="MLK28" s="65"/>
      <c r="MLL28" s="65"/>
      <c r="MLM28" s="65"/>
      <c r="MLN28" s="65"/>
      <c r="MLO28" s="65"/>
      <c r="MLP28" s="65"/>
      <c r="MLQ28" s="65"/>
      <c r="MLR28" s="65"/>
      <c r="MLS28" s="65"/>
      <c r="MLT28" s="65"/>
      <c r="MLU28" s="65"/>
      <c r="MLV28" s="65"/>
      <c r="MLW28" s="65"/>
      <c r="MLX28" s="65"/>
      <c r="MLY28" s="65"/>
      <c r="MLZ28" s="65"/>
      <c r="MMA28" s="65"/>
      <c r="MMB28" s="65"/>
      <c r="MMC28" s="65"/>
      <c r="MMD28" s="65"/>
      <c r="MME28" s="65"/>
      <c r="MMF28" s="65"/>
      <c r="MMG28" s="65"/>
      <c r="MMH28" s="65"/>
      <c r="MMI28" s="65"/>
      <c r="MMJ28" s="65"/>
      <c r="MMK28" s="65"/>
      <c r="MML28" s="65"/>
      <c r="MMM28" s="65"/>
      <c r="MMN28" s="65"/>
      <c r="MMO28" s="65"/>
      <c r="MMP28" s="65"/>
      <c r="MMQ28" s="65"/>
      <c r="MMR28" s="65"/>
      <c r="MMS28" s="65"/>
      <c r="MMT28" s="65"/>
      <c r="MMU28" s="65"/>
      <c r="MMV28" s="65"/>
      <c r="MMW28" s="65"/>
      <c r="MMX28" s="65"/>
      <c r="MMY28" s="65"/>
      <c r="MMZ28" s="65"/>
      <c r="MNA28" s="65"/>
      <c r="MNB28" s="65"/>
      <c r="MNC28" s="65"/>
      <c r="MND28" s="65"/>
      <c r="MNE28" s="65"/>
      <c r="MNF28" s="65"/>
      <c r="MNG28" s="65"/>
      <c r="MNH28" s="65"/>
      <c r="MNI28" s="65"/>
      <c r="MNJ28" s="65"/>
      <c r="MNK28" s="65"/>
      <c r="MNL28" s="65"/>
      <c r="MNM28" s="65"/>
      <c r="MNN28" s="65"/>
      <c r="MNO28" s="65"/>
      <c r="MNP28" s="65"/>
      <c r="MNQ28" s="65"/>
      <c r="MNR28" s="65"/>
      <c r="MNS28" s="65"/>
      <c r="MNT28" s="65"/>
      <c r="MNU28" s="65"/>
      <c r="MNV28" s="65"/>
      <c r="MNW28" s="65"/>
      <c r="MNX28" s="65"/>
      <c r="MNY28" s="65"/>
      <c r="MNZ28" s="65"/>
      <c r="MOA28" s="65"/>
      <c r="MOB28" s="65"/>
      <c r="MOC28" s="65"/>
      <c r="MOD28" s="65"/>
      <c r="MOE28" s="65"/>
      <c r="MOF28" s="65"/>
      <c r="MOG28" s="65"/>
      <c r="MOH28" s="65"/>
      <c r="MOI28" s="65"/>
      <c r="MOJ28" s="65"/>
      <c r="MOK28" s="65"/>
      <c r="MOL28" s="65"/>
      <c r="MOM28" s="65"/>
      <c r="MON28" s="65"/>
      <c r="MOO28" s="65"/>
      <c r="MOP28" s="65"/>
      <c r="MOQ28" s="65"/>
      <c r="MOR28" s="65"/>
      <c r="MOS28" s="65"/>
      <c r="MOT28" s="65"/>
      <c r="MOU28" s="65"/>
      <c r="MOV28" s="65"/>
      <c r="MOW28" s="65"/>
      <c r="MOX28" s="65"/>
      <c r="MOY28" s="65"/>
      <c r="MOZ28" s="65"/>
      <c r="MPA28" s="65"/>
      <c r="MPB28" s="65"/>
      <c r="MPC28" s="65"/>
      <c r="MPD28" s="65"/>
      <c r="MPE28" s="65"/>
      <c r="MPF28" s="65"/>
      <c r="MPG28" s="65"/>
      <c r="MPH28" s="65"/>
      <c r="MPI28" s="65"/>
      <c r="MPJ28" s="65"/>
      <c r="MPK28" s="65"/>
      <c r="MPL28" s="65"/>
      <c r="MPM28" s="65"/>
      <c r="MPN28" s="65"/>
      <c r="MPO28" s="65"/>
      <c r="MPP28" s="65"/>
      <c r="MPQ28" s="65"/>
      <c r="MPR28" s="65"/>
      <c r="MPS28" s="65"/>
      <c r="MPT28" s="65"/>
      <c r="MPU28" s="65"/>
      <c r="MPV28" s="65"/>
      <c r="MPW28" s="65"/>
      <c r="MPX28" s="65"/>
      <c r="MPY28" s="65"/>
      <c r="MPZ28" s="65"/>
      <c r="MQA28" s="65"/>
      <c r="MQB28" s="65"/>
      <c r="MQC28" s="65"/>
      <c r="MQD28" s="65"/>
      <c r="MQE28" s="65"/>
      <c r="MQF28" s="65"/>
      <c r="MQG28" s="65"/>
      <c r="MQH28" s="65"/>
      <c r="MQI28" s="65"/>
      <c r="MQJ28" s="65"/>
      <c r="MQK28" s="65"/>
      <c r="MQL28" s="65"/>
      <c r="MQM28" s="65"/>
      <c r="MQN28" s="65"/>
      <c r="MQO28" s="65"/>
      <c r="MQP28" s="65"/>
      <c r="MQQ28" s="65"/>
      <c r="MQR28" s="65"/>
      <c r="MQS28" s="65"/>
      <c r="MQT28" s="65"/>
      <c r="MQU28" s="65"/>
      <c r="MQV28" s="65"/>
      <c r="MQW28" s="65"/>
      <c r="MQX28" s="65"/>
      <c r="MQY28" s="65"/>
      <c r="MQZ28" s="65"/>
      <c r="MRA28" s="65"/>
      <c r="MRB28" s="65"/>
      <c r="MRC28" s="65"/>
      <c r="MRD28" s="65"/>
      <c r="MRE28" s="65"/>
      <c r="MRF28" s="65"/>
      <c r="MRG28" s="65"/>
      <c r="MRH28" s="65"/>
      <c r="MRI28" s="65"/>
      <c r="MRJ28" s="65"/>
      <c r="MRK28" s="65"/>
      <c r="MRL28" s="65"/>
      <c r="MRM28" s="65"/>
      <c r="MRN28" s="65"/>
      <c r="MRO28" s="65"/>
      <c r="MRP28" s="65"/>
      <c r="MRQ28" s="65"/>
      <c r="MRR28" s="65"/>
      <c r="MRS28" s="65"/>
      <c r="MRT28" s="65"/>
      <c r="MRU28" s="65"/>
      <c r="MRV28" s="65"/>
      <c r="MRW28" s="65"/>
      <c r="MRX28" s="65"/>
      <c r="MRY28" s="65"/>
      <c r="MRZ28" s="65"/>
      <c r="MSA28" s="65"/>
      <c r="MSB28" s="65"/>
      <c r="MSC28" s="65"/>
      <c r="MSD28" s="65"/>
      <c r="MSE28" s="65"/>
      <c r="MSF28" s="65"/>
      <c r="MSG28" s="65"/>
      <c r="MSH28" s="65"/>
      <c r="MSI28" s="65"/>
      <c r="MSJ28" s="65"/>
      <c r="MSK28" s="65"/>
      <c r="MSL28" s="65"/>
      <c r="MSM28" s="65"/>
      <c r="MSN28" s="65"/>
      <c r="MSO28" s="65"/>
      <c r="MSP28" s="65"/>
      <c r="MSQ28" s="65"/>
      <c r="MSR28" s="65"/>
      <c r="MSS28" s="65"/>
      <c r="MST28" s="65"/>
      <c r="MSU28" s="65"/>
      <c r="MSV28" s="65"/>
      <c r="MSW28" s="65"/>
      <c r="MSX28" s="65"/>
      <c r="MSY28" s="65"/>
      <c r="MSZ28" s="65"/>
      <c r="MTA28" s="65"/>
      <c r="MTB28" s="65"/>
      <c r="MTC28" s="65"/>
      <c r="MTD28" s="65"/>
      <c r="MTE28" s="65"/>
      <c r="MTF28" s="65"/>
      <c r="MTG28" s="65"/>
      <c r="MTH28" s="65"/>
      <c r="MTI28" s="65"/>
      <c r="MTJ28" s="65"/>
      <c r="MTK28" s="65"/>
      <c r="MTL28" s="65"/>
      <c r="MTM28" s="65"/>
      <c r="MTN28" s="65"/>
      <c r="MTO28" s="65"/>
      <c r="MTP28" s="65"/>
      <c r="MTQ28" s="65"/>
      <c r="MTR28" s="65"/>
      <c r="MTS28" s="65"/>
      <c r="MTT28" s="65"/>
      <c r="MTU28" s="65"/>
      <c r="MTV28" s="65"/>
      <c r="MTW28" s="65"/>
      <c r="MTX28" s="65"/>
      <c r="MTY28" s="65"/>
      <c r="MTZ28" s="65"/>
      <c r="MUA28" s="65"/>
      <c r="MUB28" s="65"/>
      <c r="MUC28" s="65"/>
      <c r="MUD28" s="65"/>
      <c r="MUE28" s="65"/>
      <c r="MUF28" s="65"/>
      <c r="MUG28" s="65"/>
      <c r="MUH28" s="65"/>
      <c r="MUI28" s="65"/>
      <c r="MUJ28" s="65"/>
      <c r="MUK28" s="65"/>
      <c r="MUL28" s="65"/>
      <c r="MUM28" s="65"/>
      <c r="MUN28" s="65"/>
      <c r="MUO28" s="65"/>
      <c r="MUP28" s="65"/>
      <c r="MUQ28" s="65"/>
      <c r="MUR28" s="65"/>
      <c r="MUS28" s="65"/>
      <c r="MUT28" s="65"/>
      <c r="MUU28" s="65"/>
      <c r="MUV28" s="65"/>
      <c r="MUW28" s="65"/>
      <c r="MUX28" s="65"/>
      <c r="MUY28" s="65"/>
      <c r="MUZ28" s="65"/>
      <c r="MVA28" s="65"/>
      <c r="MVB28" s="65"/>
      <c r="MVC28" s="65"/>
      <c r="MVD28" s="65"/>
      <c r="MVE28" s="65"/>
      <c r="MVF28" s="65"/>
      <c r="MVG28" s="65"/>
      <c r="MVH28" s="65"/>
      <c r="MVI28" s="65"/>
      <c r="MVJ28" s="65"/>
      <c r="MVK28" s="65"/>
      <c r="MVL28" s="65"/>
      <c r="MVM28" s="65"/>
      <c r="MVN28" s="65"/>
      <c r="MVO28" s="65"/>
      <c r="MVP28" s="65"/>
      <c r="MVQ28" s="65"/>
      <c r="MVR28" s="65"/>
      <c r="MVS28" s="65"/>
      <c r="MVT28" s="65"/>
      <c r="MVU28" s="65"/>
      <c r="MVV28" s="65"/>
      <c r="MVW28" s="65"/>
      <c r="MVX28" s="65"/>
      <c r="MVY28" s="65"/>
      <c r="MVZ28" s="65"/>
      <c r="MWA28" s="65"/>
      <c r="MWB28" s="65"/>
      <c r="MWC28" s="65"/>
      <c r="MWD28" s="65"/>
      <c r="MWE28" s="65"/>
      <c r="MWF28" s="65"/>
      <c r="MWG28" s="65"/>
      <c r="MWH28" s="65"/>
      <c r="MWI28" s="65"/>
      <c r="MWJ28" s="65"/>
      <c r="MWK28" s="65"/>
      <c r="MWL28" s="65"/>
      <c r="MWM28" s="65"/>
      <c r="MWN28" s="65"/>
      <c r="MWO28" s="65"/>
      <c r="MWP28" s="65"/>
      <c r="MWQ28" s="65"/>
      <c r="MWR28" s="65"/>
      <c r="MWS28" s="65"/>
      <c r="MWT28" s="65"/>
      <c r="MWU28" s="65"/>
      <c r="MWV28" s="65"/>
      <c r="MWW28" s="65"/>
      <c r="MWX28" s="65"/>
      <c r="MWY28" s="65"/>
      <c r="MWZ28" s="65"/>
      <c r="MXA28" s="65"/>
      <c r="MXB28" s="65"/>
      <c r="MXC28" s="65"/>
      <c r="MXD28" s="65"/>
      <c r="MXE28" s="65"/>
      <c r="MXF28" s="65"/>
      <c r="MXG28" s="65"/>
      <c r="MXH28" s="65"/>
      <c r="MXI28" s="65"/>
      <c r="MXJ28" s="65"/>
      <c r="MXK28" s="65"/>
      <c r="MXL28" s="65"/>
      <c r="MXM28" s="65"/>
      <c r="MXN28" s="65"/>
      <c r="MXO28" s="65"/>
      <c r="MXP28" s="65"/>
      <c r="MXQ28" s="65"/>
      <c r="MXR28" s="65"/>
      <c r="MXS28" s="65"/>
      <c r="MXT28" s="65"/>
      <c r="MXU28" s="65"/>
      <c r="MXV28" s="65"/>
      <c r="MXW28" s="65"/>
      <c r="MXX28" s="65"/>
      <c r="MXY28" s="65"/>
      <c r="MXZ28" s="65"/>
      <c r="MYA28" s="65"/>
      <c r="MYB28" s="65"/>
      <c r="MYC28" s="65"/>
      <c r="MYD28" s="65"/>
      <c r="MYE28" s="65"/>
      <c r="MYF28" s="65"/>
      <c r="MYG28" s="65"/>
      <c r="MYH28" s="65"/>
      <c r="MYI28" s="65"/>
      <c r="MYJ28" s="65"/>
      <c r="MYK28" s="65"/>
      <c r="MYL28" s="65"/>
      <c r="MYM28" s="65"/>
      <c r="MYN28" s="65"/>
      <c r="MYO28" s="65"/>
      <c r="MYP28" s="65"/>
      <c r="MYQ28" s="65"/>
      <c r="MYR28" s="65"/>
      <c r="MYS28" s="65"/>
      <c r="MYT28" s="65"/>
      <c r="MYU28" s="65"/>
      <c r="MYV28" s="65"/>
      <c r="MYW28" s="65"/>
      <c r="MYX28" s="65"/>
      <c r="MYY28" s="65"/>
      <c r="MYZ28" s="65"/>
      <c r="MZA28" s="65"/>
      <c r="MZB28" s="65"/>
      <c r="MZC28" s="65"/>
      <c r="MZD28" s="65"/>
      <c r="MZE28" s="65"/>
      <c r="MZF28" s="65"/>
      <c r="MZG28" s="65"/>
      <c r="MZH28" s="65"/>
      <c r="MZI28" s="65"/>
      <c r="MZJ28" s="65"/>
      <c r="MZK28" s="65"/>
      <c r="MZL28" s="65"/>
      <c r="MZM28" s="65"/>
      <c r="MZN28" s="65"/>
      <c r="MZO28" s="65"/>
      <c r="MZP28" s="65"/>
      <c r="MZQ28" s="65"/>
      <c r="MZR28" s="65"/>
      <c r="MZS28" s="65"/>
      <c r="MZT28" s="65"/>
      <c r="MZU28" s="65"/>
      <c r="MZV28" s="65"/>
      <c r="MZW28" s="65"/>
      <c r="MZX28" s="65"/>
      <c r="MZY28" s="65"/>
      <c r="MZZ28" s="65"/>
      <c r="NAA28" s="65"/>
      <c r="NAB28" s="65"/>
      <c r="NAC28" s="65"/>
      <c r="NAD28" s="65"/>
      <c r="NAE28" s="65"/>
      <c r="NAF28" s="65"/>
      <c r="NAG28" s="65"/>
      <c r="NAH28" s="65"/>
      <c r="NAI28" s="65"/>
      <c r="NAJ28" s="65"/>
      <c r="NAK28" s="65"/>
      <c r="NAL28" s="65"/>
      <c r="NAM28" s="65"/>
      <c r="NAN28" s="65"/>
      <c r="NAO28" s="65"/>
      <c r="NAP28" s="65"/>
      <c r="NAQ28" s="65"/>
      <c r="NAR28" s="65"/>
      <c r="NAS28" s="65"/>
      <c r="NAT28" s="65"/>
      <c r="NAU28" s="65"/>
      <c r="NAV28" s="65"/>
      <c r="NAW28" s="65"/>
      <c r="NAX28" s="65"/>
      <c r="NAY28" s="65"/>
      <c r="NAZ28" s="65"/>
      <c r="NBA28" s="65"/>
      <c r="NBB28" s="65"/>
      <c r="NBC28" s="65"/>
      <c r="NBD28" s="65"/>
      <c r="NBE28" s="65"/>
      <c r="NBF28" s="65"/>
      <c r="NBG28" s="65"/>
      <c r="NBH28" s="65"/>
      <c r="NBI28" s="65"/>
      <c r="NBJ28" s="65"/>
      <c r="NBK28" s="65"/>
      <c r="NBL28" s="65"/>
      <c r="NBM28" s="65"/>
      <c r="NBN28" s="65"/>
      <c r="NBO28" s="65"/>
      <c r="NBP28" s="65"/>
      <c r="NBQ28" s="65"/>
      <c r="NBR28" s="65"/>
      <c r="NBS28" s="65"/>
      <c r="NBT28" s="65"/>
      <c r="NBU28" s="65"/>
      <c r="NBV28" s="65"/>
      <c r="NBW28" s="65"/>
      <c r="NBX28" s="65"/>
      <c r="NBY28" s="65"/>
      <c r="NBZ28" s="65"/>
      <c r="NCA28" s="65"/>
      <c r="NCB28" s="65"/>
      <c r="NCC28" s="65"/>
      <c r="NCD28" s="65"/>
      <c r="NCE28" s="65"/>
      <c r="NCF28" s="65"/>
      <c r="NCG28" s="65"/>
      <c r="NCH28" s="65"/>
      <c r="NCI28" s="65"/>
      <c r="NCJ28" s="65"/>
      <c r="NCK28" s="65"/>
      <c r="NCL28" s="65"/>
      <c r="NCM28" s="65"/>
      <c r="NCN28" s="65"/>
      <c r="NCO28" s="65"/>
      <c r="NCP28" s="65"/>
      <c r="NCQ28" s="65"/>
      <c r="NCR28" s="65"/>
      <c r="NCS28" s="65"/>
      <c r="NCT28" s="65"/>
      <c r="NCU28" s="65"/>
      <c r="NCV28" s="65"/>
      <c r="NCW28" s="65"/>
      <c r="NCX28" s="65"/>
      <c r="NCY28" s="65"/>
      <c r="NCZ28" s="65"/>
      <c r="NDA28" s="65"/>
      <c r="NDB28" s="65"/>
      <c r="NDC28" s="65"/>
      <c r="NDD28" s="65"/>
      <c r="NDE28" s="65"/>
      <c r="NDF28" s="65"/>
      <c r="NDG28" s="65"/>
      <c r="NDH28" s="65"/>
      <c r="NDI28" s="65"/>
      <c r="NDJ28" s="65"/>
      <c r="NDK28" s="65"/>
      <c r="NDL28" s="65"/>
      <c r="NDM28" s="65"/>
      <c r="NDN28" s="65"/>
      <c r="NDO28" s="65"/>
      <c r="NDP28" s="65"/>
      <c r="NDQ28" s="65"/>
      <c r="NDR28" s="65"/>
      <c r="NDS28" s="65"/>
      <c r="NDT28" s="65"/>
      <c r="NDU28" s="65"/>
      <c r="NDV28" s="65"/>
      <c r="NDW28" s="65"/>
      <c r="NDX28" s="65"/>
      <c r="NDY28" s="65"/>
      <c r="NDZ28" s="65"/>
      <c r="NEA28" s="65"/>
      <c r="NEB28" s="65"/>
      <c r="NEC28" s="65"/>
      <c r="NED28" s="65"/>
      <c r="NEE28" s="65"/>
      <c r="NEF28" s="65"/>
      <c r="NEG28" s="65"/>
      <c r="NEH28" s="65"/>
      <c r="NEI28" s="65"/>
      <c r="NEJ28" s="65"/>
      <c r="NEK28" s="65"/>
      <c r="NEL28" s="65"/>
      <c r="NEM28" s="65"/>
      <c r="NEN28" s="65"/>
      <c r="NEO28" s="65"/>
      <c r="NEP28" s="65"/>
      <c r="NEQ28" s="65"/>
      <c r="NER28" s="65"/>
      <c r="NES28" s="65"/>
      <c r="NET28" s="65"/>
      <c r="NEU28" s="65"/>
      <c r="NEV28" s="65"/>
      <c r="NEW28" s="65"/>
      <c r="NEX28" s="65"/>
      <c r="NEY28" s="65"/>
      <c r="NEZ28" s="65"/>
      <c r="NFA28" s="65"/>
      <c r="NFB28" s="65"/>
      <c r="NFC28" s="65"/>
      <c r="NFD28" s="65"/>
      <c r="NFE28" s="65"/>
      <c r="NFF28" s="65"/>
      <c r="NFG28" s="65"/>
      <c r="NFH28" s="65"/>
      <c r="NFI28" s="65"/>
      <c r="NFJ28" s="65"/>
      <c r="NFK28" s="65"/>
      <c r="NFL28" s="65"/>
      <c r="NFM28" s="65"/>
      <c r="NFN28" s="65"/>
      <c r="NFO28" s="65"/>
      <c r="NFP28" s="65"/>
      <c r="NFQ28" s="65"/>
      <c r="NFR28" s="65"/>
      <c r="NFS28" s="65"/>
      <c r="NFT28" s="65"/>
      <c r="NFU28" s="65"/>
      <c r="NFV28" s="65"/>
      <c r="NFW28" s="65"/>
      <c r="NFX28" s="65"/>
      <c r="NFY28" s="65"/>
      <c r="NFZ28" s="65"/>
      <c r="NGA28" s="65"/>
      <c r="NGB28" s="65"/>
      <c r="NGC28" s="65"/>
      <c r="NGD28" s="65"/>
      <c r="NGE28" s="65"/>
      <c r="NGF28" s="65"/>
      <c r="NGG28" s="65"/>
      <c r="NGH28" s="65"/>
      <c r="NGI28" s="65"/>
      <c r="NGJ28" s="65"/>
      <c r="NGK28" s="65"/>
      <c r="NGL28" s="65"/>
      <c r="NGM28" s="65"/>
      <c r="NGN28" s="65"/>
      <c r="NGO28" s="65"/>
      <c r="NGP28" s="65"/>
      <c r="NGQ28" s="65"/>
      <c r="NGR28" s="65"/>
      <c r="NGS28" s="65"/>
      <c r="NGT28" s="65"/>
      <c r="NGU28" s="65"/>
      <c r="NGV28" s="65"/>
      <c r="NGW28" s="65"/>
      <c r="NGX28" s="65"/>
      <c r="NGY28" s="65"/>
      <c r="NGZ28" s="65"/>
      <c r="NHA28" s="65"/>
      <c r="NHB28" s="65"/>
      <c r="NHC28" s="65"/>
      <c r="NHD28" s="65"/>
      <c r="NHE28" s="65"/>
      <c r="NHF28" s="65"/>
      <c r="NHG28" s="65"/>
      <c r="NHH28" s="65"/>
      <c r="NHI28" s="65"/>
      <c r="NHJ28" s="65"/>
      <c r="NHK28" s="65"/>
      <c r="NHL28" s="65"/>
      <c r="NHM28" s="65"/>
      <c r="NHN28" s="65"/>
      <c r="NHO28" s="65"/>
      <c r="NHP28" s="65"/>
      <c r="NHQ28" s="65"/>
      <c r="NHR28" s="65"/>
      <c r="NHS28" s="65"/>
      <c r="NHT28" s="65"/>
      <c r="NHU28" s="65"/>
      <c r="NHV28" s="65"/>
      <c r="NHW28" s="65"/>
      <c r="NHX28" s="65"/>
      <c r="NHY28" s="65"/>
      <c r="NHZ28" s="65"/>
      <c r="NIA28" s="65"/>
      <c r="NIB28" s="65"/>
      <c r="NIC28" s="65"/>
      <c r="NID28" s="65"/>
      <c r="NIE28" s="65"/>
      <c r="NIF28" s="65"/>
      <c r="NIG28" s="65"/>
      <c r="NIH28" s="65"/>
      <c r="NII28" s="65"/>
      <c r="NIJ28" s="65"/>
      <c r="NIK28" s="65"/>
      <c r="NIL28" s="65"/>
      <c r="NIM28" s="65"/>
      <c r="NIN28" s="65"/>
      <c r="NIO28" s="65"/>
      <c r="NIP28" s="65"/>
      <c r="NIQ28" s="65"/>
      <c r="NIR28" s="65"/>
      <c r="NIS28" s="65"/>
      <c r="NIT28" s="65"/>
      <c r="NIU28" s="65"/>
      <c r="NIV28" s="65"/>
      <c r="NIW28" s="65"/>
      <c r="NIX28" s="65"/>
      <c r="NIY28" s="65"/>
      <c r="NIZ28" s="65"/>
      <c r="NJA28" s="65"/>
      <c r="NJB28" s="65"/>
      <c r="NJC28" s="65"/>
      <c r="NJD28" s="65"/>
      <c r="NJE28" s="65"/>
      <c r="NJF28" s="65"/>
      <c r="NJG28" s="65"/>
      <c r="NJH28" s="65"/>
      <c r="NJI28" s="65"/>
      <c r="NJJ28" s="65"/>
      <c r="NJK28" s="65"/>
      <c r="NJL28" s="65"/>
      <c r="NJM28" s="65"/>
      <c r="NJN28" s="65"/>
      <c r="NJO28" s="65"/>
      <c r="NJP28" s="65"/>
      <c r="NJQ28" s="65"/>
      <c r="NJR28" s="65"/>
      <c r="NJS28" s="65"/>
      <c r="NJT28" s="65"/>
      <c r="NJU28" s="65"/>
      <c r="NJV28" s="65"/>
      <c r="NJW28" s="65"/>
      <c r="NJX28" s="65"/>
      <c r="NJY28" s="65"/>
      <c r="NJZ28" s="65"/>
      <c r="NKA28" s="65"/>
      <c r="NKB28" s="65"/>
      <c r="NKC28" s="65"/>
      <c r="NKD28" s="65"/>
      <c r="NKE28" s="65"/>
      <c r="NKF28" s="65"/>
      <c r="NKG28" s="65"/>
      <c r="NKH28" s="65"/>
      <c r="NKI28" s="65"/>
      <c r="NKJ28" s="65"/>
      <c r="NKK28" s="65"/>
      <c r="NKL28" s="65"/>
      <c r="NKM28" s="65"/>
      <c r="NKN28" s="65"/>
      <c r="NKO28" s="65"/>
      <c r="NKP28" s="65"/>
      <c r="NKQ28" s="65"/>
      <c r="NKR28" s="65"/>
      <c r="NKS28" s="65"/>
      <c r="NKT28" s="65"/>
      <c r="NKU28" s="65"/>
      <c r="NKV28" s="65"/>
      <c r="NKW28" s="65"/>
      <c r="NKX28" s="65"/>
      <c r="NKY28" s="65"/>
      <c r="NKZ28" s="65"/>
      <c r="NLA28" s="65"/>
      <c r="NLB28" s="65"/>
      <c r="NLC28" s="65"/>
      <c r="NLD28" s="65"/>
      <c r="NLE28" s="65"/>
      <c r="NLF28" s="65"/>
      <c r="NLG28" s="65"/>
      <c r="NLH28" s="65"/>
      <c r="NLI28" s="65"/>
      <c r="NLJ28" s="65"/>
      <c r="NLK28" s="65"/>
      <c r="NLL28" s="65"/>
      <c r="NLM28" s="65"/>
      <c r="NLN28" s="65"/>
      <c r="NLO28" s="65"/>
      <c r="NLP28" s="65"/>
      <c r="NLQ28" s="65"/>
      <c r="NLR28" s="65"/>
      <c r="NLS28" s="65"/>
      <c r="NLT28" s="65"/>
      <c r="NLU28" s="65"/>
      <c r="NLV28" s="65"/>
      <c r="NLW28" s="65"/>
      <c r="NLX28" s="65"/>
      <c r="NLY28" s="65"/>
      <c r="NLZ28" s="65"/>
      <c r="NMA28" s="65"/>
      <c r="NMB28" s="65"/>
      <c r="NMC28" s="65"/>
      <c r="NMD28" s="65"/>
      <c r="NME28" s="65"/>
      <c r="NMF28" s="65"/>
      <c r="NMG28" s="65"/>
      <c r="NMH28" s="65"/>
      <c r="NMI28" s="65"/>
      <c r="NMJ28" s="65"/>
      <c r="NMK28" s="65"/>
      <c r="NML28" s="65"/>
      <c r="NMM28" s="65"/>
      <c r="NMN28" s="65"/>
      <c r="NMO28" s="65"/>
      <c r="NMP28" s="65"/>
      <c r="NMQ28" s="65"/>
      <c r="NMR28" s="65"/>
      <c r="NMS28" s="65"/>
      <c r="NMT28" s="65"/>
      <c r="NMU28" s="65"/>
      <c r="NMV28" s="65"/>
      <c r="NMW28" s="65"/>
      <c r="NMX28" s="65"/>
      <c r="NMY28" s="65"/>
      <c r="NMZ28" s="65"/>
      <c r="NNA28" s="65"/>
      <c r="NNB28" s="65"/>
      <c r="NNC28" s="65"/>
      <c r="NND28" s="65"/>
      <c r="NNE28" s="65"/>
      <c r="NNF28" s="65"/>
      <c r="NNG28" s="65"/>
      <c r="NNH28" s="65"/>
      <c r="NNI28" s="65"/>
      <c r="NNJ28" s="65"/>
      <c r="NNK28" s="65"/>
      <c r="NNL28" s="65"/>
      <c r="NNM28" s="65"/>
      <c r="NNN28" s="65"/>
      <c r="NNO28" s="65"/>
      <c r="NNP28" s="65"/>
      <c r="NNQ28" s="65"/>
      <c r="NNR28" s="65"/>
      <c r="NNS28" s="65"/>
      <c r="NNT28" s="65"/>
      <c r="NNU28" s="65"/>
      <c r="NNV28" s="65"/>
      <c r="NNW28" s="65"/>
      <c r="NNX28" s="65"/>
      <c r="NNY28" s="65"/>
      <c r="NNZ28" s="65"/>
      <c r="NOA28" s="65"/>
      <c r="NOB28" s="65"/>
      <c r="NOC28" s="65"/>
      <c r="NOD28" s="65"/>
      <c r="NOE28" s="65"/>
      <c r="NOF28" s="65"/>
      <c r="NOG28" s="65"/>
      <c r="NOH28" s="65"/>
      <c r="NOI28" s="65"/>
      <c r="NOJ28" s="65"/>
      <c r="NOK28" s="65"/>
      <c r="NOL28" s="65"/>
      <c r="NOM28" s="65"/>
      <c r="NON28" s="65"/>
      <c r="NOO28" s="65"/>
      <c r="NOP28" s="65"/>
      <c r="NOQ28" s="65"/>
      <c r="NOR28" s="65"/>
      <c r="NOS28" s="65"/>
      <c r="NOT28" s="65"/>
      <c r="NOU28" s="65"/>
      <c r="NOV28" s="65"/>
      <c r="NOW28" s="65"/>
      <c r="NOX28" s="65"/>
      <c r="NOY28" s="65"/>
      <c r="NOZ28" s="65"/>
      <c r="NPA28" s="65"/>
      <c r="NPB28" s="65"/>
      <c r="NPC28" s="65"/>
      <c r="NPD28" s="65"/>
      <c r="NPE28" s="65"/>
      <c r="NPF28" s="65"/>
      <c r="NPG28" s="65"/>
      <c r="NPH28" s="65"/>
      <c r="NPI28" s="65"/>
      <c r="NPJ28" s="65"/>
      <c r="NPK28" s="65"/>
      <c r="NPL28" s="65"/>
      <c r="NPM28" s="65"/>
      <c r="NPN28" s="65"/>
      <c r="NPO28" s="65"/>
      <c r="NPP28" s="65"/>
      <c r="NPQ28" s="65"/>
      <c r="NPR28" s="65"/>
      <c r="NPS28" s="65"/>
      <c r="NPT28" s="65"/>
      <c r="NPU28" s="65"/>
      <c r="NPV28" s="65"/>
      <c r="NPW28" s="65"/>
      <c r="NPX28" s="65"/>
      <c r="NPY28" s="65"/>
      <c r="NPZ28" s="65"/>
      <c r="NQA28" s="65"/>
      <c r="NQB28" s="65"/>
      <c r="NQC28" s="65"/>
      <c r="NQD28" s="65"/>
      <c r="NQE28" s="65"/>
      <c r="NQF28" s="65"/>
      <c r="NQG28" s="65"/>
      <c r="NQH28" s="65"/>
      <c r="NQI28" s="65"/>
      <c r="NQJ28" s="65"/>
      <c r="NQK28" s="65"/>
      <c r="NQL28" s="65"/>
      <c r="NQM28" s="65"/>
      <c r="NQN28" s="65"/>
      <c r="NQO28" s="65"/>
      <c r="NQP28" s="65"/>
      <c r="NQQ28" s="65"/>
      <c r="NQR28" s="65"/>
      <c r="NQS28" s="65"/>
      <c r="NQT28" s="65"/>
      <c r="NQU28" s="65"/>
      <c r="NQV28" s="65"/>
      <c r="NQW28" s="65"/>
      <c r="NQX28" s="65"/>
      <c r="NQY28" s="65"/>
      <c r="NQZ28" s="65"/>
      <c r="NRA28" s="65"/>
      <c r="NRB28" s="65"/>
      <c r="NRC28" s="65"/>
      <c r="NRD28" s="65"/>
      <c r="NRE28" s="65"/>
      <c r="NRF28" s="65"/>
      <c r="NRG28" s="65"/>
      <c r="NRH28" s="65"/>
      <c r="NRI28" s="65"/>
      <c r="NRJ28" s="65"/>
      <c r="NRK28" s="65"/>
      <c r="NRL28" s="65"/>
      <c r="NRM28" s="65"/>
      <c r="NRN28" s="65"/>
      <c r="NRO28" s="65"/>
      <c r="NRP28" s="65"/>
      <c r="NRQ28" s="65"/>
      <c r="NRR28" s="65"/>
      <c r="NRS28" s="65"/>
      <c r="NRT28" s="65"/>
      <c r="NRU28" s="65"/>
      <c r="NRV28" s="65"/>
      <c r="NRW28" s="65"/>
      <c r="NRX28" s="65"/>
      <c r="NRY28" s="65"/>
      <c r="NRZ28" s="65"/>
      <c r="NSA28" s="65"/>
      <c r="NSB28" s="65"/>
      <c r="NSC28" s="65"/>
      <c r="NSD28" s="65"/>
      <c r="NSE28" s="65"/>
      <c r="NSF28" s="65"/>
      <c r="NSG28" s="65"/>
      <c r="NSH28" s="65"/>
      <c r="NSI28" s="65"/>
      <c r="NSJ28" s="65"/>
      <c r="NSK28" s="65"/>
      <c r="NSL28" s="65"/>
      <c r="NSM28" s="65"/>
      <c r="NSN28" s="65"/>
      <c r="NSO28" s="65"/>
      <c r="NSP28" s="65"/>
      <c r="NSQ28" s="65"/>
      <c r="NSR28" s="65"/>
      <c r="NSS28" s="65"/>
      <c r="NST28" s="65"/>
      <c r="NSU28" s="65"/>
      <c r="NSV28" s="65"/>
      <c r="NSW28" s="65"/>
      <c r="NSX28" s="65"/>
      <c r="NSY28" s="65"/>
      <c r="NSZ28" s="65"/>
      <c r="NTA28" s="65"/>
      <c r="NTB28" s="65"/>
      <c r="NTC28" s="65"/>
      <c r="NTD28" s="65"/>
      <c r="NTE28" s="65"/>
      <c r="NTF28" s="65"/>
      <c r="NTG28" s="65"/>
      <c r="NTH28" s="65"/>
      <c r="NTI28" s="65"/>
      <c r="NTJ28" s="65"/>
      <c r="NTK28" s="65"/>
      <c r="NTL28" s="65"/>
      <c r="NTM28" s="65"/>
      <c r="NTN28" s="65"/>
      <c r="NTO28" s="65"/>
      <c r="NTP28" s="65"/>
      <c r="NTQ28" s="65"/>
      <c r="NTR28" s="65"/>
      <c r="NTS28" s="65"/>
      <c r="NTT28" s="65"/>
      <c r="NTU28" s="65"/>
      <c r="NTV28" s="65"/>
      <c r="NTW28" s="65"/>
      <c r="NTX28" s="65"/>
      <c r="NTY28" s="65"/>
      <c r="NTZ28" s="65"/>
      <c r="NUA28" s="65"/>
      <c r="NUB28" s="65"/>
      <c r="NUC28" s="65"/>
      <c r="NUD28" s="65"/>
      <c r="NUE28" s="65"/>
      <c r="NUF28" s="65"/>
      <c r="NUG28" s="65"/>
      <c r="NUH28" s="65"/>
      <c r="NUI28" s="65"/>
      <c r="NUJ28" s="65"/>
      <c r="NUK28" s="65"/>
      <c r="NUL28" s="65"/>
      <c r="NUM28" s="65"/>
      <c r="NUN28" s="65"/>
      <c r="NUO28" s="65"/>
      <c r="NUP28" s="65"/>
      <c r="NUQ28" s="65"/>
      <c r="NUR28" s="65"/>
      <c r="NUS28" s="65"/>
      <c r="NUT28" s="65"/>
      <c r="NUU28" s="65"/>
      <c r="NUV28" s="65"/>
      <c r="NUW28" s="65"/>
      <c r="NUX28" s="65"/>
      <c r="NUY28" s="65"/>
      <c r="NUZ28" s="65"/>
      <c r="NVA28" s="65"/>
      <c r="NVB28" s="65"/>
      <c r="NVC28" s="65"/>
      <c r="NVD28" s="65"/>
      <c r="NVE28" s="65"/>
      <c r="NVF28" s="65"/>
      <c r="NVG28" s="65"/>
      <c r="NVH28" s="65"/>
      <c r="NVI28" s="65"/>
      <c r="NVJ28" s="65"/>
      <c r="NVK28" s="65"/>
      <c r="NVL28" s="65"/>
      <c r="NVM28" s="65"/>
      <c r="NVN28" s="65"/>
      <c r="NVO28" s="65"/>
      <c r="NVP28" s="65"/>
      <c r="NVQ28" s="65"/>
      <c r="NVR28" s="65"/>
      <c r="NVS28" s="65"/>
      <c r="NVT28" s="65"/>
      <c r="NVU28" s="65"/>
      <c r="NVV28" s="65"/>
      <c r="NVW28" s="65"/>
      <c r="NVX28" s="65"/>
      <c r="NVY28" s="65"/>
      <c r="NVZ28" s="65"/>
      <c r="NWA28" s="65"/>
      <c r="NWB28" s="65"/>
      <c r="NWC28" s="65"/>
      <c r="NWD28" s="65"/>
      <c r="NWE28" s="65"/>
      <c r="NWF28" s="65"/>
      <c r="NWG28" s="65"/>
      <c r="NWH28" s="65"/>
      <c r="NWI28" s="65"/>
      <c r="NWJ28" s="65"/>
      <c r="NWK28" s="65"/>
      <c r="NWL28" s="65"/>
      <c r="NWM28" s="65"/>
      <c r="NWN28" s="65"/>
      <c r="NWO28" s="65"/>
      <c r="NWP28" s="65"/>
      <c r="NWQ28" s="65"/>
      <c r="NWR28" s="65"/>
      <c r="NWS28" s="65"/>
      <c r="NWT28" s="65"/>
      <c r="NWU28" s="65"/>
      <c r="NWV28" s="65"/>
      <c r="NWW28" s="65"/>
      <c r="NWX28" s="65"/>
      <c r="NWY28" s="65"/>
      <c r="NWZ28" s="65"/>
      <c r="NXA28" s="65"/>
      <c r="NXB28" s="65"/>
      <c r="NXC28" s="65"/>
      <c r="NXD28" s="65"/>
      <c r="NXE28" s="65"/>
      <c r="NXF28" s="65"/>
      <c r="NXG28" s="65"/>
      <c r="NXH28" s="65"/>
      <c r="NXI28" s="65"/>
      <c r="NXJ28" s="65"/>
      <c r="NXK28" s="65"/>
      <c r="NXL28" s="65"/>
      <c r="NXM28" s="65"/>
      <c r="NXN28" s="65"/>
      <c r="NXO28" s="65"/>
      <c r="NXP28" s="65"/>
      <c r="NXQ28" s="65"/>
      <c r="NXR28" s="65"/>
      <c r="NXS28" s="65"/>
      <c r="NXT28" s="65"/>
      <c r="NXU28" s="65"/>
      <c r="NXV28" s="65"/>
      <c r="NXW28" s="65"/>
      <c r="NXX28" s="65"/>
      <c r="NXY28" s="65"/>
      <c r="NXZ28" s="65"/>
      <c r="NYA28" s="65"/>
      <c r="NYB28" s="65"/>
      <c r="NYC28" s="65"/>
      <c r="NYD28" s="65"/>
      <c r="NYE28" s="65"/>
      <c r="NYF28" s="65"/>
      <c r="NYG28" s="65"/>
      <c r="NYH28" s="65"/>
      <c r="NYI28" s="65"/>
      <c r="NYJ28" s="65"/>
      <c r="NYK28" s="65"/>
      <c r="NYL28" s="65"/>
      <c r="NYM28" s="65"/>
      <c r="NYN28" s="65"/>
      <c r="NYO28" s="65"/>
      <c r="NYP28" s="65"/>
      <c r="NYQ28" s="65"/>
      <c r="NYR28" s="65"/>
      <c r="NYS28" s="65"/>
      <c r="NYT28" s="65"/>
      <c r="NYU28" s="65"/>
      <c r="NYV28" s="65"/>
      <c r="NYW28" s="65"/>
      <c r="NYX28" s="65"/>
      <c r="NYY28" s="65"/>
      <c r="NYZ28" s="65"/>
      <c r="NZA28" s="65"/>
      <c r="NZB28" s="65"/>
      <c r="NZC28" s="65"/>
      <c r="NZD28" s="65"/>
      <c r="NZE28" s="65"/>
      <c r="NZF28" s="65"/>
      <c r="NZG28" s="65"/>
      <c r="NZH28" s="65"/>
      <c r="NZI28" s="65"/>
      <c r="NZJ28" s="65"/>
      <c r="NZK28" s="65"/>
      <c r="NZL28" s="65"/>
      <c r="NZM28" s="65"/>
      <c r="NZN28" s="65"/>
      <c r="NZO28" s="65"/>
      <c r="NZP28" s="65"/>
      <c r="NZQ28" s="65"/>
      <c r="NZR28" s="65"/>
      <c r="NZS28" s="65"/>
      <c r="NZT28" s="65"/>
      <c r="NZU28" s="65"/>
      <c r="NZV28" s="65"/>
      <c r="NZW28" s="65"/>
      <c r="NZX28" s="65"/>
      <c r="NZY28" s="65"/>
      <c r="NZZ28" s="65"/>
      <c r="OAA28" s="65"/>
      <c r="OAB28" s="65"/>
      <c r="OAC28" s="65"/>
      <c r="OAD28" s="65"/>
      <c r="OAE28" s="65"/>
      <c r="OAF28" s="65"/>
      <c r="OAG28" s="65"/>
      <c r="OAH28" s="65"/>
      <c r="OAI28" s="65"/>
      <c r="OAJ28" s="65"/>
      <c r="OAK28" s="65"/>
      <c r="OAL28" s="65"/>
      <c r="OAM28" s="65"/>
      <c r="OAN28" s="65"/>
      <c r="OAO28" s="65"/>
      <c r="OAP28" s="65"/>
      <c r="OAQ28" s="65"/>
      <c r="OAR28" s="65"/>
      <c r="OAS28" s="65"/>
      <c r="OAT28" s="65"/>
      <c r="OAU28" s="65"/>
      <c r="OAV28" s="65"/>
      <c r="OAW28" s="65"/>
      <c r="OAX28" s="65"/>
      <c r="OAY28" s="65"/>
      <c r="OAZ28" s="65"/>
      <c r="OBA28" s="65"/>
      <c r="OBB28" s="65"/>
      <c r="OBC28" s="65"/>
      <c r="OBD28" s="65"/>
      <c r="OBE28" s="65"/>
      <c r="OBF28" s="65"/>
      <c r="OBG28" s="65"/>
      <c r="OBH28" s="65"/>
      <c r="OBI28" s="65"/>
      <c r="OBJ28" s="65"/>
      <c r="OBK28" s="65"/>
      <c r="OBL28" s="65"/>
      <c r="OBM28" s="65"/>
      <c r="OBN28" s="65"/>
      <c r="OBO28" s="65"/>
      <c r="OBP28" s="65"/>
      <c r="OBQ28" s="65"/>
      <c r="OBR28" s="65"/>
      <c r="OBS28" s="65"/>
      <c r="OBT28" s="65"/>
      <c r="OBU28" s="65"/>
      <c r="OBV28" s="65"/>
      <c r="OBW28" s="65"/>
      <c r="OBX28" s="65"/>
      <c r="OBY28" s="65"/>
      <c r="OBZ28" s="65"/>
      <c r="OCA28" s="65"/>
      <c r="OCB28" s="65"/>
      <c r="OCC28" s="65"/>
      <c r="OCD28" s="65"/>
      <c r="OCE28" s="65"/>
      <c r="OCF28" s="65"/>
      <c r="OCG28" s="65"/>
      <c r="OCH28" s="65"/>
      <c r="OCI28" s="65"/>
      <c r="OCJ28" s="65"/>
      <c r="OCK28" s="65"/>
      <c r="OCL28" s="65"/>
      <c r="OCM28" s="65"/>
      <c r="OCN28" s="65"/>
      <c r="OCO28" s="65"/>
      <c r="OCP28" s="65"/>
      <c r="OCQ28" s="65"/>
      <c r="OCR28" s="65"/>
      <c r="OCS28" s="65"/>
      <c r="OCT28" s="65"/>
      <c r="OCU28" s="65"/>
      <c r="OCV28" s="65"/>
      <c r="OCW28" s="65"/>
      <c r="OCX28" s="65"/>
      <c r="OCY28" s="65"/>
      <c r="OCZ28" s="65"/>
      <c r="ODA28" s="65"/>
      <c r="ODB28" s="65"/>
      <c r="ODC28" s="65"/>
      <c r="ODD28" s="65"/>
      <c r="ODE28" s="65"/>
      <c r="ODF28" s="65"/>
      <c r="ODG28" s="65"/>
      <c r="ODH28" s="65"/>
      <c r="ODI28" s="65"/>
      <c r="ODJ28" s="65"/>
      <c r="ODK28" s="65"/>
      <c r="ODL28" s="65"/>
      <c r="ODM28" s="65"/>
      <c r="ODN28" s="65"/>
      <c r="ODO28" s="65"/>
      <c r="ODP28" s="65"/>
      <c r="ODQ28" s="65"/>
      <c r="ODR28" s="65"/>
      <c r="ODS28" s="65"/>
      <c r="ODT28" s="65"/>
      <c r="ODU28" s="65"/>
      <c r="ODV28" s="65"/>
      <c r="ODW28" s="65"/>
      <c r="ODX28" s="65"/>
      <c r="ODY28" s="65"/>
      <c r="ODZ28" s="65"/>
      <c r="OEA28" s="65"/>
      <c r="OEB28" s="65"/>
      <c r="OEC28" s="65"/>
      <c r="OED28" s="65"/>
      <c r="OEE28" s="65"/>
      <c r="OEF28" s="65"/>
      <c r="OEG28" s="65"/>
      <c r="OEH28" s="65"/>
      <c r="OEI28" s="65"/>
      <c r="OEJ28" s="65"/>
      <c r="OEK28" s="65"/>
      <c r="OEL28" s="65"/>
      <c r="OEM28" s="65"/>
      <c r="OEN28" s="65"/>
      <c r="OEO28" s="65"/>
      <c r="OEP28" s="65"/>
      <c r="OEQ28" s="65"/>
      <c r="OER28" s="65"/>
      <c r="OES28" s="65"/>
      <c r="OET28" s="65"/>
      <c r="OEU28" s="65"/>
      <c r="OEV28" s="65"/>
      <c r="OEW28" s="65"/>
      <c r="OEX28" s="65"/>
      <c r="OEY28" s="65"/>
      <c r="OEZ28" s="65"/>
      <c r="OFA28" s="65"/>
      <c r="OFB28" s="65"/>
      <c r="OFC28" s="65"/>
      <c r="OFD28" s="65"/>
      <c r="OFE28" s="65"/>
      <c r="OFF28" s="65"/>
      <c r="OFG28" s="65"/>
      <c r="OFH28" s="65"/>
      <c r="OFI28" s="65"/>
      <c r="OFJ28" s="65"/>
      <c r="OFK28" s="65"/>
      <c r="OFL28" s="65"/>
      <c r="OFM28" s="65"/>
      <c r="OFN28" s="65"/>
      <c r="OFO28" s="65"/>
      <c r="OFP28" s="65"/>
      <c r="OFQ28" s="65"/>
      <c r="OFR28" s="65"/>
      <c r="OFS28" s="65"/>
      <c r="OFT28" s="65"/>
      <c r="OFU28" s="65"/>
      <c r="OFV28" s="65"/>
      <c r="OFW28" s="65"/>
      <c r="OFX28" s="65"/>
      <c r="OFY28" s="65"/>
      <c r="OFZ28" s="65"/>
      <c r="OGA28" s="65"/>
      <c r="OGB28" s="65"/>
      <c r="OGC28" s="65"/>
      <c r="OGD28" s="65"/>
      <c r="OGE28" s="65"/>
      <c r="OGF28" s="65"/>
      <c r="OGG28" s="65"/>
      <c r="OGH28" s="65"/>
      <c r="OGI28" s="65"/>
      <c r="OGJ28" s="65"/>
      <c r="OGK28" s="65"/>
      <c r="OGL28" s="65"/>
      <c r="OGM28" s="65"/>
      <c r="OGN28" s="65"/>
      <c r="OGO28" s="65"/>
      <c r="OGP28" s="65"/>
      <c r="OGQ28" s="65"/>
      <c r="OGR28" s="65"/>
      <c r="OGS28" s="65"/>
      <c r="OGT28" s="65"/>
      <c r="OGU28" s="65"/>
      <c r="OGV28" s="65"/>
      <c r="OGW28" s="65"/>
      <c r="OGX28" s="65"/>
      <c r="OGY28" s="65"/>
      <c r="OGZ28" s="65"/>
      <c r="OHA28" s="65"/>
      <c r="OHB28" s="65"/>
      <c r="OHC28" s="65"/>
      <c r="OHD28" s="65"/>
      <c r="OHE28" s="65"/>
      <c r="OHF28" s="65"/>
      <c r="OHG28" s="65"/>
      <c r="OHH28" s="65"/>
      <c r="OHI28" s="65"/>
      <c r="OHJ28" s="65"/>
      <c r="OHK28" s="65"/>
      <c r="OHL28" s="65"/>
      <c r="OHM28" s="65"/>
      <c r="OHN28" s="65"/>
      <c r="OHO28" s="65"/>
      <c r="OHP28" s="65"/>
      <c r="OHQ28" s="65"/>
      <c r="OHR28" s="65"/>
      <c r="OHS28" s="65"/>
      <c r="OHT28" s="65"/>
      <c r="OHU28" s="65"/>
      <c r="OHV28" s="65"/>
      <c r="OHW28" s="65"/>
      <c r="OHX28" s="65"/>
      <c r="OHY28" s="65"/>
      <c r="OHZ28" s="65"/>
      <c r="OIA28" s="65"/>
      <c r="OIB28" s="65"/>
      <c r="OIC28" s="65"/>
      <c r="OID28" s="65"/>
      <c r="OIE28" s="65"/>
      <c r="OIF28" s="65"/>
      <c r="OIG28" s="65"/>
      <c r="OIH28" s="65"/>
      <c r="OII28" s="65"/>
      <c r="OIJ28" s="65"/>
      <c r="OIK28" s="65"/>
      <c r="OIL28" s="65"/>
      <c r="OIM28" s="65"/>
      <c r="OIN28" s="65"/>
      <c r="OIO28" s="65"/>
      <c r="OIP28" s="65"/>
      <c r="OIQ28" s="65"/>
      <c r="OIR28" s="65"/>
      <c r="OIS28" s="65"/>
      <c r="OIT28" s="65"/>
      <c r="OIU28" s="65"/>
      <c r="OIV28" s="65"/>
      <c r="OIW28" s="65"/>
      <c r="OIX28" s="65"/>
      <c r="OIY28" s="65"/>
      <c r="OIZ28" s="65"/>
      <c r="OJA28" s="65"/>
      <c r="OJB28" s="65"/>
      <c r="OJC28" s="65"/>
      <c r="OJD28" s="65"/>
      <c r="OJE28" s="65"/>
      <c r="OJF28" s="65"/>
      <c r="OJG28" s="65"/>
      <c r="OJH28" s="65"/>
      <c r="OJI28" s="65"/>
      <c r="OJJ28" s="65"/>
      <c r="OJK28" s="65"/>
      <c r="OJL28" s="65"/>
      <c r="OJM28" s="65"/>
      <c r="OJN28" s="65"/>
      <c r="OJO28" s="65"/>
      <c r="OJP28" s="65"/>
      <c r="OJQ28" s="65"/>
      <c r="OJR28" s="65"/>
      <c r="OJS28" s="65"/>
      <c r="OJT28" s="65"/>
      <c r="OJU28" s="65"/>
      <c r="OJV28" s="65"/>
      <c r="OJW28" s="65"/>
      <c r="OJX28" s="65"/>
      <c r="OJY28" s="65"/>
      <c r="OJZ28" s="65"/>
      <c r="OKA28" s="65"/>
      <c r="OKB28" s="65"/>
      <c r="OKC28" s="65"/>
      <c r="OKD28" s="65"/>
      <c r="OKE28" s="65"/>
      <c r="OKF28" s="65"/>
      <c r="OKG28" s="65"/>
      <c r="OKH28" s="65"/>
      <c r="OKI28" s="65"/>
      <c r="OKJ28" s="65"/>
      <c r="OKK28" s="65"/>
      <c r="OKL28" s="65"/>
      <c r="OKM28" s="65"/>
      <c r="OKN28" s="65"/>
      <c r="OKO28" s="65"/>
      <c r="OKP28" s="65"/>
      <c r="OKQ28" s="65"/>
      <c r="OKR28" s="65"/>
      <c r="OKS28" s="65"/>
      <c r="OKT28" s="65"/>
      <c r="OKU28" s="65"/>
      <c r="OKV28" s="65"/>
      <c r="OKW28" s="65"/>
      <c r="OKX28" s="65"/>
      <c r="OKY28" s="65"/>
      <c r="OKZ28" s="65"/>
      <c r="OLA28" s="65"/>
      <c r="OLB28" s="65"/>
      <c r="OLC28" s="65"/>
      <c r="OLD28" s="65"/>
      <c r="OLE28" s="65"/>
      <c r="OLF28" s="65"/>
      <c r="OLG28" s="65"/>
      <c r="OLH28" s="65"/>
      <c r="OLI28" s="65"/>
      <c r="OLJ28" s="65"/>
      <c r="OLK28" s="65"/>
      <c r="OLL28" s="65"/>
      <c r="OLM28" s="65"/>
      <c r="OLN28" s="65"/>
      <c r="OLO28" s="65"/>
      <c r="OLP28" s="65"/>
      <c r="OLQ28" s="65"/>
      <c r="OLR28" s="65"/>
      <c r="OLS28" s="65"/>
      <c r="OLT28" s="65"/>
      <c r="OLU28" s="65"/>
      <c r="OLV28" s="65"/>
      <c r="OLW28" s="65"/>
      <c r="OLX28" s="65"/>
      <c r="OLY28" s="65"/>
      <c r="OLZ28" s="65"/>
      <c r="OMA28" s="65"/>
      <c r="OMB28" s="65"/>
      <c r="OMC28" s="65"/>
      <c r="OMD28" s="65"/>
      <c r="OME28" s="65"/>
      <c r="OMF28" s="65"/>
      <c r="OMG28" s="65"/>
      <c r="OMH28" s="65"/>
      <c r="OMI28" s="65"/>
      <c r="OMJ28" s="65"/>
      <c r="OMK28" s="65"/>
      <c r="OML28" s="65"/>
      <c r="OMM28" s="65"/>
      <c r="OMN28" s="65"/>
      <c r="OMO28" s="65"/>
      <c r="OMP28" s="65"/>
      <c r="OMQ28" s="65"/>
      <c r="OMR28" s="65"/>
      <c r="OMS28" s="65"/>
      <c r="OMT28" s="65"/>
      <c r="OMU28" s="65"/>
      <c r="OMV28" s="65"/>
      <c r="OMW28" s="65"/>
      <c r="OMX28" s="65"/>
      <c r="OMY28" s="65"/>
      <c r="OMZ28" s="65"/>
      <c r="ONA28" s="65"/>
      <c r="ONB28" s="65"/>
      <c r="ONC28" s="65"/>
      <c r="OND28" s="65"/>
      <c r="ONE28" s="65"/>
      <c r="ONF28" s="65"/>
      <c r="ONG28" s="65"/>
      <c r="ONH28" s="65"/>
      <c r="ONI28" s="65"/>
      <c r="ONJ28" s="65"/>
      <c r="ONK28" s="65"/>
      <c r="ONL28" s="65"/>
      <c r="ONM28" s="65"/>
      <c r="ONN28" s="65"/>
      <c r="ONO28" s="65"/>
      <c r="ONP28" s="65"/>
      <c r="ONQ28" s="65"/>
      <c r="ONR28" s="65"/>
      <c r="ONS28" s="65"/>
      <c r="ONT28" s="65"/>
      <c r="ONU28" s="65"/>
      <c r="ONV28" s="65"/>
      <c r="ONW28" s="65"/>
      <c r="ONX28" s="65"/>
      <c r="ONY28" s="65"/>
      <c r="ONZ28" s="65"/>
      <c r="OOA28" s="65"/>
      <c r="OOB28" s="65"/>
      <c r="OOC28" s="65"/>
      <c r="OOD28" s="65"/>
      <c r="OOE28" s="65"/>
      <c r="OOF28" s="65"/>
      <c r="OOG28" s="65"/>
      <c r="OOH28" s="65"/>
      <c r="OOI28" s="65"/>
      <c r="OOJ28" s="65"/>
      <c r="OOK28" s="65"/>
      <c r="OOL28" s="65"/>
      <c r="OOM28" s="65"/>
      <c r="OON28" s="65"/>
      <c r="OOO28" s="65"/>
      <c r="OOP28" s="65"/>
      <c r="OOQ28" s="65"/>
      <c r="OOR28" s="65"/>
      <c r="OOS28" s="65"/>
      <c r="OOT28" s="65"/>
      <c r="OOU28" s="65"/>
      <c r="OOV28" s="65"/>
      <c r="OOW28" s="65"/>
      <c r="OOX28" s="65"/>
      <c r="OOY28" s="65"/>
      <c r="OOZ28" s="65"/>
      <c r="OPA28" s="65"/>
      <c r="OPB28" s="65"/>
      <c r="OPC28" s="65"/>
      <c r="OPD28" s="65"/>
      <c r="OPE28" s="65"/>
      <c r="OPF28" s="65"/>
      <c r="OPG28" s="65"/>
      <c r="OPH28" s="65"/>
      <c r="OPI28" s="65"/>
      <c r="OPJ28" s="65"/>
      <c r="OPK28" s="65"/>
      <c r="OPL28" s="65"/>
      <c r="OPM28" s="65"/>
      <c r="OPN28" s="65"/>
      <c r="OPO28" s="65"/>
      <c r="OPP28" s="65"/>
      <c r="OPQ28" s="65"/>
      <c r="OPR28" s="65"/>
      <c r="OPS28" s="65"/>
      <c r="OPT28" s="65"/>
      <c r="OPU28" s="65"/>
      <c r="OPV28" s="65"/>
      <c r="OPW28" s="65"/>
      <c r="OPX28" s="65"/>
      <c r="OPY28" s="65"/>
      <c r="OPZ28" s="65"/>
      <c r="OQA28" s="65"/>
      <c r="OQB28" s="65"/>
      <c r="OQC28" s="65"/>
      <c r="OQD28" s="65"/>
      <c r="OQE28" s="65"/>
      <c r="OQF28" s="65"/>
      <c r="OQG28" s="65"/>
      <c r="OQH28" s="65"/>
      <c r="OQI28" s="65"/>
      <c r="OQJ28" s="65"/>
      <c r="OQK28" s="65"/>
      <c r="OQL28" s="65"/>
      <c r="OQM28" s="65"/>
      <c r="OQN28" s="65"/>
      <c r="OQO28" s="65"/>
      <c r="OQP28" s="65"/>
      <c r="OQQ28" s="65"/>
      <c r="OQR28" s="65"/>
      <c r="OQS28" s="65"/>
      <c r="OQT28" s="65"/>
      <c r="OQU28" s="65"/>
      <c r="OQV28" s="65"/>
      <c r="OQW28" s="65"/>
      <c r="OQX28" s="65"/>
      <c r="OQY28" s="65"/>
      <c r="OQZ28" s="65"/>
      <c r="ORA28" s="65"/>
      <c r="ORB28" s="65"/>
      <c r="ORC28" s="65"/>
      <c r="ORD28" s="65"/>
      <c r="ORE28" s="65"/>
      <c r="ORF28" s="65"/>
      <c r="ORG28" s="65"/>
      <c r="ORH28" s="65"/>
      <c r="ORI28" s="65"/>
      <c r="ORJ28" s="65"/>
      <c r="ORK28" s="65"/>
      <c r="ORL28" s="65"/>
      <c r="ORM28" s="65"/>
      <c r="ORN28" s="65"/>
      <c r="ORO28" s="65"/>
      <c r="ORP28" s="65"/>
      <c r="ORQ28" s="65"/>
      <c r="ORR28" s="65"/>
      <c r="ORS28" s="65"/>
      <c r="ORT28" s="65"/>
      <c r="ORU28" s="65"/>
      <c r="ORV28" s="65"/>
      <c r="ORW28" s="65"/>
      <c r="ORX28" s="65"/>
      <c r="ORY28" s="65"/>
      <c r="ORZ28" s="65"/>
      <c r="OSA28" s="65"/>
      <c r="OSB28" s="65"/>
      <c r="OSC28" s="65"/>
      <c r="OSD28" s="65"/>
      <c r="OSE28" s="65"/>
      <c r="OSF28" s="65"/>
      <c r="OSG28" s="65"/>
      <c r="OSH28" s="65"/>
      <c r="OSI28" s="65"/>
      <c r="OSJ28" s="65"/>
      <c r="OSK28" s="65"/>
      <c r="OSL28" s="65"/>
      <c r="OSM28" s="65"/>
      <c r="OSN28" s="65"/>
      <c r="OSO28" s="65"/>
      <c r="OSP28" s="65"/>
      <c r="OSQ28" s="65"/>
      <c r="OSR28" s="65"/>
      <c r="OSS28" s="65"/>
      <c r="OST28" s="65"/>
      <c r="OSU28" s="65"/>
      <c r="OSV28" s="65"/>
      <c r="OSW28" s="65"/>
      <c r="OSX28" s="65"/>
      <c r="OSY28" s="65"/>
      <c r="OSZ28" s="65"/>
      <c r="OTA28" s="65"/>
      <c r="OTB28" s="65"/>
      <c r="OTC28" s="65"/>
      <c r="OTD28" s="65"/>
      <c r="OTE28" s="65"/>
      <c r="OTF28" s="65"/>
      <c r="OTG28" s="65"/>
      <c r="OTH28" s="65"/>
      <c r="OTI28" s="65"/>
      <c r="OTJ28" s="65"/>
      <c r="OTK28" s="65"/>
      <c r="OTL28" s="65"/>
      <c r="OTM28" s="65"/>
      <c r="OTN28" s="65"/>
      <c r="OTO28" s="65"/>
      <c r="OTP28" s="65"/>
      <c r="OTQ28" s="65"/>
      <c r="OTR28" s="65"/>
      <c r="OTS28" s="65"/>
      <c r="OTT28" s="65"/>
      <c r="OTU28" s="65"/>
      <c r="OTV28" s="65"/>
      <c r="OTW28" s="65"/>
      <c r="OTX28" s="65"/>
      <c r="OTY28" s="65"/>
      <c r="OTZ28" s="65"/>
      <c r="OUA28" s="65"/>
      <c r="OUB28" s="65"/>
      <c r="OUC28" s="65"/>
      <c r="OUD28" s="65"/>
      <c r="OUE28" s="65"/>
      <c r="OUF28" s="65"/>
      <c r="OUG28" s="65"/>
      <c r="OUH28" s="65"/>
      <c r="OUI28" s="65"/>
      <c r="OUJ28" s="65"/>
      <c r="OUK28" s="65"/>
      <c r="OUL28" s="65"/>
      <c r="OUM28" s="65"/>
      <c r="OUN28" s="65"/>
      <c r="OUO28" s="65"/>
      <c r="OUP28" s="65"/>
      <c r="OUQ28" s="65"/>
      <c r="OUR28" s="65"/>
      <c r="OUS28" s="65"/>
      <c r="OUT28" s="65"/>
      <c r="OUU28" s="65"/>
      <c r="OUV28" s="65"/>
      <c r="OUW28" s="65"/>
      <c r="OUX28" s="65"/>
      <c r="OUY28" s="65"/>
      <c r="OUZ28" s="65"/>
      <c r="OVA28" s="65"/>
      <c r="OVB28" s="65"/>
      <c r="OVC28" s="65"/>
      <c r="OVD28" s="65"/>
      <c r="OVE28" s="65"/>
      <c r="OVF28" s="65"/>
      <c r="OVG28" s="65"/>
      <c r="OVH28" s="65"/>
      <c r="OVI28" s="65"/>
      <c r="OVJ28" s="65"/>
      <c r="OVK28" s="65"/>
      <c r="OVL28" s="65"/>
      <c r="OVM28" s="65"/>
      <c r="OVN28" s="65"/>
      <c r="OVO28" s="65"/>
      <c r="OVP28" s="65"/>
      <c r="OVQ28" s="65"/>
      <c r="OVR28" s="65"/>
      <c r="OVS28" s="65"/>
      <c r="OVT28" s="65"/>
      <c r="OVU28" s="65"/>
      <c r="OVV28" s="65"/>
      <c r="OVW28" s="65"/>
      <c r="OVX28" s="65"/>
      <c r="OVY28" s="65"/>
      <c r="OVZ28" s="65"/>
      <c r="OWA28" s="65"/>
      <c r="OWB28" s="65"/>
      <c r="OWC28" s="65"/>
      <c r="OWD28" s="65"/>
      <c r="OWE28" s="65"/>
      <c r="OWF28" s="65"/>
      <c r="OWG28" s="65"/>
      <c r="OWH28" s="65"/>
      <c r="OWI28" s="65"/>
      <c r="OWJ28" s="65"/>
      <c r="OWK28" s="65"/>
      <c r="OWL28" s="65"/>
      <c r="OWM28" s="65"/>
      <c r="OWN28" s="65"/>
      <c r="OWO28" s="65"/>
      <c r="OWP28" s="65"/>
      <c r="OWQ28" s="65"/>
      <c r="OWR28" s="65"/>
      <c r="OWS28" s="65"/>
      <c r="OWT28" s="65"/>
      <c r="OWU28" s="65"/>
      <c r="OWV28" s="65"/>
      <c r="OWW28" s="65"/>
      <c r="OWX28" s="65"/>
      <c r="OWY28" s="65"/>
      <c r="OWZ28" s="65"/>
      <c r="OXA28" s="65"/>
      <c r="OXB28" s="65"/>
      <c r="OXC28" s="65"/>
      <c r="OXD28" s="65"/>
      <c r="OXE28" s="65"/>
      <c r="OXF28" s="65"/>
      <c r="OXG28" s="65"/>
      <c r="OXH28" s="65"/>
      <c r="OXI28" s="65"/>
      <c r="OXJ28" s="65"/>
      <c r="OXK28" s="65"/>
      <c r="OXL28" s="65"/>
      <c r="OXM28" s="65"/>
      <c r="OXN28" s="65"/>
      <c r="OXO28" s="65"/>
      <c r="OXP28" s="65"/>
      <c r="OXQ28" s="65"/>
      <c r="OXR28" s="65"/>
      <c r="OXS28" s="65"/>
      <c r="OXT28" s="65"/>
      <c r="OXU28" s="65"/>
      <c r="OXV28" s="65"/>
      <c r="OXW28" s="65"/>
      <c r="OXX28" s="65"/>
      <c r="OXY28" s="65"/>
      <c r="OXZ28" s="65"/>
      <c r="OYA28" s="65"/>
      <c r="OYB28" s="65"/>
      <c r="OYC28" s="65"/>
      <c r="OYD28" s="65"/>
      <c r="OYE28" s="65"/>
      <c r="OYF28" s="65"/>
      <c r="OYG28" s="65"/>
      <c r="OYH28" s="65"/>
      <c r="OYI28" s="65"/>
      <c r="OYJ28" s="65"/>
      <c r="OYK28" s="65"/>
      <c r="OYL28" s="65"/>
      <c r="OYM28" s="65"/>
      <c r="OYN28" s="65"/>
      <c r="OYO28" s="65"/>
      <c r="OYP28" s="65"/>
      <c r="OYQ28" s="65"/>
      <c r="OYR28" s="65"/>
      <c r="OYS28" s="65"/>
      <c r="OYT28" s="65"/>
      <c r="OYU28" s="65"/>
      <c r="OYV28" s="65"/>
      <c r="OYW28" s="65"/>
      <c r="OYX28" s="65"/>
      <c r="OYY28" s="65"/>
      <c r="OYZ28" s="65"/>
      <c r="OZA28" s="65"/>
      <c r="OZB28" s="65"/>
      <c r="OZC28" s="65"/>
      <c r="OZD28" s="65"/>
      <c r="OZE28" s="65"/>
      <c r="OZF28" s="65"/>
      <c r="OZG28" s="65"/>
      <c r="OZH28" s="65"/>
      <c r="OZI28" s="65"/>
      <c r="OZJ28" s="65"/>
      <c r="OZK28" s="65"/>
      <c r="OZL28" s="65"/>
      <c r="OZM28" s="65"/>
      <c r="OZN28" s="65"/>
      <c r="OZO28" s="65"/>
      <c r="OZP28" s="65"/>
      <c r="OZQ28" s="65"/>
      <c r="OZR28" s="65"/>
      <c r="OZS28" s="65"/>
      <c r="OZT28" s="65"/>
      <c r="OZU28" s="65"/>
      <c r="OZV28" s="65"/>
      <c r="OZW28" s="65"/>
      <c r="OZX28" s="65"/>
      <c r="OZY28" s="65"/>
      <c r="OZZ28" s="65"/>
      <c r="PAA28" s="65"/>
      <c r="PAB28" s="65"/>
      <c r="PAC28" s="65"/>
      <c r="PAD28" s="65"/>
      <c r="PAE28" s="65"/>
      <c r="PAF28" s="65"/>
      <c r="PAG28" s="65"/>
      <c r="PAH28" s="65"/>
      <c r="PAI28" s="65"/>
      <c r="PAJ28" s="65"/>
      <c r="PAK28" s="65"/>
      <c r="PAL28" s="65"/>
      <c r="PAM28" s="65"/>
      <c r="PAN28" s="65"/>
      <c r="PAO28" s="65"/>
      <c r="PAP28" s="65"/>
      <c r="PAQ28" s="65"/>
      <c r="PAR28" s="65"/>
      <c r="PAS28" s="65"/>
      <c r="PAT28" s="65"/>
      <c r="PAU28" s="65"/>
      <c r="PAV28" s="65"/>
      <c r="PAW28" s="65"/>
      <c r="PAX28" s="65"/>
      <c r="PAY28" s="65"/>
      <c r="PAZ28" s="65"/>
      <c r="PBA28" s="65"/>
      <c r="PBB28" s="65"/>
      <c r="PBC28" s="65"/>
      <c r="PBD28" s="65"/>
      <c r="PBE28" s="65"/>
      <c r="PBF28" s="65"/>
      <c r="PBG28" s="65"/>
      <c r="PBH28" s="65"/>
      <c r="PBI28" s="65"/>
      <c r="PBJ28" s="65"/>
      <c r="PBK28" s="65"/>
      <c r="PBL28" s="65"/>
      <c r="PBM28" s="65"/>
      <c r="PBN28" s="65"/>
      <c r="PBO28" s="65"/>
      <c r="PBP28" s="65"/>
      <c r="PBQ28" s="65"/>
      <c r="PBR28" s="65"/>
      <c r="PBS28" s="65"/>
      <c r="PBT28" s="65"/>
      <c r="PBU28" s="65"/>
      <c r="PBV28" s="65"/>
      <c r="PBW28" s="65"/>
      <c r="PBX28" s="65"/>
      <c r="PBY28" s="65"/>
      <c r="PBZ28" s="65"/>
      <c r="PCA28" s="65"/>
      <c r="PCB28" s="65"/>
      <c r="PCC28" s="65"/>
      <c r="PCD28" s="65"/>
      <c r="PCE28" s="65"/>
      <c r="PCF28" s="65"/>
      <c r="PCG28" s="65"/>
      <c r="PCH28" s="65"/>
      <c r="PCI28" s="65"/>
      <c r="PCJ28" s="65"/>
      <c r="PCK28" s="65"/>
      <c r="PCL28" s="65"/>
      <c r="PCM28" s="65"/>
      <c r="PCN28" s="65"/>
      <c r="PCO28" s="65"/>
      <c r="PCP28" s="65"/>
      <c r="PCQ28" s="65"/>
      <c r="PCR28" s="65"/>
      <c r="PCS28" s="65"/>
      <c r="PCT28" s="65"/>
      <c r="PCU28" s="65"/>
      <c r="PCV28" s="65"/>
      <c r="PCW28" s="65"/>
      <c r="PCX28" s="65"/>
      <c r="PCY28" s="65"/>
      <c r="PCZ28" s="65"/>
      <c r="PDA28" s="65"/>
      <c r="PDB28" s="65"/>
      <c r="PDC28" s="65"/>
      <c r="PDD28" s="65"/>
      <c r="PDE28" s="65"/>
      <c r="PDF28" s="65"/>
      <c r="PDG28" s="65"/>
      <c r="PDH28" s="65"/>
      <c r="PDI28" s="65"/>
      <c r="PDJ28" s="65"/>
      <c r="PDK28" s="65"/>
      <c r="PDL28" s="65"/>
      <c r="PDM28" s="65"/>
      <c r="PDN28" s="65"/>
      <c r="PDO28" s="65"/>
      <c r="PDP28" s="65"/>
      <c r="PDQ28" s="65"/>
      <c r="PDR28" s="65"/>
      <c r="PDS28" s="65"/>
      <c r="PDT28" s="65"/>
      <c r="PDU28" s="65"/>
      <c r="PDV28" s="65"/>
      <c r="PDW28" s="65"/>
      <c r="PDX28" s="65"/>
      <c r="PDY28" s="65"/>
      <c r="PDZ28" s="65"/>
      <c r="PEA28" s="65"/>
      <c r="PEB28" s="65"/>
      <c r="PEC28" s="65"/>
      <c r="PED28" s="65"/>
      <c r="PEE28" s="65"/>
      <c r="PEF28" s="65"/>
      <c r="PEG28" s="65"/>
      <c r="PEH28" s="65"/>
      <c r="PEI28" s="65"/>
      <c r="PEJ28" s="65"/>
      <c r="PEK28" s="65"/>
      <c r="PEL28" s="65"/>
      <c r="PEM28" s="65"/>
      <c r="PEN28" s="65"/>
      <c r="PEO28" s="65"/>
      <c r="PEP28" s="65"/>
      <c r="PEQ28" s="65"/>
      <c r="PER28" s="65"/>
      <c r="PES28" s="65"/>
      <c r="PET28" s="65"/>
      <c r="PEU28" s="65"/>
      <c r="PEV28" s="65"/>
      <c r="PEW28" s="65"/>
      <c r="PEX28" s="65"/>
      <c r="PEY28" s="65"/>
      <c r="PEZ28" s="65"/>
      <c r="PFA28" s="65"/>
      <c r="PFB28" s="65"/>
      <c r="PFC28" s="65"/>
      <c r="PFD28" s="65"/>
      <c r="PFE28" s="65"/>
      <c r="PFF28" s="65"/>
      <c r="PFG28" s="65"/>
      <c r="PFH28" s="65"/>
      <c r="PFI28" s="65"/>
      <c r="PFJ28" s="65"/>
      <c r="PFK28" s="65"/>
      <c r="PFL28" s="65"/>
      <c r="PFM28" s="65"/>
      <c r="PFN28" s="65"/>
      <c r="PFO28" s="65"/>
      <c r="PFP28" s="65"/>
      <c r="PFQ28" s="65"/>
      <c r="PFR28" s="65"/>
      <c r="PFS28" s="65"/>
      <c r="PFT28" s="65"/>
      <c r="PFU28" s="65"/>
      <c r="PFV28" s="65"/>
      <c r="PFW28" s="65"/>
      <c r="PFX28" s="65"/>
      <c r="PFY28" s="65"/>
      <c r="PFZ28" s="65"/>
      <c r="PGA28" s="65"/>
      <c r="PGB28" s="65"/>
      <c r="PGC28" s="65"/>
      <c r="PGD28" s="65"/>
      <c r="PGE28" s="65"/>
      <c r="PGF28" s="65"/>
      <c r="PGG28" s="65"/>
      <c r="PGH28" s="65"/>
      <c r="PGI28" s="65"/>
      <c r="PGJ28" s="65"/>
      <c r="PGK28" s="65"/>
      <c r="PGL28" s="65"/>
      <c r="PGM28" s="65"/>
      <c r="PGN28" s="65"/>
      <c r="PGO28" s="65"/>
      <c r="PGP28" s="65"/>
      <c r="PGQ28" s="65"/>
      <c r="PGR28" s="65"/>
      <c r="PGS28" s="65"/>
      <c r="PGT28" s="65"/>
      <c r="PGU28" s="65"/>
      <c r="PGV28" s="65"/>
      <c r="PGW28" s="65"/>
      <c r="PGX28" s="65"/>
      <c r="PGY28" s="65"/>
      <c r="PGZ28" s="65"/>
      <c r="PHA28" s="65"/>
      <c r="PHB28" s="65"/>
      <c r="PHC28" s="65"/>
      <c r="PHD28" s="65"/>
      <c r="PHE28" s="65"/>
      <c r="PHF28" s="65"/>
      <c r="PHG28" s="65"/>
      <c r="PHH28" s="65"/>
      <c r="PHI28" s="65"/>
      <c r="PHJ28" s="65"/>
      <c r="PHK28" s="65"/>
      <c r="PHL28" s="65"/>
      <c r="PHM28" s="65"/>
      <c r="PHN28" s="65"/>
      <c r="PHO28" s="65"/>
      <c r="PHP28" s="65"/>
      <c r="PHQ28" s="65"/>
      <c r="PHR28" s="65"/>
      <c r="PHS28" s="65"/>
      <c r="PHT28" s="65"/>
      <c r="PHU28" s="65"/>
      <c r="PHV28" s="65"/>
      <c r="PHW28" s="65"/>
      <c r="PHX28" s="65"/>
      <c r="PHY28" s="65"/>
      <c r="PHZ28" s="65"/>
      <c r="PIA28" s="65"/>
      <c r="PIB28" s="65"/>
      <c r="PIC28" s="65"/>
      <c r="PID28" s="65"/>
      <c r="PIE28" s="65"/>
      <c r="PIF28" s="65"/>
      <c r="PIG28" s="65"/>
      <c r="PIH28" s="65"/>
      <c r="PII28" s="65"/>
      <c r="PIJ28" s="65"/>
      <c r="PIK28" s="65"/>
      <c r="PIL28" s="65"/>
      <c r="PIM28" s="65"/>
      <c r="PIN28" s="65"/>
      <c r="PIO28" s="65"/>
      <c r="PIP28" s="65"/>
      <c r="PIQ28" s="65"/>
      <c r="PIR28" s="65"/>
      <c r="PIS28" s="65"/>
      <c r="PIT28" s="65"/>
      <c r="PIU28" s="65"/>
      <c r="PIV28" s="65"/>
      <c r="PIW28" s="65"/>
      <c r="PIX28" s="65"/>
      <c r="PIY28" s="65"/>
      <c r="PIZ28" s="65"/>
      <c r="PJA28" s="65"/>
      <c r="PJB28" s="65"/>
      <c r="PJC28" s="65"/>
      <c r="PJD28" s="65"/>
      <c r="PJE28" s="65"/>
      <c r="PJF28" s="65"/>
      <c r="PJG28" s="65"/>
      <c r="PJH28" s="65"/>
      <c r="PJI28" s="65"/>
      <c r="PJJ28" s="65"/>
      <c r="PJK28" s="65"/>
      <c r="PJL28" s="65"/>
      <c r="PJM28" s="65"/>
      <c r="PJN28" s="65"/>
      <c r="PJO28" s="65"/>
      <c r="PJP28" s="65"/>
      <c r="PJQ28" s="65"/>
      <c r="PJR28" s="65"/>
      <c r="PJS28" s="65"/>
      <c r="PJT28" s="65"/>
      <c r="PJU28" s="65"/>
      <c r="PJV28" s="65"/>
      <c r="PJW28" s="65"/>
      <c r="PJX28" s="65"/>
      <c r="PJY28" s="65"/>
      <c r="PJZ28" s="65"/>
      <c r="PKA28" s="65"/>
      <c r="PKB28" s="65"/>
      <c r="PKC28" s="65"/>
      <c r="PKD28" s="65"/>
      <c r="PKE28" s="65"/>
      <c r="PKF28" s="65"/>
      <c r="PKG28" s="65"/>
      <c r="PKH28" s="65"/>
      <c r="PKI28" s="65"/>
      <c r="PKJ28" s="65"/>
      <c r="PKK28" s="65"/>
      <c r="PKL28" s="65"/>
      <c r="PKM28" s="65"/>
      <c r="PKN28" s="65"/>
      <c r="PKO28" s="65"/>
      <c r="PKP28" s="65"/>
      <c r="PKQ28" s="65"/>
      <c r="PKR28" s="65"/>
      <c r="PKS28" s="65"/>
      <c r="PKT28" s="65"/>
      <c r="PKU28" s="65"/>
      <c r="PKV28" s="65"/>
      <c r="PKW28" s="65"/>
      <c r="PKX28" s="65"/>
      <c r="PKY28" s="65"/>
      <c r="PKZ28" s="65"/>
      <c r="PLA28" s="65"/>
      <c r="PLB28" s="65"/>
      <c r="PLC28" s="65"/>
      <c r="PLD28" s="65"/>
      <c r="PLE28" s="65"/>
      <c r="PLF28" s="65"/>
      <c r="PLG28" s="65"/>
      <c r="PLH28" s="65"/>
      <c r="PLI28" s="65"/>
      <c r="PLJ28" s="65"/>
      <c r="PLK28" s="65"/>
      <c r="PLL28" s="65"/>
      <c r="PLM28" s="65"/>
      <c r="PLN28" s="65"/>
      <c r="PLO28" s="65"/>
      <c r="PLP28" s="65"/>
      <c r="PLQ28" s="65"/>
      <c r="PLR28" s="65"/>
      <c r="PLS28" s="65"/>
      <c r="PLT28" s="65"/>
      <c r="PLU28" s="65"/>
      <c r="PLV28" s="65"/>
      <c r="PLW28" s="65"/>
      <c r="PLX28" s="65"/>
      <c r="PLY28" s="65"/>
      <c r="PLZ28" s="65"/>
      <c r="PMA28" s="65"/>
      <c r="PMB28" s="65"/>
      <c r="PMC28" s="65"/>
      <c r="PMD28" s="65"/>
      <c r="PME28" s="65"/>
      <c r="PMF28" s="65"/>
      <c r="PMG28" s="65"/>
      <c r="PMH28" s="65"/>
      <c r="PMI28" s="65"/>
      <c r="PMJ28" s="65"/>
      <c r="PMK28" s="65"/>
      <c r="PML28" s="65"/>
      <c r="PMM28" s="65"/>
      <c r="PMN28" s="65"/>
      <c r="PMO28" s="65"/>
      <c r="PMP28" s="65"/>
      <c r="PMQ28" s="65"/>
      <c r="PMR28" s="65"/>
      <c r="PMS28" s="65"/>
      <c r="PMT28" s="65"/>
      <c r="PMU28" s="65"/>
      <c r="PMV28" s="65"/>
      <c r="PMW28" s="65"/>
      <c r="PMX28" s="65"/>
      <c r="PMY28" s="65"/>
      <c r="PMZ28" s="65"/>
      <c r="PNA28" s="65"/>
      <c r="PNB28" s="65"/>
      <c r="PNC28" s="65"/>
      <c r="PND28" s="65"/>
      <c r="PNE28" s="65"/>
      <c r="PNF28" s="65"/>
      <c r="PNG28" s="65"/>
      <c r="PNH28" s="65"/>
      <c r="PNI28" s="65"/>
      <c r="PNJ28" s="65"/>
      <c r="PNK28" s="65"/>
      <c r="PNL28" s="65"/>
      <c r="PNM28" s="65"/>
      <c r="PNN28" s="65"/>
      <c r="PNO28" s="65"/>
      <c r="PNP28" s="65"/>
      <c r="PNQ28" s="65"/>
      <c r="PNR28" s="65"/>
      <c r="PNS28" s="65"/>
      <c r="PNT28" s="65"/>
      <c r="PNU28" s="65"/>
      <c r="PNV28" s="65"/>
      <c r="PNW28" s="65"/>
      <c r="PNX28" s="65"/>
      <c r="PNY28" s="65"/>
      <c r="PNZ28" s="65"/>
      <c r="POA28" s="65"/>
      <c r="POB28" s="65"/>
      <c r="POC28" s="65"/>
      <c r="POD28" s="65"/>
      <c r="POE28" s="65"/>
      <c r="POF28" s="65"/>
      <c r="POG28" s="65"/>
      <c r="POH28" s="65"/>
      <c r="POI28" s="65"/>
      <c r="POJ28" s="65"/>
      <c r="POK28" s="65"/>
      <c r="POL28" s="65"/>
      <c r="POM28" s="65"/>
      <c r="PON28" s="65"/>
      <c r="POO28" s="65"/>
      <c r="POP28" s="65"/>
      <c r="POQ28" s="65"/>
      <c r="POR28" s="65"/>
      <c r="POS28" s="65"/>
      <c r="POT28" s="65"/>
      <c r="POU28" s="65"/>
      <c r="POV28" s="65"/>
      <c r="POW28" s="65"/>
      <c r="POX28" s="65"/>
      <c r="POY28" s="65"/>
      <c r="POZ28" s="65"/>
      <c r="PPA28" s="65"/>
      <c r="PPB28" s="65"/>
      <c r="PPC28" s="65"/>
      <c r="PPD28" s="65"/>
      <c r="PPE28" s="65"/>
      <c r="PPF28" s="65"/>
      <c r="PPG28" s="65"/>
      <c r="PPH28" s="65"/>
      <c r="PPI28" s="65"/>
      <c r="PPJ28" s="65"/>
      <c r="PPK28" s="65"/>
      <c r="PPL28" s="65"/>
      <c r="PPM28" s="65"/>
      <c r="PPN28" s="65"/>
      <c r="PPO28" s="65"/>
      <c r="PPP28" s="65"/>
      <c r="PPQ28" s="65"/>
      <c r="PPR28" s="65"/>
      <c r="PPS28" s="65"/>
      <c r="PPT28" s="65"/>
      <c r="PPU28" s="65"/>
      <c r="PPV28" s="65"/>
      <c r="PPW28" s="65"/>
      <c r="PPX28" s="65"/>
      <c r="PPY28" s="65"/>
      <c r="PPZ28" s="65"/>
      <c r="PQA28" s="65"/>
      <c r="PQB28" s="65"/>
      <c r="PQC28" s="65"/>
      <c r="PQD28" s="65"/>
      <c r="PQE28" s="65"/>
      <c r="PQF28" s="65"/>
      <c r="PQG28" s="65"/>
      <c r="PQH28" s="65"/>
      <c r="PQI28" s="65"/>
      <c r="PQJ28" s="65"/>
      <c r="PQK28" s="65"/>
      <c r="PQL28" s="65"/>
      <c r="PQM28" s="65"/>
      <c r="PQN28" s="65"/>
      <c r="PQO28" s="65"/>
      <c r="PQP28" s="65"/>
      <c r="PQQ28" s="65"/>
      <c r="PQR28" s="65"/>
      <c r="PQS28" s="65"/>
      <c r="PQT28" s="65"/>
      <c r="PQU28" s="65"/>
      <c r="PQV28" s="65"/>
      <c r="PQW28" s="65"/>
      <c r="PQX28" s="65"/>
      <c r="PQY28" s="65"/>
      <c r="PQZ28" s="65"/>
      <c r="PRA28" s="65"/>
      <c r="PRB28" s="65"/>
      <c r="PRC28" s="65"/>
      <c r="PRD28" s="65"/>
      <c r="PRE28" s="65"/>
      <c r="PRF28" s="65"/>
      <c r="PRG28" s="65"/>
      <c r="PRH28" s="65"/>
      <c r="PRI28" s="65"/>
      <c r="PRJ28" s="65"/>
      <c r="PRK28" s="65"/>
      <c r="PRL28" s="65"/>
      <c r="PRM28" s="65"/>
      <c r="PRN28" s="65"/>
      <c r="PRO28" s="65"/>
      <c r="PRP28" s="65"/>
      <c r="PRQ28" s="65"/>
      <c r="PRR28" s="65"/>
      <c r="PRS28" s="65"/>
      <c r="PRT28" s="65"/>
      <c r="PRU28" s="65"/>
      <c r="PRV28" s="65"/>
      <c r="PRW28" s="65"/>
      <c r="PRX28" s="65"/>
      <c r="PRY28" s="65"/>
      <c r="PRZ28" s="65"/>
      <c r="PSA28" s="65"/>
      <c r="PSB28" s="65"/>
      <c r="PSC28" s="65"/>
      <c r="PSD28" s="65"/>
      <c r="PSE28" s="65"/>
      <c r="PSF28" s="65"/>
      <c r="PSG28" s="65"/>
      <c r="PSH28" s="65"/>
      <c r="PSI28" s="65"/>
      <c r="PSJ28" s="65"/>
      <c r="PSK28" s="65"/>
      <c r="PSL28" s="65"/>
      <c r="PSM28" s="65"/>
      <c r="PSN28" s="65"/>
      <c r="PSO28" s="65"/>
      <c r="PSP28" s="65"/>
      <c r="PSQ28" s="65"/>
      <c r="PSR28" s="65"/>
      <c r="PSS28" s="65"/>
      <c r="PST28" s="65"/>
      <c r="PSU28" s="65"/>
      <c r="PSV28" s="65"/>
      <c r="PSW28" s="65"/>
      <c r="PSX28" s="65"/>
      <c r="PSY28" s="65"/>
      <c r="PSZ28" s="65"/>
      <c r="PTA28" s="65"/>
      <c r="PTB28" s="65"/>
      <c r="PTC28" s="65"/>
      <c r="PTD28" s="65"/>
      <c r="PTE28" s="65"/>
      <c r="PTF28" s="65"/>
      <c r="PTG28" s="65"/>
      <c r="PTH28" s="65"/>
      <c r="PTI28" s="65"/>
      <c r="PTJ28" s="65"/>
      <c r="PTK28" s="65"/>
      <c r="PTL28" s="65"/>
      <c r="PTM28" s="65"/>
      <c r="PTN28" s="65"/>
      <c r="PTO28" s="65"/>
      <c r="PTP28" s="65"/>
      <c r="PTQ28" s="65"/>
      <c r="PTR28" s="65"/>
      <c r="PTS28" s="65"/>
      <c r="PTT28" s="65"/>
      <c r="PTU28" s="65"/>
      <c r="PTV28" s="65"/>
      <c r="PTW28" s="65"/>
      <c r="PTX28" s="65"/>
      <c r="PTY28" s="65"/>
      <c r="PTZ28" s="65"/>
      <c r="PUA28" s="65"/>
      <c r="PUB28" s="65"/>
      <c r="PUC28" s="65"/>
      <c r="PUD28" s="65"/>
      <c r="PUE28" s="65"/>
      <c r="PUF28" s="65"/>
      <c r="PUG28" s="65"/>
      <c r="PUH28" s="65"/>
      <c r="PUI28" s="65"/>
      <c r="PUJ28" s="65"/>
      <c r="PUK28" s="65"/>
      <c r="PUL28" s="65"/>
      <c r="PUM28" s="65"/>
      <c r="PUN28" s="65"/>
      <c r="PUO28" s="65"/>
      <c r="PUP28" s="65"/>
      <c r="PUQ28" s="65"/>
      <c r="PUR28" s="65"/>
      <c r="PUS28" s="65"/>
      <c r="PUT28" s="65"/>
      <c r="PUU28" s="65"/>
      <c r="PUV28" s="65"/>
      <c r="PUW28" s="65"/>
      <c r="PUX28" s="65"/>
      <c r="PUY28" s="65"/>
      <c r="PUZ28" s="65"/>
      <c r="PVA28" s="65"/>
      <c r="PVB28" s="65"/>
      <c r="PVC28" s="65"/>
      <c r="PVD28" s="65"/>
      <c r="PVE28" s="65"/>
      <c r="PVF28" s="65"/>
      <c r="PVG28" s="65"/>
      <c r="PVH28" s="65"/>
      <c r="PVI28" s="65"/>
      <c r="PVJ28" s="65"/>
      <c r="PVK28" s="65"/>
      <c r="PVL28" s="65"/>
      <c r="PVM28" s="65"/>
      <c r="PVN28" s="65"/>
      <c r="PVO28" s="65"/>
      <c r="PVP28" s="65"/>
      <c r="PVQ28" s="65"/>
      <c r="PVR28" s="65"/>
      <c r="PVS28" s="65"/>
      <c r="PVT28" s="65"/>
      <c r="PVU28" s="65"/>
      <c r="PVV28" s="65"/>
      <c r="PVW28" s="65"/>
      <c r="PVX28" s="65"/>
      <c r="PVY28" s="65"/>
      <c r="PVZ28" s="65"/>
      <c r="PWA28" s="65"/>
      <c r="PWB28" s="65"/>
      <c r="PWC28" s="65"/>
      <c r="PWD28" s="65"/>
      <c r="PWE28" s="65"/>
      <c r="PWF28" s="65"/>
      <c r="PWG28" s="65"/>
      <c r="PWH28" s="65"/>
      <c r="PWI28" s="65"/>
      <c r="PWJ28" s="65"/>
      <c r="PWK28" s="65"/>
      <c r="PWL28" s="65"/>
      <c r="PWM28" s="65"/>
      <c r="PWN28" s="65"/>
      <c r="PWO28" s="65"/>
      <c r="PWP28" s="65"/>
      <c r="PWQ28" s="65"/>
      <c r="PWR28" s="65"/>
      <c r="PWS28" s="65"/>
      <c r="PWT28" s="65"/>
      <c r="PWU28" s="65"/>
      <c r="PWV28" s="65"/>
      <c r="PWW28" s="65"/>
      <c r="PWX28" s="65"/>
      <c r="PWY28" s="65"/>
      <c r="PWZ28" s="65"/>
      <c r="PXA28" s="65"/>
      <c r="PXB28" s="65"/>
      <c r="PXC28" s="65"/>
      <c r="PXD28" s="65"/>
      <c r="PXE28" s="65"/>
      <c r="PXF28" s="65"/>
      <c r="PXG28" s="65"/>
      <c r="PXH28" s="65"/>
      <c r="PXI28" s="65"/>
      <c r="PXJ28" s="65"/>
      <c r="PXK28" s="65"/>
      <c r="PXL28" s="65"/>
      <c r="PXM28" s="65"/>
      <c r="PXN28" s="65"/>
      <c r="PXO28" s="65"/>
      <c r="PXP28" s="65"/>
      <c r="PXQ28" s="65"/>
      <c r="PXR28" s="65"/>
      <c r="PXS28" s="65"/>
      <c r="PXT28" s="65"/>
      <c r="PXU28" s="65"/>
      <c r="PXV28" s="65"/>
      <c r="PXW28" s="65"/>
      <c r="PXX28" s="65"/>
      <c r="PXY28" s="65"/>
      <c r="PXZ28" s="65"/>
      <c r="PYA28" s="65"/>
      <c r="PYB28" s="65"/>
      <c r="PYC28" s="65"/>
      <c r="PYD28" s="65"/>
      <c r="PYE28" s="65"/>
      <c r="PYF28" s="65"/>
      <c r="PYG28" s="65"/>
      <c r="PYH28" s="65"/>
      <c r="PYI28" s="65"/>
      <c r="PYJ28" s="65"/>
      <c r="PYK28" s="65"/>
      <c r="PYL28" s="65"/>
      <c r="PYM28" s="65"/>
      <c r="PYN28" s="65"/>
      <c r="PYO28" s="65"/>
      <c r="PYP28" s="65"/>
      <c r="PYQ28" s="65"/>
      <c r="PYR28" s="65"/>
      <c r="PYS28" s="65"/>
      <c r="PYT28" s="65"/>
      <c r="PYU28" s="65"/>
      <c r="PYV28" s="65"/>
      <c r="PYW28" s="65"/>
      <c r="PYX28" s="65"/>
      <c r="PYY28" s="65"/>
      <c r="PYZ28" s="65"/>
      <c r="PZA28" s="65"/>
      <c r="PZB28" s="65"/>
      <c r="PZC28" s="65"/>
      <c r="PZD28" s="65"/>
      <c r="PZE28" s="65"/>
      <c r="PZF28" s="65"/>
      <c r="PZG28" s="65"/>
      <c r="PZH28" s="65"/>
      <c r="PZI28" s="65"/>
      <c r="PZJ28" s="65"/>
      <c r="PZK28" s="65"/>
      <c r="PZL28" s="65"/>
      <c r="PZM28" s="65"/>
      <c r="PZN28" s="65"/>
      <c r="PZO28" s="65"/>
      <c r="PZP28" s="65"/>
      <c r="PZQ28" s="65"/>
      <c r="PZR28" s="65"/>
      <c r="PZS28" s="65"/>
      <c r="PZT28" s="65"/>
      <c r="PZU28" s="65"/>
      <c r="PZV28" s="65"/>
      <c r="PZW28" s="65"/>
      <c r="PZX28" s="65"/>
      <c r="PZY28" s="65"/>
      <c r="PZZ28" s="65"/>
      <c r="QAA28" s="65"/>
      <c r="QAB28" s="65"/>
      <c r="QAC28" s="65"/>
      <c r="QAD28" s="65"/>
      <c r="QAE28" s="65"/>
      <c r="QAF28" s="65"/>
      <c r="QAG28" s="65"/>
      <c r="QAH28" s="65"/>
      <c r="QAI28" s="65"/>
      <c r="QAJ28" s="65"/>
      <c r="QAK28" s="65"/>
      <c r="QAL28" s="65"/>
      <c r="QAM28" s="65"/>
      <c r="QAN28" s="65"/>
      <c r="QAO28" s="65"/>
      <c r="QAP28" s="65"/>
      <c r="QAQ28" s="65"/>
      <c r="QAR28" s="65"/>
      <c r="QAS28" s="65"/>
      <c r="QAT28" s="65"/>
      <c r="QAU28" s="65"/>
      <c r="QAV28" s="65"/>
      <c r="QAW28" s="65"/>
      <c r="QAX28" s="65"/>
      <c r="QAY28" s="65"/>
      <c r="QAZ28" s="65"/>
      <c r="QBA28" s="65"/>
      <c r="QBB28" s="65"/>
      <c r="QBC28" s="65"/>
      <c r="QBD28" s="65"/>
      <c r="QBE28" s="65"/>
      <c r="QBF28" s="65"/>
      <c r="QBG28" s="65"/>
      <c r="QBH28" s="65"/>
      <c r="QBI28" s="65"/>
      <c r="QBJ28" s="65"/>
      <c r="QBK28" s="65"/>
      <c r="QBL28" s="65"/>
      <c r="QBM28" s="65"/>
      <c r="QBN28" s="65"/>
      <c r="QBO28" s="65"/>
      <c r="QBP28" s="65"/>
      <c r="QBQ28" s="65"/>
      <c r="QBR28" s="65"/>
      <c r="QBS28" s="65"/>
      <c r="QBT28" s="65"/>
      <c r="QBU28" s="65"/>
      <c r="QBV28" s="65"/>
      <c r="QBW28" s="65"/>
      <c r="QBX28" s="65"/>
      <c r="QBY28" s="65"/>
      <c r="QBZ28" s="65"/>
      <c r="QCA28" s="65"/>
      <c r="QCB28" s="65"/>
      <c r="QCC28" s="65"/>
      <c r="QCD28" s="65"/>
      <c r="QCE28" s="65"/>
      <c r="QCF28" s="65"/>
      <c r="QCG28" s="65"/>
      <c r="QCH28" s="65"/>
      <c r="QCI28" s="65"/>
      <c r="QCJ28" s="65"/>
      <c r="QCK28" s="65"/>
      <c r="QCL28" s="65"/>
      <c r="QCM28" s="65"/>
      <c r="QCN28" s="65"/>
      <c r="QCO28" s="65"/>
      <c r="QCP28" s="65"/>
      <c r="QCQ28" s="65"/>
      <c r="QCR28" s="65"/>
      <c r="QCS28" s="65"/>
      <c r="QCT28" s="65"/>
      <c r="QCU28" s="65"/>
      <c r="QCV28" s="65"/>
      <c r="QCW28" s="65"/>
      <c r="QCX28" s="65"/>
      <c r="QCY28" s="65"/>
      <c r="QCZ28" s="65"/>
      <c r="QDA28" s="65"/>
      <c r="QDB28" s="65"/>
      <c r="QDC28" s="65"/>
      <c r="QDD28" s="65"/>
      <c r="QDE28" s="65"/>
      <c r="QDF28" s="65"/>
      <c r="QDG28" s="65"/>
      <c r="QDH28" s="65"/>
      <c r="QDI28" s="65"/>
      <c r="QDJ28" s="65"/>
      <c r="QDK28" s="65"/>
      <c r="QDL28" s="65"/>
      <c r="QDM28" s="65"/>
      <c r="QDN28" s="65"/>
      <c r="QDO28" s="65"/>
      <c r="QDP28" s="65"/>
      <c r="QDQ28" s="65"/>
      <c r="QDR28" s="65"/>
      <c r="QDS28" s="65"/>
      <c r="QDT28" s="65"/>
      <c r="QDU28" s="65"/>
      <c r="QDV28" s="65"/>
      <c r="QDW28" s="65"/>
      <c r="QDX28" s="65"/>
      <c r="QDY28" s="65"/>
      <c r="QDZ28" s="65"/>
      <c r="QEA28" s="65"/>
      <c r="QEB28" s="65"/>
      <c r="QEC28" s="65"/>
      <c r="QED28" s="65"/>
      <c r="QEE28" s="65"/>
      <c r="QEF28" s="65"/>
      <c r="QEG28" s="65"/>
      <c r="QEH28" s="65"/>
      <c r="QEI28" s="65"/>
      <c r="QEJ28" s="65"/>
      <c r="QEK28" s="65"/>
      <c r="QEL28" s="65"/>
      <c r="QEM28" s="65"/>
      <c r="QEN28" s="65"/>
      <c r="QEO28" s="65"/>
      <c r="QEP28" s="65"/>
      <c r="QEQ28" s="65"/>
      <c r="QER28" s="65"/>
      <c r="QES28" s="65"/>
      <c r="QET28" s="65"/>
      <c r="QEU28" s="65"/>
      <c r="QEV28" s="65"/>
      <c r="QEW28" s="65"/>
      <c r="QEX28" s="65"/>
      <c r="QEY28" s="65"/>
      <c r="QEZ28" s="65"/>
      <c r="QFA28" s="65"/>
      <c r="QFB28" s="65"/>
      <c r="QFC28" s="65"/>
      <c r="QFD28" s="65"/>
      <c r="QFE28" s="65"/>
      <c r="QFF28" s="65"/>
      <c r="QFG28" s="65"/>
      <c r="QFH28" s="65"/>
      <c r="QFI28" s="65"/>
      <c r="QFJ28" s="65"/>
      <c r="QFK28" s="65"/>
      <c r="QFL28" s="65"/>
      <c r="QFM28" s="65"/>
      <c r="QFN28" s="65"/>
      <c r="QFO28" s="65"/>
      <c r="QFP28" s="65"/>
      <c r="QFQ28" s="65"/>
      <c r="QFR28" s="65"/>
      <c r="QFS28" s="65"/>
      <c r="QFT28" s="65"/>
      <c r="QFU28" s="65"/>
      <c r="QFV28" s="65"/>
      <c r="QFW28" s="65"/>
      <c r="QFX28" s="65"/>
      <c r="QFY28" s="65"/>
      <c r="QFZ28" s="65"/>
      <c r="QGA28" s="65"/>
      <c r="QGB28" s="65"/>
      <c r="QGC28" s="65"/>
      <c r="QGD28" s="65"/>
      <c r="QGE28" s="65"/>
      <c r="QGF28" s="65"/>
      <c r="QGG28" s="65"/>
      <c r="QGH28" s="65"/>
      <c r="QGI28" s="65"/>
      <c r="QGJ28" s="65"/>
      <c r="QGK28" s="65"/>
      <c r="QGL28" s="65"/>
      <c r="QGM28" s="65"/>
      <c r="QGN28" s="65"/>
      <c r="QGO28" s="65"/>
      <c r="QGP28" s="65"/>
      <c r="QGQ28" s="65"/>
      <c r="QGR28" s="65"/>
      <c r="QGS28" s="65"/>
      <c r="QGT28" s="65"/>
      <c r="QGU28" s="65"/>
      <c r="QGV28" s="65"/>
      <c r="QGW28" s="65"/>
      <c r="QGX28" s="65"/>
      <c r="QGY28" s="65"/>
      <c r="QGZ28" s="65"/>
      <c r="QHA28" s="65"/>
      <c r="QHB28" s="65"/>
      <c r="QHC28" s="65"/>
      <c r="QHD28" s="65"/>
      <c r="QHE28" s="65"/>
      <c r="QHF28" s="65"/>
      <c r="QHG28" s="65"/>
      <c r="QHH28" s="65"/>
      <c r="QHI28" s="65"/>
      <c r="QHJ28" s="65"/>
      <c r="QHK28" s="65"/>
      <c r="QHL28" s="65"/>
      <c r="QHM28" s="65"/>
      <c r="QHN28" s="65"/>
      <c r="QHO28" s="65"/>
      <c r="QHP28" s="65"/>
      <c r="QHQ28" s="65"/>
      <c r="QHR28" s="65"/>
      <c r="QHS28" s="65"/>
      <c r="QHT28" s="65"/>
      <c r="QHU28" s="65"/>
      <c r="QHV28" s="65"/>
      <c r="QHW28" s="65"/>
      <c r="QHX28" s="65"/>
      <c r="QHY28" s="65"/>
      <c r="QHZ28" s="65"/>
      <c r="QIA28" s="65"/>
      <c r="QIB28" s="65"/>
      <c r="QIC28" s="65"/>
      <c r="QID28" s="65"/>
      <c r="QIE28" s="65"/>
      <c r="QIF28" s="65"/>
      <c r="QIG28" s="65"/>
      <c r="QIH28" s="65"/>
      <c r="QII28" s="65"/>
      <c r="QIJ28" s="65"/>
      <c r="QIK28" s="65"/>
      <c r="QIL28" s="65"/>
      <c r="QIM28" s="65"/>
      <c r="QIN28" s="65"/>
      <c r="QIO28" s="65"/>
      <c r="QIP28" s="65"/>
      <c r="QIQ28" s="65"/>
      <c r="QIR28" s="65"/>
      <c r="QIS28" s="65"/>
      <c r="QIT28" s="65"/>
      <c r="QIU28" s="65"/>
      <c r="QIV28" s="65"/>
      <c r="QIW28" s="65"/>
      <c r="QIX28" s="65"/>
      <c r="QIY28" s="65"/>
      <c r="QIZ28" s="65"/>
      <c r="QJA28" s="65"/>
      <c r="QJB28" s="65"/>
      <c r="QJC28" s="65"/>
      <c r="QJD28" s="65"/>
      <c r="QJE28" s="65"/>
      <c r="QJF28" s="65"/>
      <c r="QJG28" s="65"/>
      <c r="QJH28" s="65"/>
      <c r="QJI28" s="65"/>
      <c r="QJJ28" s="65"/>
      <c r="QJK28" s="65"/>
      <c r="QJL28" s="65"/>
      <c r="QJM28" s="65"/>
      <c r="QJN28" s="65"/>
      <c r="QJO28" s="65"/>
      <c r="QJP28" s="65"/>
      <c r="QJQ28" s="65"/>
      <c r="QJR28" s="65"/>
      <c r="QJS28" s="65"/>
      <c r="QJT28" s="65"/>
      <c r="QJU28" s="65"/>
      <c r="QJV28" s="65"/>
      <c r="QJW28" s="65"/>
      <c r="QJX28" s="65"/>
      <c r="QJY28" s="65"/>
      <c r="QJZ28" s="65"/>
      <c r="QKA28" s="65"/>
      <c r="QKB28" s="65"/>
      <c r="QKC28" s="65"/>
      <c r="QKD28" s="65"/>
      <c r="QKE28" s="65"/>
      <c r="QKF28" s="65"/>
      <c r="QKG28" s="65"/>
      <c r="QKH28" s="65"/>
      <c r="QKI28" s="65"/>
      <c r="QKJ28" s="65"/>
      <c r="QKK28" s="65"/>
      <c r="QKL28" s="65"/>
      <c r="QKM28" s="65"/>
      <c r="QKN28" s="65"/>
      <c r="QKO28" s="65"/>
      <c r="QKP28" s="65"/>
      <c r="QKQ28" s="65"/>
      <c r="QKR28" s="65"/>
      <c r="QKS28" s="65"/>
      <c r="QKT28" s="65"/>
      <c r="QKU28" s="65"/>
      <c r="QKV28" s="65"/>
      <c r="QKW28" s="65"/>
      <c r="QKX28" s="65"/>
      <c r="QKY28" s="65"/>
      <c r="QKZ28" s="65"/>
      <c r="QLA28" s="65"/>
      <c r="QLB28" s="65"/>
      <c r="QLC28" s="65"/>
      <c r="QLD28" s="65"/>
      <c r="QLE28" s="65"/>
      <c r="QLF28" s="65"/>
      <c r="QLG28" s="65"/>
      <c r="QLH28" s="65"/>
      <c r="QLI28" s="65"/>
      <c r="QLJ28" s="65"/>
      <c r="QLK28" s="65"/>
      <c r="QLL28" s="65"/>
      <c r="QLM28" s="65"/>
      <c r="QLN28" s="65"/>
      <c r="QLO28" s="65"/>
      <c r="QLP28" s="65"/>
      <c r="QLQ28" s="65"/>
      <c r="QLR28" s="65"/>
      <c r="QLS28" s="65"/>
      <c r="QLT28" s="65"/>
      <c r="QLU28" s="65"/>
      <c r="QLV28" s="65"/>
      <c r="QLW28" s="65"/>
      <c r="QLX28" s="65"/>
      <c r="QLY28" s="65"/>
      <c r="QLZ28" s="65"/>
      <c r="QMA28" s="65"/>
      <c r="QMB28" s="65"/>
      <c r="QMC28" s="65"/>
      <c r="QMD28" s="65"/>
      <c r="QME28" s="65"/>
      <c r="QMF28" s="65"/>
      <c r="QMG28" s="65"/>
      <c r="QMH28" s="65"/>
      <c r="QMI28" s="65"/>
      <c r="QMJ28" s="65"/>
      <c r="QMK28" s="65"/>
      <c r="QML28" s="65"/>
      <c r="QMM28" s="65"/>
      <c r="QMN28" s="65"/>
      <c r="QMO28" s="65"/>
      <c r="QMP28" s="65"/>
      <c r="QMQ28" s="65"/>
      <c r="QMR28" s="65"/>
      <c r="QMS28" s="65"/>
      <c r="QMT28" s="65"/>
      <c r="QMU28" s="65"/>
      <c r="QMV28" s="65"/>
      <c r="QMW28" s="65"/>
      <c r="QMX28" s="65"/>
      <c r="QMY28" s="65"/>
      <c r="QMZ28" s="65"/>
      <c r="QNA28" s="65"/>
      <c r="QNB28" s="65"/>
      <c r="QNC28" s="65"/>
      <c r="QND28" s="65"/>
      <c r="QNE28" s="65"/>
      <c r="QNF28" s="65"/>
      <c r="QNG28" s="65"/>
      <c r="QNH28" s="65"/>
      <c r="QNI28" s="65"/>
      <c r="QNJ28" s="65"/>
      <c r="QNK28" s="65"/>
      <c r="QNL28" s="65"/>
      <c r="QNM28" s="65"/>
      <c r="QNN28" s="65"/>
      <c r="QNO28" s="65"/>
      <c r="QNP28" s="65"/>
      <c r="QNQ28" s="65"/>
      <c r="QNR28" s="65"/>
      <c r="QNS28" s="65"/>
      <c r="QNT28" s="65"/>
      <c r="QNU28" s="65"/>
      <c r="QNV28" s="65"/>
      <c r="QNW28" s="65"/>
      <c r="QNX28" s="65"/>
      <c r="QNY28" s="65"/>
      <c r="QNZ28" s="65"/>
      <c r="QOA28" s="65"/>
      <c r="QOB28" s="65"/>
      <c r="QOC28" s="65"/>
      <c r="QOD28" s="65"/>
      <c r="QOE28" s="65"/>
      <c r="QOF28" s="65"/>
      <c r="QOG28" s="65"/>
      <c r="QOH28" s="65"/>
      <c r="QOI28" s="65"/>
      <c r="QOJ28" s="65"/>
      <c r="QOK28" s="65"/>
      <c r="QOL28" s="65"/>
      <c r="QOM28" s="65"/>
      <c r="QON28" s="65"/>
      <c r="QOO28" s="65"/>
      <c r="QOP28" s="65"/>
      <c r="QOQ28" s="65"/>
      <c r="QOR28" s="65"/>
      <c r="QOS28" s="65"/>
      <c r="QOT28" s="65"/>
      <c r="QOU28" s="65"/>
      <c r="QOV28" s="65"/>
      <c r="QOW28" s="65"/>
      <c r="QOX28" s="65"/>
      <c r="QOY28" s="65"/>
      <c r="QOZ28" s="65"/>
      <c r="QPA28" s="65"/>
      <c r="QPB28" s="65"/>
      <c r="QPC28" s="65"/>
      <c r="QPD28" s="65"/>
      <c r="QPE28" s="65"/>
      <c r="QPF28" s="65"/>
      <c r="QPG28" s="65"/>
      <c r="QPH28" s="65"/>
      <c r="QPI28" s="65"/>
      <c r="QPJ28" s="65"/>
      <c r="QPK28" s="65"/>
      <c r="QPL28" s="65"/>
      <c r="QPM28" s="65"/>
      <c r="QPN28" s="65"/>
      <c r="QPO28" s="65"/>
      <c r="QPP28" s="65"/>
      <c r="QPQ28" s="65"/>
      <c r="QPR28" s="65"/>
      <c r="QPS28" s="65"/>
      <c r="QPT28" s="65"/>
      <c r="QPU28" s="65"/>
      <c r="QPV28" s="65"/>
      <c r="QPW28" s="65"/>
      <c r="QPX28" s="65"/>
      <c r="QPY28" s="65"/>
      <c r="QPZ28" s="65"/>
      <c r="QQA28" s="65"/>
      <c r="QQB28" s="65"/>
      <c r="QQC28" s="65"/>
      <c r="QQD28" s="65"/>
      <c r="QQE28" s="65"/>
      <c r="QQF28" s="65"/>
      <c r="QQG28" s="65"/>
      <c r="QQH28" s="65"/>
      <c r="QQI28" s="65"/>
      <c r="QQJ28" s="65"/>
      <c r="QQK28" s="65"/>
      <c r="QQL28" s="65"/>
      <c r="QQM28" s="65"/>
      <c r="QQN28" s="65"/>
      <c r="QQO28" s="65"/>
      <c r="QQP28" s="65"/>
      <c r="QQQ28" s="65"/>
      <c r="QQR28" s="65"/>
      <c r="QQS28" s="65"/>
      <c r="QQT28" s="65"/>
      <c r="QQU28" s="65"/>
      <c r="QQV28" s="65"/>
      <c r="QQW28" s="65"/>
      <c r="QQX28" s="65"/>
      <c r="QQY28" s="65"/>
      <c r="QQZ28" s="65"/>
      <c r="QRA28" s="65"/>
      <c r="QRB28" s="65"/>
      <c r="QRC28" s="65"/>
      <c r="QRD28" s="65"/>
      <c r="QRE28" s="65"/>
      <c r="QRF28" s="65"/>
      <c r="QRG28" s="65"/>
      <c r="QRH28" s="65"/>
      <c r="QRI28" s="65"/>
      <c r="QRJ28" s="65"/>
      <c r="QRK28" s="65"/>
      <c r="QRL28" s="65"/>
      <c r="QRM28" s="65"/>
      <c r="QRN28" s="65"/>
      <c r="QRO28" s="65"/>
      <c r="QRP28" s="65"/>
      <c r="QRQ28" s="65"/>
      <c r="QRR28" s="65"/>
      <c r="QRS28" s="65"/>
      <c r="QRT28" s="65"/>
      <c r="QRU28" s="65"/>
      <c r="QRV28" s="65"/>
      <c r="QRW28" s="65"/>
      <c r="QRX28" s="65"/>
      <c r="QRY28" s="65"/>
      <c r="QRZ28" s="65"/>
      <c r="QSA28" s="65"/>
      <c r="QSB28" s="65"/>
      <c r="QSC28" s="65"/>
      <c r="QSD28" s="65"/>
      <c r="QSE28" s="65"/>
      <c r="QSF28" s="65"/>
      <c r="QSG28" s="65"/>
      <c r="QSH28" s="65"/>
      <c r="QSI28" s="65"/>
      <c r="QSJ28" s="65"/>
      <c r="QSK28" s="65"/>
      <c r="QSL28" s="65"/>
      <c r="QSM28" s="65"/>
      <c r="QSN28" s="65"/>
      <c r="QSO28" s="65"/>
      <c r="QSP28" s="65"/>
      <c r="QSQ28" s="65"/>
      <c r="QSR28" s="65"/>
      <c r="QSS28" s="65"/>
      <c r="QST28" s="65"/>
      <c r="QSU28" s="65"/>
      <c r="QSV28" s="65"/>
      <c r="QSW28" s="65"/>
      <c r="QSX28" s="65"/>
      <c r="QSY28" s="65"/>
      <c r="QSZ28" s="65"/>
      <c r="QTA28" s="65"/>
      <c r="QTB28" s="65"/>
      <c r="QTC28" s="65"/>
      <c r="QTD28" s="65"/>
      <c r="QTE28" s="65"/>
      <c r="QTF28" s="65"/>
      <c r="QTG28" s="65"/>
      <c r="QTH28" s="65"/>
      <c r="QTI28" s="65"/>
      <c r="QTJ28" s="65"/>
      <c r="QTK28" s="65"/>
      <c r="QTL28" s="65"/>
      <c r="QTM28" s="65"/>
      <c r="QTN28" s="65"/>
      <c r="QTO28" s="65"/>
      <c r="QTP28" s="65"/>
      <c r="QTQ28" s="65"/>
      <c r="QTR28" s="65"/>
      <c r="QTS28" s="65"/>
      <c r="QTT28" s="65"/>
      <c r="QTU28" s="65"/>
      <c r="QTV28" s="65"/>
      <c r="QTW28" s="65"/>
      <c r="QTX28" s="65"/>
      <c r="QTY28" s="65"/>
      <c r="QTZ28" s="65"/>
      <c r="QUA28" s="65"/>
      <c r="QUB28" s="65"/>
      <c r="QUC28" s="65"/>
      <c r="QUD28" s="65"/>
      <c r="QUE28" s="65"/>
      <c r="QUF28" s="65"/>
      <c r="QUG28" s="65"/>
      <c r="QUH28" s="65"/>
      <c r="QUI28" s="65"/>
      <c r="QUJ28" s="65"/>
      <c r="QUK28" s="65"/>
      <c r="QUL28" s="65"/>
      <c r="QUM28" s="65"/>
      <c r="QUN28" s="65"/>
      <c r="QUO28" s="65"/>
      <c r="QUP28" s="65"/>
      <c r="QUQ28" s="65"/>
      <c r="QUR28" s="65"/>
      <c r="QUS28" s="65"/>
      <c r="QUT28" s="65"/>
      <c r="QUU28" s="65"/>
      <c r="QUV28" s="65"/>
      <c r="QUW28" s="65"/>
      <c r="QUX28" s="65"/>
      <c r="QUY28" s="65"/>
      <c r="QUZ28" s="65"/>
      <c r="QVA28" s="65"/>
      <c r="QVB28" s="65"/>
      <c r="QVC28" s="65"/>
      <c r="QVD28" s="65"/>
      <c r="QVE28" s="65"/>
      <c r="QVF28" s="65"/>
      <c r="QVG28" s="65"/>
      <c r="QVH28" s="65"/>
      <c r="QVI28" s="65"/>
      <c r="QVJ28" s="65"/>
      <c r="QVK28" s="65"/>
      <c r="QVL28" s="65"/>
      <c r="QVM28" s="65"/>
      <c r="QVN28" s="65"/>
      <c r="QVO28" s="65"/>
      <c r="QVP28" s="65"/>
      <c r="QVQ28" s="65"/>
      <c r="QVR28" s="65"/>
      <c r="QVS28" s="65"/>
      <c r="QVT28" s="65"/>
      <c r="QVU28" s="65"/>
      <c r="QVV28" s="65"/>
      <c r="QVW28" s="65"/>
      <c r="QVX28" s="65"/>
      <c r="QVY28" s="65"/>
      <c r="QVZ28" s="65"/>
      <c r="QWA28" s="65"/>
      <c r="QWB28" s="65"/>
      <c r="QWC28" s="65"/>
      <c r="QWD28" s="65"/>
      <c r="QWE28" s="65"/>
      <c r="QWF28" s="65"/>
      <c r="QWG28" s="65"/>
      <c r="QWH28" s="65"/>
      <c r="QWI28" s="65"/>
      <c r="QWJ28" s="65"/>
      <c r="QWK28" s="65"/>
      <c r="QWL28" s="65"/>
      <c r="QWM28" s="65"/>
      <c r="QWN28" s="65"/>
      <c r="QWO28" s="65"/>
      <c r="QWP28" s="65"/>
      <c r="QWQ28" s="65"/>
      <c r="QWR28" s="65"/>
      <c r="QWS28" s="65"/>
      <c r="QWT28" s="65"/>
      <c r="QWU28" s="65"/>
      <c r="QWV28" s="65"/>
      <c r="QWW28" s="65"/>
      <c r="QWX28" s="65"/>
      <c r="QWY28" s="65"/>
      <c r="QWZ28" s="65"/>
      <c r="QXA28" s="65"/>
      <c r="QXB28" s="65"/>
      <c r="QXC28" s="65"/>
      <c r="QXD28" s="65"/>
      <c r="QXE28" s="65"/>
      <c r="QXF28" s="65"/>
      <c r="QXG28" s="65"/>
      <c r="QXH28" s="65"/>
      <c r="QXI28" s="65"/>
      <c r="QXJ28" s="65"/>
      <c r="QXK28" s="65"/>
      <c r="QXL28" s="65"/>
      <c r="QXM28" s="65"/>
      <c r="QXN28" s="65"/>
      <c r="QXO28" s="65"/>
      <c r="QXP28" s="65"/>
      <c r="QXQ28" s="65"/>
      <c r="QXR28" s="65"/>
      <c r="QXS28" s="65"/>
      <c r="QXT28" s="65"/>
      <c r="QXU28" s="65"/>
      <c r="QXV28" s="65"/>
      <c r="QXW28" s="65"/>
      <c r="QXX28" s="65"/>
      <c r="QXY28" s="65"/>
      <c r="QXZ28" s="65"/>
      <c r="QYA28" s="65"/>
      <c r="QYB28" s="65"/>
      <c r="QYC28" s="65"/>
      <c r="QYD28" s="65"/>
      <c r="QYE28" s="65"/>
      <c r="QYF28" s="65"/>
      <c r="QYG28" s="65"/>
      <c r="QYH28" s="65"/>
      <c r="QYI28" s="65"/>
      <c r="QYJ28" s="65"/>
      <c r="QYK28" s="65"/>
      <c r="QYL28" s="65"/>
      <c r="QYM28" s="65"/>
      <c r="QYN28" s="65"/>
      <c r="QYO28" s="65"/>
      <c r="QYP28" s="65"/>
      <c r="QYQ28" s="65"/>
      <c r="QYR28" s="65"/>
      <c r="QYS28" s="65"/>
      <c r="QYT28" s="65"/>
      <c r="QYU28" s="65"/>
      <c r="QYV28" s="65"/>
      <c r="QYW28" s="65"/>
      <c r="QYX28" s="65"/>
      <c r="QYY28" s="65"/>
      <c r="QYZ28" s="65"/>
      <c r="QZA28" s="65"/>
      <c r="QZB28" s="65"/>
      <c r="QZC28" s="65"/>
      <c r="QZD28" s="65"/>
      <c r="QZE28" s="65"/>
      <c r="QZF28" s="65"/>
      <c r="QZG28" s="65"/>
      <c r="QZH28" s="65"/>
      <c r="QZI28" s="65"/>
      <c r="QZJ28" s="65"/>
      <c r="QZK28" s="65"/>
      <c r="QZL28" s="65"/>
      <c r="QZM28" s="65"/>
      <c r="QZN28" s="65"/>
      <c r="QZO28" s="65"/>
      <c r="QZP28" s="65"/>
      <c r="QZQ28" s="65"/>
      <c r="QZR28" s="65"/>
      <c r="QZS28" s="65"/>
      <c r="QZT28" s="65"/>
      <c r="QZU28" s="65"/>
      <c r="QZV28" s="65"/>
      <c r="QZW28" s="65"/>
      <c r="QZX28" s="65"/>
      <c r="QZY28" s="65"/>
      <c r="QZZ28" s="65"/>
      <c r="RAA28" s="65"/>
      <c r="RAB28" s="65"/>
      <c r="RAC28" s="65"/>
      <c r="RAD28" s="65"/>
      <c r="RAE28" s="65"/>
      <c r="RAF28" s="65"/>
      <c r="RAG28" s="65"/>
      <c r="RAH28" s="65"/>
      <c r="RAI28" s="65"/>
      <c r="RAJ28" s="65"/>
      <c r="RAK28" s="65"/>
      <c r="RAL28" s="65"/>
      <c r="RAM28" s="65"/>
      <c r="RAN28" s="65"/>
      <c r="RAO28" s="65"/>
      <c r="RAP28" s="65"/>
      <c r="RAQ28" s="65"/>
      <c r="RAR28" s="65"/>
      <c r="RAS28" s="65"/>
      <c r="RAT28" s="65"/>
      <c r="RAU28" s="65"/>
      <c r="RAV28" s="65"/>
      <c r="RAW28" s="65"/>
      <c r="RAX28" s="65"/>
      <c r="RAY28" s="65"/>
      <c r="RAZ28" s="65"/>
      <c r="RBA28" s="65"/>
      <c r="RBB28" s="65"/>
      <c r="RBC28" s="65"/>
      <c r="RBD28" s="65"/>
      <c r="RBE28" s="65"/>
      <c r="RBF28" s="65"/>
      <c r="RBG28" s="65"/>
      <c r="RBH28" s="65"/>
      <c r="RBI28" s="65"/>
      <c r="RBJ28" s="65"/>
      <c r="RBK28" s="65"/>
      <c r="RBL28" s="65"/>
      <c r="RBM28" s="65"/>
      <c r="RBN28" s="65"/>
      <c r="RBO28" s="65"/>
      <c r="RBP28" s="65"/>
      <c r="RBQ28" s="65"/>
      <c r="RBR28" s="65"/>
      <c r="RBS28" s="65"/>
      <c r="RBT28" s="65"/>
      <c r="RBU28" s="65"/>
      <c r="RBV28" s="65"/>
      <c r="RBW28" s="65"/>
      <c r="RBX28" s="65"/>
      <c r="RBY28" s="65"/>
      <c r="RBZ28" s="65"/>
      <c r="RCA28" s="65"/>
      <c r="RCB28" s="65"/>
      <c r="RCC28" s="65"/>
      <c r="RCD28" s="65"/>
      <c r="RCE28" s="65"/>
      <c r="RCF28" s="65"/>
      <c r="RCG28" s="65"/>
      <c r="RCH28" s="65"/>
      <c r="RCI28" s="65"/>
      <c r="RCJ28" s="65"/>
      <c r="RCK28" s="65"/>
      <c r="RCL28" s="65"/>
      <c r="RCM28" s="65"/>
      <c r="RCN28" s="65"/>
      <c r="RCO28" s="65"/>
      <c r="RCP28" s="65"/>
      <c r="RCQ28" s="65"/>
      <c r="RCR28" s="65"/>
      <c r="RCS28" s="65"/>
      <c r="RCT28" s="65"/>
      <c r="RCU28" s="65"/>
      <c r="RCV28" s="65"/>
      <c r="RCW28" s="65"/>
      <c r="RCX28" s="65"/>
      <c r="RCY28" s="65"/>
      <c r="RCZ28" s="65"/>
      <c r="RDA28" s="65"/>
      <c r="RDB28" s="65"/>
      <c r="RDC28" s="65"/>
      <c r="RDD28" s="65"/>
      <c r="RDE28" s="65"/>
      <c r="RDF28" s="65"/>
      <c r="RDG28" s="65"/>
      <c r="RDH28" s="65"/>
      <c r="RDI28" s="65"/>
      <c r="RDJ28" s="65"/>
      <c r="RDK28" s="65"/>
      <c r="RDL28" s="65"/>
      <c r="RDM28" s="65"/>
      <c r="RDN28" s="65"/>
      <c r="RDO28" s="65"/>
      <c r="RDP28" s="65"/>
      <c r="RDQ28" s="65"/>
      <c r="RDR28" s="65"/>
      <c r="RDS28" s="65"/>
      <c r="RDT28" s="65"/>
      <c r="RDU28" s="65"/>
      <c r="RDV28" s="65"/>
      <c r="RDW28" s="65"/>
      <c r="RDX28" s="65"/>
      <c r="RDY28" s="65"/>
      <c r="RDZ28" s="65"/>
      <c r="REA28" s="65"/>
      <c r="REB28" s="65"/>
      <c r="REC28" s="65"/>
      <c r="RED28" s="65"/>
      <c r="REE28" s="65"/>
      <c r="REF28" s="65"/>
      <c r="REG28" s="65"/>
      <c r="REH28" s="65"/>
      <c r="REI28" s="65"/>
      <c r="REJ28" s="65"/>
      <c r="REK28" s="65"/>
      <c r="REL28" s="65"/>
      <c r="REM28" s="65"/>
      <c r="REN28" s="65"/>
      <c r="REO28" s="65"/>
      <c r="REP28" s="65"/>
      <c r="REQ28" s="65"/>
      <c r="RER28" s="65"/>
      <c r="RES28" s="65"/>
      <c r="RET28" s="65"/>
      <c r="REU28" s="65"/>
      <c r="REV28" s="65"/>
      <c r="REW28" s="65"/>
      <c r="REX28" s="65"/>
      <c r="REY28" s="65"/>
      <c r="REZ28" s="65"/>
      <c r="RFA28" s="65"/>
      <c r="RFB28" s="65"/>
      <c r="RFC28" s="65"/>
      <c r="RFD28" s="65"/>
      <c r="RFE28" s="65"/>
      <c r="RFF28" s="65"/>
      <c r="RFG28" s="65"/>
      <c r="RFH28" s="65"/>
      <c r="RFI28" s="65"/>
      <c r="RFJ28" s="65"/>
      <c r="RFK28" s="65"/>
      <c r="RFL28" s="65"/>
      <c r="RFM28" s="65"/>
      <c r="RFN28" s="65"/>
      <c r="RFO28" s="65"/>
      <c r="RFP28" s="65"/>
      <c r="RFQ28" s="65"/>
      <c r="RFR28" s="65"/>
      <c r="RFS28" s="65"/>
      <c r="RFT28" s="65"/>
      <c r="RFU28" s="65"/>
      <c r="RFV28" s="65"/>
      <c r="RFW28" s="65"/>
      <c r="RFX28" s="65"/>
      <c r="RFY28" s="65"/>
      <c r="RFZ28" s="65"/>
      <c r="RGA28" s="65"/>
      <c r="RGB28" s="65"/>
      <c r="RGC28" s="65"/>
      <c r="RGD28" s="65"/>
      <c r="RGE28" s="65"/>
      <c r="RGF28" s="65"/>
      <c r="RGG28" s="65"/>
      <c r="RGH28" s="65"/>
      <c r="RGI28" s="65"/>
      <c r="RGJ28" s="65"/>
      <c r="RGK28" s="65"/>
      <c r="RGL28" s="65"/>
      <c r="RGM28" s="65"/>
      <c r="RGN28" s="65"/>
      <c r="RGO28" s="65"/>
      <c r="RGP28" s="65"/>
      <c r="RGQ28" s="65"/>
      <c r="RGR28" s="65"/>
      <c r="RGS28" s="65"/>
      <c r="RGT28" s="65"/>
      <c r="RGU28" s="65"/>
      <c r="RGV28" s="65"/>
      <c r="RGW28" s="65"/>
      <c r="RGX28" s="65"/>
      <c r="RGY28" s="65"/>
      <c r="RGZ28" s="65"/>
      <c r="RHA28" s="65"/>
      <c r="RHB28" s="65"/>
      <c r="RHC28" s="65"/>
      <c r="RHD28" s="65"/>
      <c r="RHE28" s="65"/>
      <c r="RHF28" s="65"/>
      <c r="RHG28" s="65"/>
      <c r="RHH28" s="65"/>
      <c r="RHI28" s="65"/>
      <c r="RHJ28" s="65"/>
      <c r="RHK28" s="65"/>
      <c r="RHL28" s="65"/>
      <c r="RHM28" s="65"/>
      <c r="RHN28" s="65"/>
      <c r="RHO28" s="65"/>
      <c r="RHP28" s="65"/>
      <c r="RHQ28" s="65"/>
      <c r="RHR28" s="65"/>
      <c r="RHS28" s="65"/>
      <c r="RHT28" s="65"/>
      <c r="RHU28" s="65"/>
      <c r="RHV28" s="65"/>
      <c r="RHW28" s="65"/>
      <c r="RHX28" s="65"/>
      <c r="RHY28" s="65"/>
      <c r="RHZ28" s="65"/>
      <c r="RIA28" s="65"/>
      <c r="RIB28" s="65"/>
      <c r="RIC28" s="65"/>
      <c r="RID28" s="65"/>
      <c r="RIE28" s="65"/>
      <c r="RIF28" s="65"/>
      <c r="RIG28" s="65"/>
      <c r="RIH28" s="65"/>
      <c r="RII28" s="65"/>
      <c r="RIJ28" s="65"/>
      <c r="RIK28" s="65"/>
      <c r="RIL28" s="65"/>
      <c r="RIM28" s="65"/>
      <c r="RIN28" s="65"/>
      <c r="RIO28" s="65"/>
      <c r="RIP28" s="65"/>
      <c r="RIQ28" s="65"/>
      <c r="RIR28" s="65"/>
      <c r="RIS28" s="65"/>
      <c r="RIT28" s="65"/>
      <c r="RIU28" s="65"/>
      <c r="RIV28" s="65"/>
      <c r="RIW28" s="65"/>
      <c r="RIX28" s="65"/>
      <c r="RIY28" s="65"/>
      <c r="RIZ28" s="65"/>
      <c r="RJA28" s="65"/>
      <c r="RJB28" s="65"/>
      <c r="RJC28" s="65"/>
      <c r="RJD28" s="65"/>
      <c r="RJE28" s="65"/>
      <c r="RJF28" s="65"/>
      <c r="RJG28" s="65"/>
      <c r="RJH28" s="65"/>
      <c r="RJI28" s="65"/>
      <c r="RJJ28" s="65"/>
      <c r="RJK28" s="65"/>
      <c r="RJL28" s="65"/>
      <c r="RJM28" s="65"/>
      <c r="RJN28" s="65"/>
      <c r="RJO28" s="65"/>
      <c r="RJP28" s="65"/>
      <c r="RJQ28" s="65"/>
      <c r="RJR28" s="65"/>
      <c r="RJS28" s="65"/>
      <c r="RJT28" s="65"/>
      <c r="RJU28" s="65"/>
      <c r="RJV28" s="65"/>
      <c r="RJW28" s="65"/>
      <c r="RJX28" s="65"/>
      <c r="RJY28" s="65"/>
      <c r="RJZ28" s="65"/>
      <c r="RKA28" s="65"/>
      <c r="RKB28" s="65"/>
      <c r="RKC28" s="65"/>
      <c r="RKD28" s="65"/>
      <c r="RKE28" s="65"/>
      <c r="RKF28" s="65"/>
      <c r="RKG28" s="65"/>
      <c r="RKH28" s="65"/>
      <c r="RKI28" s="65"/>
      <c r="RKJ28" s="65"/>
      <c r="RKK28" s="65"/>
      <c r="RKL28" s="65"/>
      <c r="RKM28" s="65"/>
      <c r="RKN28" s="65"/>
      <c r="RKO28" s="65"/>
      <c r="RKP28" s="65"/>
      <c r="RKQ28" s="65"/>
      <c r="RKR28" s="65"/>
      <c r="RKS28" s="65"/>
      <c r="RKT28" s="65"/>
      <c r="RKU28" s="65"/>
      <c r="RKV28" s="65"/>
      <c r="RKW28" s="65"/>
      <c r="RKX28" s="65"/>
      <c r="RKY28" s="65"/>
      <c r="RKZ28" s="65"/>
      <c r="RLA28" s="65"/>
      <c r="RLB28" s="65"/>
      <c r="RLC28" s="65"/>
      <c r="RLD28" s="65"/>
      <c r="RLE28" s="65"/>
      <c r="RLF28" s="65"/>
      <c r="RLG28" s="65"/>
      <c r="RLH28" s="65"/>
      <c r="RLI28" s="65"/>
      <c r="RLJ28" s="65"/>
      <c r="RLK28" s="65"/>
      <c r="RLL28" s="65"/>
      <c r="RLM28" s="65"/>
      <c r="RLN28" s="65"/>
      <c r="RLO28" s="65"/>
      <c r="RLP28" s="65"/>
      <c r="RLQ28" s="65"/>
      <c r="RLR28" s="65"/>
      <c r="RLS28" s="65"/>
      <c r="RLT28" s="65"/>
      <c r="RLU28" s="65"/>
      <c r="RLV28" s="65"/>
      <c r="RLW28" s="65"/>
      <c r="RLX28" s="65"/>
      <c r="RLY28" s="65"/>
      <c r="RLZ28" s="65"/>
      <c r="RMA28" s="65"/>
      <c r="RMB28" s="65"/>
      <c r="RMC28" s="65"/>
      <c r="RMD28" s="65"/>
      <c r="RME28" s="65"/>
      <c r="RMF28" s="65"/>
      <c r="RMG28" s="65"/>
      <c r="RMH28" s="65"/>
      <c r="RMI28" s="65"/>
      <c r="RMJ28" s="65"/>
      <c r="RMK28" s="65"/>
      <c r="RML28" s="65"/>
      <c r="RMM28" s="65"/>
      <c r="RMN28" s="65"/>
      <c r="RMO28" s="65"/>
      <c r="RMP28" s="65"/>
      <c r="RMQ28" s="65"/>
      <c r="RMR28" s="65"/>
      <c r="RMS28" s="65"/>
      <c r="RMT28" s="65"/>
      <c r="RMU28" s="65"/>
      <c r="RMV28" s="65"/>
      <c r="RMW28" s="65"/>
      <c r="RMX28" s="65"/>
      <c r="RMY28" s="65"/>
      <c r="RMZ28" s="65"/>
      <c r="RNA28" s="65"/>
      <c r="RNB28" s="65"/>
      <c r="RNC28" s="65"/>
      <c r="RND28" s="65"/>
      <c r="RNE28" s="65"/>
      <c r="RNF28" s="65"/>
      <c r="RNG28" s="65"/>
      <c r="RNH28" s="65"/>
      <c r="RNI28" s="65"/>
      <c r="RNJ28" s="65"/>
      <c r="RNK28" s="65"/>
      <c r="RNL28" s="65"/>
      <c r="RNM28" s="65"/>
      <c r="RNN28" s="65"/>
      <c r="RNO28" s="65"/>
      <c r="RNP28" s="65"/>
      <c r="RNQ28" s="65"/>
      <c r="RNR28" s="65"/>
      <c r="RNS28" s="65"/>
      <c r="RNT28" s="65"/>
      <c r="RNU28" s="65"/>
      <c r="RNV28" s="65"/>
      <c r="RNW28" s="65"/>
      <c r="RNX28" s="65"/>
      <c r="RNY28" s="65"/>
      <c r="RNZ28" s="65"/>
      <c r="ROA28" s="65"/>
      <c r="ROB28" s="65"/>
      <c r="ROC28" s="65"/>
      <c r="ROD28" s="65"/>
      <c r="ROE28" s="65"/>
      <c r="ROF28" s="65"/>
      <c r="ROG28" s="65"/>
      <c r="ROH28" s="65"/>
      <c r="ROI28" s="65"/>
      <c r="ROJ28" s="65"/>
      <c r="ROK28" s="65"/>
      <c r="ROL28" s="65"/>
      <c r="ROM28" s="65"/>
      <c r="RON28" s="65"/>
      <c r="ROO28" s="65"/>
      <c r="ROP28" s="65"/>
      <c r="ROQ28" s="65"/>
      <c r="ROR28" s="65"/>
      <c r="ROS28" s="65"/>
      <c r="ROT28" s="65"/>
      <c r="ROU28" s="65"/>
      <c r="ROV28" s="65"/>
      <c r="ROW28" s="65"/>
      <c r="ROX28" s="65"/>
      <c r="ROY28" s="65"/>
      <c r="ROZ28" s="65"/>
      <c r="RPA28" s="65"/>
      <c r="RPB28" s="65"/>
      <c r="RPC28" s="65"/>
      <c r="RPD28" s="65"/>
      <c r="RPE28" s="65"/>
      <c r="RPF28" s="65"/>
      <c r="RPG28" s="65"/>
      <c r="RPH28" s="65"/>
      <c r="RPI28" s="65"/>
      <c r="RPJ28" s="65"/>
      <c r="RPK28" s="65"/>
      <c r="RPL28" s="65"/>
      <c r="RPM28" s="65"/>
      <c r="RPN28" s="65"/>
      <c r="RPO28" s="65"/>
      <c r="RPP28" s="65"/>
      <c r="RPQ28" s="65"/>
      <c r="RPR28" s="65"/>
      <c r="RPS28" s="65"/>
      <c r="RPT28" s="65"/>
      <c r="RPU28" s="65"/>
      <c r="RPV28" s="65"/>
      <c r="RPW28" s="65"/>
      <c r="RPX28" s="65"/>
      <c r="RPY28" s="65"/>
      <c r="RPZ28" s="65"/>
      <c r="RQA28" s="65"/>
      <c r="RQB28" s="65"/>
      <c r="RQC28" s="65"/>
      <c r="RQD28" s="65"/>
      <c r="RQE28" s="65"/>
      <c r="RQF28" s="65"/>
      <c r="RQG28" s="65"/>
      <c r="RQH28" s="65"/>
      <c r="RQI28" s="65"/>
      <c r="RQJ28" s="65"/>
      <c r="RQK28" s="65"/>
      <c r="RQL28" s="65"/>
      <c r="RQM28" s="65"/>
      <c r="RQN28" s="65"/>
      <c r="RQO28" s="65"/>
      <c r="RQP28" s="65"/>
      <c r="RQQ28" s="65"/>
      <c r="RQR28" s="65"/>
      <c r="RQS28" s="65"/>
      <c r="RQT28" s="65"/>
      <c r="RQU28" s="65"/>
      <c r="RQV28" s="65"/>
      <c r="RQW28" s="65"/>
      <c r="RQX28" s="65"/>
      <c r="RQY28" s="65"/>
      <c r="RQZ28" s="65"/>
      <c r="RRA28" s="65"/>
      <c r="RRB28" s="65"/>
      <c r="RRC28" s="65"/>
      <c r="RRD28" s="65"/>
      <c r="RRE28" s="65"/>
      <c r="RRF28" s="65"/>
      <c r="RRG28" s="65"/>
      <c r="RRH28" s="65"/>
      <c r="RRI28" s="65"/>
      <c r="RRJ28" s="65"/>
      <c r="RRK28" s="65"/>
      <c r="RRL28" s="65"/>
      <c r="RRM28" s="65"/>
      <c r="RRN28" s="65"/>
      <c r="RRO28" s="65"/>
      <c r="RRP28" s="65"/>
      <c r="RRQ28" s="65"/>
      <c r="RRR28" s="65"/>
      <c r="RRS28" s="65"/>
      <c r="RRT28" s="65"/>
      <c r="RRU28" s="65"/>
      <c r="RRV28" s="65"/>
      <c r="RRW28" s="65"/>
      <c r="RRX28" s="65"/>
      <c r="RRY28" s="65"/>
      <c r="RRZ28" s="65"/>
      <c r="RSA28" s="65"/>
      <c r="RSB28" s="65"/>
      <c r="RSC28" s="65"/>
      <c r="RSD28" s="65"/>
      <c r="RSE28" s="65"/>
      <c r="RSF28" s="65"/>
      <c r="RSG28" s="65"/>
      <c r="RSH28" s="65"/>
      <c r="RSI28" s="65"/>
      <c r="RSJ28" s="65"/>
      <c r="RSK28" s="65"/>
      <c r="RSL28" s="65"/>
      <c r="RSM28" s="65"/>
      <c r="RSN28" s="65"/>
      <c r="RSO28" s="65"/>
      <c r="RSP28" s="65"/>
      <c r="RSQ28" s="65"/>
      <c r="RSR28" s="65"/>
      <c r="RSS28" s="65"/>
      <c r="RST28" s="65"/>
      <c r="RSU28" s="65"/>
      <c r="RSV28" s="65"/>
      <c r="RSW28" s="65"/>
      <c r="RSX28" s="65"/>
      <c r="RSY28" s="65"/>
      <c r="RSZ28" s="65"/>
      <c r="RTA28" s="65"/>
      <c r="RTB28" s="65"/>
      <c r="RTC28" s="65"/>
      <c r="RTD28" s="65"/>
      <c r="RTE28" s="65"/>
      <c r="RTF28" s="65"/>
      <c r="RTG28" s="65"/>
      <c r="RTH28" s="65"/>
      <c r="RTI28" s="65"/>
      <c r="RTJ28" s="65"/>
      <c r="RTK28" s="65"/>
      <c r="RTL28" s="65"/>
      <c r="RTM28" s="65"/>
      <c r="RTN28" s="65"/>
      <c r="RTO28" s="65"/>
      <c r="RTP28" s="65"/>
      <c r="RTQ28" s="65"/>
      <c r="RTR28" s="65"/>
      <c r="RTS28" s="65"/>
      <c r="RTT28" s="65"/>
      <c r="RTU28" s="65"/>
      <c r="RTV28" s="65"/>
      <c r="RTW28" s="65"/>
      <c r="RTX28" s="65"/>
      <c r="RTY28" s="65"/>
      <c r="RTZ28" s="65"/>
      <c r="RUA28" s="65"/>
      <c r="RUB28" s="65"/>
      <c r="RUC28" s="65"/>
      <c r="RUD28" s="65"/>
      <c r="RUE28" s="65"/>
      <c r="RUF28" s="65"/>
      <c r="RUG28" s="65"/>
      <c r="RUH28" s="65"/>
      <c r="RUI28" s="65"/>
      <c r="RUJ28" s="65"/>
      <c r="RUK28" s="65"/>
      <c r="RUL28" s="65"/>
      <c r="RUM28" s="65"/>
      <c r="RUN28" s="65"/>
      <c r="RUO28" s="65"/>
      <c r="RUP28" s="65"/>
      <c r="RUQ28" s="65"/>
      <c r="RUR28" s="65"/>
      <c r="RUS28" s="65"/>
      <c r="RUT28" s="65"/>
      <c r="RUU28" s="65"/>
      <c r="RUV28" s="65"/>
      <c r="RUW28" s="65"/>
      <c r="RUX28" s="65"/>
      <c r="RUY28" s="65"/>
      <c r="RUZ28" s="65"/>
      <c r="RVA28" s="65"/>
      <c r="RVB28" s="65"/>
      <c r="RVC28" s="65"/>
      <c r="RVD28" s="65"/>
      <c r="RVE28" s="65"/>
      <c r="RVF28" s="65"/>
      <c r="RVG28" s="65"/>
      <c r="RVH28" s="65"/>
      <c r="RVI28" s="65"/>
      <c r="RVJ28" s="65"/>
      <c r="RVK28" s="65"/>
      <c r="RVL28" s="65"/>
      <c r="RVM28" s="65"/>
      <c r="RVN28" s="65"/>
      <c r="RVO28" s="65"/>
      <c r="RVP28" s="65"/>
      <c r="RVQ28" s="65"/>
      <c r="RVR28" s="65"/>
      <c r="RVS28" s="65"/>
      <c r="RVT28" s="65"/>
      <c r="RVU28" s="65"/>
      <c r="RVV28" s="65"/>
      <c r="RVW28" s="65"/>
      <c r="RVX28" s="65"/>
      <c r="RVY28" s="65"/>
      <c r="RVZ28" s="65"/>
      <c r="RWA28" s="65"/>
      <c r="RWB28" s="65"/>
      <c r="RWC28" s="65"/>
      <c r="RWD28" s="65"/>
      <c r="RWE28" s="65"/>
      <c r="RWF28" s="65"/>
      <c r="RWG28" s="65"/>
      <c r="RWH28" s="65"/>
      <c r="RWI28" s="65"/>
      <c r="RWJ28" s="65"/>
      <c r="RWK28" s="65"/>
      <c r="RWL28" s="65"/>
      <c r="RWM28" s="65"/>
      <c r="RWN28" s="65"/>
      <c r="RWO28" s="65"/>
      <c r="RWP28" s="65"/>
      <c r="RWQ28" s="65"/>
      <c r="RWR28" s="65"/>
      <c r="RWS28" s="65"/>
      <c r="RWT28" s="65"/>
      <c r="RWU28" s="65"/>
      <c r="RWV28" s="65"/>
      <c r="RWW28" s="65"/>
      <c r="RWX28" s="65"/>
      <c r="RWY28" s="65"/>
      <c r="RWZ28" s="65"/>
      <c r="RXA28" s="65"/>
      <c r="RXB28" s="65"/>
      <c r="RXC28" s="65"/>
      <c r="RXD28" s="65"/>
      <c r="RXE28" s="65"/>
      <c r="RXF28" s="65"/>
      <c r="RXG28" s="65"/>
      <c r="RXH28" s="65"/>
      <c r="RXI28" s="65"/>
      <c r="RXJ28" s="65"/>
      <c r="RXK28" s="65"/>
      <c r="RXL28" s="65"/>
      <c r="RXM28" s="65"/>
      <c r="RXN28" s="65"/>
      <c r="RXO28" s="65"/>
      <c r="RXP28" s="65"/>
      <c r="RXQ28" s="65"/>
      <c r="RXR28" s="65"/>
      <c r="RXS28" s="65"/>
      <c r="RXT28" s="65"/>
      <c r="RXU28" s="65"/>
      <c r="RXV28" s="65"/>
      <c r="RXW28" s="65"/>
      <c r="RXX28" s="65"/>
      <c r="RXY28" s="65"/>
      <c r="RXZ28" s="65"/>
      <c r="RYA28" s="65"/>
      <c r="RYB28" s="65"/>
      <c r="RYC28" s="65"/>
      <c r="RYD28" s="65"/>
      <c r="RYE28" s="65"/>
      <c r="RYF28" s="65"/>
      <c r="RYG28" s="65"/>
      <c r="RYH28" s="65"/>
      <c r="RYI28" s="65"/>
      <c r="RYJ28" s="65"/>
      <c r="RYK28" s="65"/>
      <c r="RYL28" s="65"/>
      <c r="RYM28" s="65"/>
      <c r="RYN28" s="65"/>
      <c r="RYO28" s="65"/>
      <c r="RYP28" s="65"/>
      <c r="RYQ28" s="65"/>
      <c r="RYR28" s="65"/>
      <c r="RYS28" s="65"/>
      <c r="RYT28" s="65"/>
      <c r="RYU28" s="65"/>
      <c r="RYV28" s="65"/>
      <c r="RYW28" s="65"/>
      <c r="RYX28" s="65"/>
      <c r="RYY28" s="65"/>
      <c r="RYZ28" s="65"/>
      <c r="RZA28" s="65"/>
      <c r="RZB28" s="65"/>
      <c r="RZC28" s="65"/>
      <c r="RZD28" s="65"/>
      <c r="RZE28" s="65"/>
      <c r="RZF28" s="65"/>
      <c r="RZG28" s="65"/>
      <c r="RZH28" s="65"/>
      <c r="RZI28" s="65"/>
      <c r="RZJ28" s="65"/>
      <c r="RZK28" s="65"/>
      <c r="RZL28" s="65"/>
      <c r="RZM28" s="65"/>
      <c r="RZN28" s="65"/>
      <c r="RZO28" s="65"/>
      <c r="RZP28" s="65"/>
      <c r="RZQ28" s="65"/>
      <c r="RZR28" s="65"/>
      <c r="RZS28" s="65"/>
      <c r="RZT28" s="65"/>
      <c r="RZU28" s="65"/>
      <c r="RZV28" s="65"/>
      <c r="RZW28" s="65"/>
      <c r="RZX28" s="65"/>
      <c r="RZY28" s="65"/>
      <c r="RZZ28" s="65"/>
      <c r="SAA28" s="65"/>
      <c r="SAB28" s="65"/>
      <c r="SAC28" s="65"/>
      <c r="SAD28" s="65"/>
      <c r="SAE28" s="65"/>
      <c r="SAF28" s="65"/>
      <c r="SAG28" s="65"/>
      <c r="SAH28" s="65"/>
      <c r="SAI28" s="65"/>
      <c r="SAJ28" s="65"/>
      <c r="SAK28" s="65"/>
      <c r="SAL28" s="65"/>
      <c r="SAM28" s="65"/>
      <c r="SAN28" s="65"/>
      <c r="SAO28" s="65"/>
      <c r="SAP28" s="65"/>
      <c r="SAQ28" s="65"/>
      <c r="SAR28" s="65"/>
      <c r="SAS28" s="65"/>
      <c r="SAT28" s="65"/>
      <c r="SAU28" s="65"/>
      <c r="SAV28" s="65"/>
      <c r="SAW28" s="65"/>
      <c r="SAX28" s="65"/>
      <c r="SAY28" s="65"/>
      <c r="SAZ28" s="65"/>
      <c r="SBA28" s="65"/>
      <c r="SBB28" s="65"/>
      <c r="SBC28" s="65"/>
      <c r="SBD28" s="65"/>
      <c r="SBE28" s="65"/>
      <c r="SBF28" s="65"/>
      <c r="SBG28" s="65"/>
      <c r="SBH28" s="65"/>
      <c r="SBI28" s="65"/>
      <c r="SBJ28" s="65"/>
      <c r="SBK28" s="65"/>
      <c r="SBL28" s="65"/>
      <c r="SBM28" s="65"/>
      <c r="SBN28" s="65"/>
      <c r="SBO28" s="65"/>
      <c r="SBP28" s="65"/>
      <c r="SBQ28" s="65"/>
      <c r="SBR28" s="65"/>
      <c r="SBS28" s="65"/>
      <c r="SBT28" s="65"/>
      <c r="SBU28" s="65"/>
      <c r="SBV28" s="65"/>
      <c r="SBW28" s="65"/>
      <c r="SBX28" s="65"/>
      <c r="SBY28" s="65"/>
      <c r="SBZ28" s="65"/>
      <c r="SCA28" s="65"/>
      <c r="SCB28" s="65"/>
      <c r="SCC28" s="65"/>
      <c r="SCD28" s="65"/>
      <c r="SCE28" s="65"/>
      <c r="SCF28" s="65"/>
      <c r="SCG28" s="65"/>
      <c r="SCH28" s="65"/>
      <c r="SCI28" s="65"/>
      <c r="SCJ28" s="65"/>
      <c r="SCK28" s="65"/>
      <c r="SCL28" s="65"/>
      <c r="SCM28" s="65"/>
      <c r="SCN28" s="65"/>
      <c r="SCO28" s="65"/>
      <c r="SCP28" s="65"/>
      <c r="SCQ28" s="65"/>
      <c r="SCR28" s="65"/>
      <c r="SCS28" s="65"/>
      <c r="SCT28" s="65"/>
      <c r="SCU28" s="65"/>
      <c r="SCV28" s="65"/>
      <c r="SCW28" s="65"/>
      <c r="SCX28" s="65"/>
      <c r="SCY28" s="65"/>
      <c r="SCZ28" s="65"/>
      <c r="SDA28" s="65"/>
      <c r="SDB28" s="65"/>
      <c r="SDC28" s="65"/>
      <c r="SDD28" s="65"/>
      <c r="SDE28" s="65"/>
      <c r="SDF28" s="65"/>
      <c r="SDG28" s="65"/>
      <c r="SDH28" s="65"/>
      <c r="SDI28" s="65"/>
      <c r="SDJ28" s="65"/>
      <c r="SDK28" s="65"/>
      <c r="SDL28" s="65"/>
      <c r="SDM28" s="65"/>
      <c r="SDN28" s="65"/>
      <c r="SDO28" s="65"/>
      <c r="SDP28" s="65"/>
      <c r="SDQ28" s="65"/>
      <c r="SDR28" s="65"/>
      <c r="SDS28" s="65"/>
      <c r="SDT28" s="65"/>
      <c r="SDU28" s="65"/>
      <c r="SDV28" s="65"/>
      <c r="SDW28" s="65"/>
      <c r="SDX28" s="65"/>
      <c r="SDY28" s="65"/>
      <c r="SDZ28" s="65"/>
      <c r="SEA28" s="65"/>
      <c r="SEB28" s="65"/>
      <c r="SEC28" s="65"/>
      <c r="SED28" s="65"/>
      <c r="SEE28" s="65"/>
      <c r="SEF28" s="65"/>
      <c r="SEG28" s="65"/>
      <c r="SEH28" s="65"/>
      <c r="SEI28" s="65"/>
      <c r="SEJ28" s="65"/>
      <c r="SEK28" s="65"/>
      <c r="SEL28" s="65"/>
      <c r="SEM28" s="65"/>
      <c r="SEN28" s="65"/>
      <c r="SEO28" s="65"/>
      <c r="SEP28" s="65"/>
      <c r="SEQ28" s="65"/>
      <c r="SER28" s="65"/>
      <c r="SES28" s="65"/>
      <c r="SET28" s="65"/>
      <c r="SEU28" s="65"/>
      <c r="SEV28" s="65"/>
      <c r="SEW28" s="65"/>
      <c r="SEX28" s="65"/>
      <c r="SEY28" s="65"/>
      <c r="SEZ28" s="65"/>
      <c r="SFA28" s="65"/>
      <c r="SFB28" s="65"/>
      <c r="SFC28" s="65"/>
      <c r="SFD28" s="65"/>
      <c r="SFE28" s="65"/>
      <c r="SFF28" s="65"/>
      <c r="SFG28" s="65"/>
      <c r="SFH28" s="65"/>
      <c r="SFI28" s="65"/>
      <c r="SFJ28" s="65"/>
      <c r="SFK28" s="65"/>
      <c r="SFL28" s="65"/>
      <c r="SFM28" s="65"/>
      <c r="SFN28" s="65"/>
      <c r="SFO28" s="65"/>
      <c r="SFP28" s="65"/>
      <c r="SFQ28" s="65"/>
      <c r="SFR28" s="65"/>
      <c r="SFS28" s="65"/>
      <c r="SFT28" s="65"/>
      <c r="SFU28" s="65"/>
      <c r="SFV28" s="65"/>
      <c r="SFW28" s="65"/>
      <c r="SFX28" s="65"/>
      <c r="SFY28" s="65"/>
      <c r="SFZ28" s="65"/>
      <c r="SGA28" s="65"/>
      <c r="SGB28" s="65"/>
      <c r="SGC28" s="65"/>
      <c r="SGD28" s="65"/>
      <c r="SGE28" s="65"/>
      <c r="SGF28" s="65"/>
      <c r="SGG28" s="65"/>
      <c r="SGH28" s="65"/>
      <c r="SGI28" s="65"/>
      <c r="SGJ28" s="65"/>
      <c r="SGK28" s="65"/>
      <c r="SGL28" s="65"/>
      <c r="SGM28" s="65"/>
      <c r="SGN28" s="65"/>
      <c r="SGO28" s="65"/>
      <c r="SGP28" s="65"/>
      <c r="SGQ28" s="65"/>
      <c r="SGR28" s="65"/>
      <c r="SGS28" s="65"/>
      <c r="SGT28" s="65"/>
      <c r="SGU28" s="65"/>
      <c r="SGV28" s="65"/>
      <c r="SGW28" s="65"/>
      <c r="SGX28" s="65"/>
      <c r="SGY28" s="65"/>
      <c r="SGZ28" s="65"/>
      <c r="SHA28" s="65"/>
      <c r="SHB28" s="65"/>
      <c r="SHC28" s="65"/>
      <c r="SHD28" s="65"/>
      <c r="SHE28" s="65"/>
      <c r="SHF28" s="65"/>
      <c r="SHG28" s="65"/>
      <c r="SHH28" s="65"/>
      <c r="SHI28" s="65"/>
      <c r="SHJ28" s="65"/>
      <c r="SHK28" s="65"/>
      <c r="SHL28" s="65"/>
      <c r="SHM28" s="65"/>
      <c r="SHN28" s="65"/>
      <c r="SHO28" s="65"/>
      <c r="SHP28" s="65"/>
      <c r="SHQ28" s="65"/>
      <c r="SHR28" s="65"/>
      <c r="SHS28" s="65"/>
      <c r="SHT28" s="65"/>
      <c r="SHU28" s="65"/>
      <c r="SHV28" s="65"/>
      <c r="SHW28" s="65"/>
      <c r="SHX28" s="65"/>
      <c r="SHY28" s="65"/>
      <c r="SHZ28" s="65"/>
      <c r="SIA28" s="65"/>
      <c r="SIB28" s="65"/>
      <c r="SIC28" s="65"/>
      <c r="SID28" s="65"/>
      <c r="SIE28" s="65"/>
      <c r="SIF28" s="65"/>
      <c r="SIG28" s="65"/>
      <c r="SIH28" s="65"/>
      <c r="SII28" s="65"/>
      <c r="SIJ28" s="65"/>
      <c r="SIK28" s="65"/>
      <c r="SIL28" s="65"/>
      <c r="SIM28" s="65"/>
      <c r="SIN28" s="65"/>
      <c r="SIO28" s="65"/>
      <c r="SIP28" s="65"/>
      <c r="SIQ28" s="65"/>
      <c r="SIR28" s="65"/>
      <c r="SIS28" s="65"/>
      <c r="SIT28" s="65"/>
      <c r="SIU28" s="65"/>
      <c r="SIV28" s="65"/>
      <c r="SIW28" s="65"/>
      <c r="SIX28" s="65"/>
      <c r="SIY28" s="65"/>
      <c r="SIZ28" s="65"/>
      <c r="SJA28" s="65"/>
      <c r="SJB28" s="65"/>
      <c r="SJC28" s="65"/>
      <c r="SJD28" s="65"/>
      <c r="SJE28" s="65"/>
      <c r="SJF28" s="65"/>
      <c r="SJG28" s="65"/>
      <c r="SJH28" s="65"/>
      <c r="SJI28" s="65"/>
      <c r="SJJ28" s="65"/>
      <c r="SJK28" s="65"/>
      <c r="SJL28" s="65"/>
      <c r="SJM28" s="65"/>
      <c r="SJN28" s="65"/>
      <c r="SJO28" s="65"/>
      <c r="SJP28" s="65"/>
      <c r="SJQ28" s="65"/>
      <c r="SJR28" s="65"/>
      <c r="SJS28" s="65"/>
      <c r="SJT28" s="65"/>
      <c r="SJU28" s="65"/>
      <c r="SJV28" s="65"/>
      <c r="SJW28" s="65"/>
      <c r="SJX28" s="65"/>
      <c r="SJY28" s="65"/>
      <c r="SJZ28" s="65"/>
      <c r="SKA28" s="65"/>
      <c r="SKB28" s="65"/>
      <c r="SKC28" s="65"/>
      <c r="SKD28" s="65"/>
      <c r="SKE28" s="65"/>
      <c r="SKF28" s="65"/>
      <c r="SKG28" s="65"/>
      <c r="SKH28" s="65"/>
      <c r="SKI28" s="65"/>
      <c r="SKJ28" s="65"/>
      <c r="SKK28" s="65"/>
      <c r="SKL28" s="65"/>
      <c r="SKM28" s="65"/>
      <c r="SKN28" s="65"/>
      <c r="SKO28" s="65"/>
      <c r="SKP28" s="65"/>
      <c r="SKQ28" s="65"/>
      <c r="SKR28" s="65"/>
      <c r="SKS28" s="65"/>
      <c r="SKT28" s="65"/>
      <c r="SKU28" s="65"/>
      <c r="SKV28" s="65"/>
      <c r="SKW28" s="65"/>
      <c r="SKX28" s="65"/>
      <c r="SKY28" s="65"/>
      <c r="SKZ28" s="65"/>
      <c r="SLA28" s="65"/>
      <c r="SLB28" s="65"/>
      <c r="SLC28" s="65"/>
      <c r="SLD28" s="65"/>
      <c r="SLE28" s="65"/>
      <c r="SLF28" s="65"/>
      <c r="SLG28" s="65"/>
      <c r="SLH28" s="65"/>
      <c r="SLI28" s="65"/>
      <c r="SLJ28" s="65"/>
      <c r="SLK28" s="65"/>
      <c r="SLL28" s="65"/>
      <c r="SLM28" s="65"/>
      <c r="SLN28" s="65"/>
      <c r="SLO28" s="65"/>
      <c r="SLP28" s="65"/>
      <c r="SLQ28" s="65"/>
      <c r="SLR28" s="65"/>
      <c r="SLS28" s="65"/>
      <c r="SLT28" s="65"/>
      <c r="SLU28" s="65"/>
      <c r="SLV28" s="65"/>
      <c r="SLW28" s="65"/>
      <c r="SLX28" s="65"/>
      <c r="SLY28" s="65"/>
      <c r="SLZ28" s="65"/>
      <c r="SMA28" s="65"/>
      <c r="SMB28" s="65"/>
      <c r="SMC28" s="65"/>
      <c r="SMD28" s="65"/>
      <c r="SME28" s="65"/>
      <c r="SMF28" s="65"/>
      <c r="SMG28" s="65"/>
      <c r="SMH28" s="65"/>
      <c r="SMI28" s="65"/>
      <c r="SMJ28" s="65"/>
      <c r="SMK28" s="65"/>
      <c r="SML28" s="65"/>
      <c r="SMM28" s="65"/>
      <c r="SMN28" s="65"/>
      <c r="SMO28" s="65"/>
      <c r="SMP28" s="65"/>
      <c r="SMQ28" s="65"/>
      <c r="SMR28" s="65"/>
      <c r="SMS28" s="65"/>
      <c r="SMT28" s="65"/>
      <c r="SMU28" s="65"/>
      <c r="SMV28" s="65"/>
      <c r="SMW28" s="65"/>
      <c r="SMX28" s="65"/>
      <c r="SMY28" s="65"/>
      <c r="SMZ28" s="65"/>
      <c r="SNA28" s="65"/>
      <c r="SNB28" s="65"/>
      <c r="SNC28" s="65"/>
      <c r="SND28" s="65"/>
      <c r="SNE28" s="65"/>
      <c r="SNF28" s="65"/>
      <c r="SNG28" s="65"/>
      <c r="SNH28" s="65"/>
      <c r="SNI28" s="65"/>
      <c r="SNJ28" s="65"/>
      <c r="SNK28" s="65"/>
      <c r="SNL28" s="65"/>
      <c r="SNM28" s="65"/>
      <c r="SNN28" s="65"/>
      <c r="SNO28" s="65"/>
      <c r="SNP28" s="65"/>
      <c r="SNQ28" s="65"/>
      <c r="SNR28" s="65"/>
      <c r="SNS28" s="65"/>
      <c r="SNT28" s="65"/>
      <c r="SNU28" s="65"/>
      <c r="SNV28" s="65"/>
      <c r="SNW28" s="65"/>
      <c r="SNX28" s="65"/>
      <c r="SNY28" s="65"/>
      <c r="SNZ28" s="65"/>
      <c r="SOA28" s="65"/>
      <c r="SOB28" s="65"/>
      <c r="SOC28" s="65"/>
      <c r="SOD28" s="65"/>
      <c r="SOE28" s="65"/>
      <c r="SOF28" s="65"/>
      <c r="SOG28" s="65"/>
      <c r="SOH28" s="65"/>
      <c r="SOI28" s="65"/>
      <c r="SOJ28" s="65"/>
      <c r="SOK28" s="65"/>
      <c r="SOL28" s="65"/>
      <c r="SOM28" s="65"/>
      <c r="SON28" s="65"/>
      <c r="SOO28" s="65"/>
      <c r="SOP28" s="65"/>
      <c r="SOQ28" s="65"/>
      <c r="SOR28" s="65"/>
      <c r="SOS28" s="65"/>
      <c r="SOT28" s="65"/>
      <c r="SOU28" s="65"/>
      <c r="SOV28" s="65"/>
      <c r="SOW28" s="65"/>
      <c r="SOX28" s="65"/>
      <c r="SOY28" s="65"/>
      <c r="SOZ28" s="65"/>
      <c r="SPA28" s="65"/>
      <c r="SPB28" s="65"/>
      <c r="SPC28" s="65"/>
      <c r="SPD28" s="65"/>
      <c r="SPE28" s="65"/>
      <c r="SPF28" s="65"/>
      <c r="SPG28" s="65"/>
      <c r="SPH28" s="65"/>
      <c r="SPI28" s="65"/>
      <c r="SPJ28" s="65"/>
      <c r="SPK28" s="65"/>
      <c r="SPL28" s="65"/>
      <c r="SPM28" s="65"/>
      <c r="SPN28" s="65"/>
      <c r="SPO28" s="65"/>
      <c r="SPP28" s="65"/>
      <c r="SPQ28" s="65"/>
      <c r="SPR28" s="65"/>
      <c r="SPS28" s="65"/>
      <c r="SPT28" s="65"/>
      <c r="SPU28" s="65"/>
      <c r="SPV28" s="65"/>
      <c r="SPW28" s="65"/>
      <c r="SPX28" s="65"/>
      <c r="SPY28" s="65"/>
      <c r="SPZ28" s="65"/>
      <c r="SQA28" s="65"/>
      <c r="SQB28" s="65"/>
      <c r="SQC28" s="65"/>
      <c r="SQD28" s="65"/>
      <c r="SQE28" s="65"/>
      <c r="SQF28" s="65"/>
      <c r="SQG28" s="65"/>
      <c r="SQH28" s="65"/>
      <c r="SQI28" s="65"/>
      <c r="SQJ28" s="65"/>
      <c r="SQK28" s="65"/>
      <c r="SQL28" s="65"/>
      <c r="SQM28" s="65"/>
      <c r="SQN28" s="65"/>
      <c r="SQO28" s="65"/>
      <c r="SQP28" s="65"/>
      <c r="SQQ28" s="65"/>
      <c r="SQR28" s="65"/>
      <c r="SQS28" s="65"/>
      <c r="SQT28" s="65"/>
      <c r="SQU28" s="65"/>
      <c r="SQV28" s="65"/>
      <c r="SQW28" s="65"/>
      <c r="SQX28" s="65"/>
      <c r="SQY28" s="65"/>
      <c r="SQZ28" s="65"/>
      <c r="SRA28" s="65"/>
      <c r="SRB28" s="65"/>
      <c r="SRC28" s="65"/>
      <c r="SRD28" s="65"/>
      <c r="SRE28" s="65"/>
      <c r="SRF28" s="65"/>
      <c r="SRG28" s="65"/>
      <c r="SRH28" s="65"/>
      <c r="SRI28" s="65"/>
      <c r="SRJ28" s="65"/>
      <c r="SRK28" s="65"/>
      <c r="SRL28" s="65"/>
      <c r="SRM28" s="65"/>
      <c r="SRN28" s="65"/>
      <c r="SRO28" s="65"/>
      <c r="SRP28" s="65"/>
      <c r="SRQ28" s="65"/>
      <c r="SRR28" s="65"/>
      <c r="SRS28" s="65"/>
      <c r="SRT28" s="65"/>
      <c r="SRU28" s="65"/>
      <c r="SRV28" s="65"/>
      <c r="SRW28" s="65"/>
      <c r="SRX28" s="65"/>
      <c r="SRY28" s="65"/>
      <c r="SRZ28" s="65"/>
      <c r="SSA28" s="65"/>
      <c r="SSB28" s="65"/>
      <c r="SSC28" s="65"/>
      <c r="SSD28" s="65"/>
      <c r="SSE28" s="65"/>
      <c r="SSF28" s="65"/>
      <c r="SSG28" s="65"/>
      <c r="SSH28" s="65"/>
      <c r="SSI28" s="65"/>
      <c r="SSJ28" s="65"/>
      <c r="SSK28" s="65"/>
      <c r="SSL28" s="65"/>
      <c r="SSM28" s="65"/>
      <c r="SSN28" s="65"/>
      <c r="SSO28" s="65"/>
      <c r="SSP28" s="65"/>
      <c r="SSQ28" s="65"/>
      <c r="SSR28" s="65"/>
      <c r="SSS28" s="65"/>
      <c r="SST28" s="65"/>
      <c r="SSU28" s="65"/>
      <c r="SSV28" s="65"/>
      <c r="SSW28" s="65"/>
      <c r="SSX28" s="65"/>
      <c r="SSY28" s="65"/>
      <c r="SSZ28" s="65"/>
      <c r="STA28" s="65"/>
      <c r="STB28" s="65"/>
      <c r="STC28" s="65"/>
      <c r="STD28" s="65"/>
      <c r="STE28" s="65"/>
      <c r="STF28" s="65"/>
      <c r="STG28" s="65"/>
      <c r="STH28" s="65"/>
      <c r="STI28" s="65"/>
      <c r="STJ28" s="65"/>
      <c r="STK28" s="65"/>
      <c r="STL28" s="65"/>
      <c r="STM28" s="65"/>
      <c r="STN28" s="65"/>
      <c r="STO28" s="65"/>
      <c r="STP28" s="65"/>
      <c r="STQ28" s="65"/>
      <c r="STR28" s="65"/>
      <c r="STS28" s="65"/>
      <c r="STT28" s="65"/>
      <c r="STU28" s="65"/>
      <c r="STV28" s="65"/>
      <c r="STW28" s="65"/>
      <c r="STX28" s="65"/>
      <c r="STY28" s="65"/>
      <c r="STZ28" s="65"/>
      <c r="SUA28" s="65"/>
      <c r="SUB28" s="65"/>
      <c r="SUC28" s="65"/>
      <c r="SUD28" s="65"/>
      <c r="SUE28" s="65"/>
      <c r="SUF28" s="65"/>
      <c r="SUG28" s="65"/>
      <c r="SUH28" s="65"/>
      <c r="SUI28" s="65"/>
      <c r="SUJ28" s="65"/>
      <c r="SUK28" s="65"/>
      <c r="SUL28" s="65"/>
      <c r="SUM28" s="65"/>
      <c r="SUN28" s="65"/>
      <c r="SUO28" s="65"/>
      <c r="SUP28" s="65"/>
      <c r="SUQ28" s="65"/>
      <c r="SUR28" s="65"/>
      <c r="SUS28" s="65"/>
      <c r="SUT28" s="65"/>
      <c r="SUU28" s="65"/>
      <c r="SUV28" s="65"/>
      <c r="SUW28" s="65"/>
      <c r="SUX28" s="65"/>
      <c r="SUY28" s="65"/>
      <c r="SUZ28" s="65"/>
      <c r="SVA28" s="65"/>
      <c r="SVB28" s="65"/>
      <c r="SVC28" s="65"/>
      <c r="SVD28" s="65"/>
      <c r="SVE28" s="65"/>
      <c r="SVF28" s="65"/>
      <c r="SVG28" s="65"/>
      <c r="SVH28" s="65"/>
      <c r="SVI28" s="65"/>
      <c r="SVJ28" s="65"/>
      <c r="SVK28" s="65"/>
      <c r="SVL28" s="65"/>
      <c r="SVM28" s="65"/>
      <c r="SVN28" s="65"/>
      <c r="SVO28" s="65"/>
      <c r="SVP28" s="65"/>
      <c r="SVQ28" s="65"/>
      <c r="SVR28" s="65"/>
      <c r="SVS28" s="65"/>
      <c r="SVT28" s="65"/>
      <c r="SVU28" s="65"/>
      <c r="SVV28" s="65"/>
      <c r="SVW28" s="65"/>
      <c r="SVX28" s="65"/>
      <c r="SVY28" s="65"/>
      <c r="SVZ28" s="65"/>
      <c r="SWA28" s="65"/>
      <c r="SWB28" s="65"/>
      <c r="SWC28" s="65"/>
      <c r="SWD28" s="65"/>
      <c r="SWE28" s="65"/>
      <c r="SWF28" s="65"/>
      <c r="SWG28" s="65"/>
      <c r="SWH28" s="65"/>
      <c r="SWI28" s="65"/>
      <c r="SWJ28" s="65"/>
      <c r="SWK28" s="65"/>
      <c r="SWL28" s="65"/>
      <c r="SWM28" s="65"/>
      <c r="SWN28" s="65"/>
      <c r="SWO28" s="65"/>
      <c r="SWP28" s="65"/>
      <c r="SWQ28" s="65"/>
      <c r="SWR28" s="65"/>
      <c r="SWS28" s="65"/>
      <c r="SWT28" s="65"/>
      <c r="SWU28" s="65"/>
      <c r="SWV28" s="65"/>
      <c r="SWW28" s="65"/>
      <c r="SWX28" s="65"/>
      <c r="SWY28" s="65"/>
      <c r="SWZ28" s="65"/>
      <c r="SXA28" s="65"/>
      <c r="SXB28" s="65"/>
      <c r="SXC28" s="65"/>
      <c r="SXD28" s="65"/>
      <c r="SXE28" s="65"/>
      <c r="SXF28" s="65"/>
      <c r="SXG28" s="65"/>
      <c r="SXH28" s="65"/>
      <c r="SXI28" s="65"/>
      <c r="SXJ28" s="65"/>
      <c r="SXK28" s="65"/>
      <c r="SXL28" s="65"/>
      <c r="SXM28" s="65"/>
      <c r="SXN28" s="65"/>
      <c r="SXO28" s="65"/>
      <c r="SXP28" s="65"/>
      <c r="SXQ28" s="65"/>
      <c r="SXR28" s="65"/>
      <c r="SXS28" s="65"/>
      <c r="SXT28" s="65"/>
      <c r="SXU28" s="65"/>
      <c r="SXV28" s="65"/>
      <c r="SXW28" s="65"/>
      <c r="SXX28" s="65"/>
      <c r="SXY28" s="65"/>
      <c r="SXZ28" s="65"/>
      <c r="SYA28" s="65"/>
      <c r="SYB28" s="65"/>
      <c r="SYC28" s="65"/>
      <c r="SYD28" s="65"/>
      <c r="SYE28" s="65"/>
      <c r="SYF28" s="65"/>
      <c r="SYG28" s="65"/>
      <c r="SYH28" s="65"/>
      <c r="SYI28" s="65"/>
      <c r="SYJ28" s="65"/>
      <c r="SYK28" s="65"/>
      <c r="SYL28" s="65"/>
      <c r="SYM28" s="65"/>
      <c r="SYN28" s="65"/>
      <c r="SYO28" s="65"/>
      <c r="SYP28" s="65"/>
      <c r="SYQ28" s="65"/>
      <c r="SYR28" s="65"/>
      <c r="SYS28" s="65"/>
      <c r="SYT28" s="65"/>
      <c r="SYU28" s="65"/>
      <c r="SYV28" s="65"/>
      <c r="SYW28" s="65"/>
      <c r="SYX28" s="65"/>
      <c r="SYY28" s="65"/>
      <c r="SYZ28" s="65"/>
      <c r="SZA28" s="65"/>
      <c r="SZB28" s="65"/>
      <c r="SZC28" s="65"/>
      <c r="SZD28" s="65"/>
      <c r="SZE28" s="65"/>
      <c r="SZF28" s="65"/>
      <c r="SZG28" s="65"/>
      <c r="SZH28" s="65"/>
      <c r="SZI28" s="65"/>
      <c r="SZJ28" s="65"/>
      <c r="SZK28" s="65"/>
      <c r="SZL28" s="65"/>
      <c r="SZM28" s="65"/>
      <c r="SZN28" s="65"/>
      <c r="SZO28" s="65"/>
      <c r="SZP28" s="65"/>
      <c r="SZQ28" s="65"/>
      <c r="SZR28" s="65"/>
      <c r="SZS28" s="65"/>
      <c r="SZT28" s="65"/>
      <c r="SZU28" s="65"/>
      <c r="SZV28" s="65"/>
      <c r="SZW28" s="65"/>
      <c r="SZX28" s="65"/>
      <c r="SZY28" s="65"/>
      <c r="SZZ28" s="65"/>
      <c r="TAA28" s="65"/>
      <c r="TAB28" s="65"/>
      <c r="TAC28" s="65"/>
      <c r="TAD28" s="65"/>
      <c r="TAE28" s="65"/>
      <c r="TAF28" s="65"/>
      <c r="TAG28" s="65"/>
      <c r="TAH28" s="65"/>
      <c r="TAI28" s="65"/>
      <c r="TAJ28" s="65"/>
      <c r="TAK28" s="65"/>
      <c r="TAL28" s="65"/>
      <c r="TAM28" s="65"/>
      <c r="TAN28" s="65"/>
      <c r="TAO28" s="65"/>
      <c r="TAP28" s="65"/>
      <c r="TAQ28" s="65"/>
      <c r="TAR28" s="65"/>
      <c r="TAS28" s="65"/>
      <c r="TAT28" s="65"/>
      <c r="TAU28" s="65"/>
      <c r="TAV28" s="65"/>
      <c r="TAW28" s="65"/>
      <c r="TAX28" s="65"/>
      <c r="TAY28" s="65"/>
      <c r="TAZ28" s="65"/>
      <c r="TBA28" s="65"/>
      <c r="TBB28" s="65"/>
      <c r="TBC28" s="65"/>
      <c r="TBD28" s="65"/>
      <c r="TBE28" s="65"/>
      <c r="TBF28" s="65"/>
      <c r="TBG28" s="65"/>
      <c r="TBH28" s="65"/>
      <c r="TBI28" s="65"/>
      <c r="TBJ28" s="65"/>
      <c r="TBK28" s="65"/>
      <c r="TBL28" s="65"/>
      <c r="TBM28" s="65"/>
      <c r="TBN28" s="65"/>
      <c r="TBO28" s="65"/>
      <c r="TBP28" s="65"/>
      <c r="TBQ28" s="65"/>
      <c r="TBR28" s="65"/>
      <c r="TBS28" s="65"/>
      <c r="TBT28" s="65"/>
      <c r="TBU28" s="65"/>
      <c r="TBV28" s="65"/>
      <c r="TBW28" s="65"/>
      <c r="TBX28" s="65"/>
      <c r="TBY28" s="65"/>
      <c r="TBZ28" s="65"/>
      <c r="TCA28" s="65"/>
      <c r="TCB28" s="65"/>
      <c r="TCC28" s="65"/>
      <c r="TCD28" s="65"/>
      <c r="TCE28" s="65"/>
      <c r="TCF28" s="65"/>
      <c r="TCG28" s="65"/>
      <c r="TCH28" s="65"/>
      <c r="TCI28" s="65"/>
      <c r="TCJ28" s="65"/>
      <c r="TCK28" s="65"/>
      <c r="TCL28" s="65"/>
      <c r="TCM28" s="65"/>
      <c r="TCN28" s="65"/>
      <c r="TCO28" s="65"/>
      <c r="TCP28" s="65"/>
      <c r="TCQ28" s="65"/>
      <c r="TCR28" s="65"/>
      <c r="TCS28" s="65"/>
      <c r="TCT28" s="65"/>
      <c r="TCU28" s="65"/>
      <c r="TCV28" s="65"/>
      <c r="TCW28" s="65"/>
      <c r="TCX28" s="65"/>
      <c r="TCY28" s="65"/>
      <c r="TCZ28" s="65"/>
      <c r="TDA28" s="65"/>
      <c r="TDB28" s="65"/>
      <c r="TDC28" s="65"/>
      <c r="TDD28" s="65"/>
      <c r="TDE28" s="65"/>
      <c r="TDF28" s="65"/>
      <c r="TDG28" s="65"/>
      <c r="TDH28" s="65"/>
      <c r="TDI28" s="65"/>
      <c r="TDJ28" s="65"/>
      <c r="TDK28" s="65"/>
      <c r="TDL28" s="65"/>
      <c r="TDM28" s="65"/>
      <c r="TDN28" s="65"/>
      <c r="TDO28" s="65"/>
      <c r="TDP28" s="65"/>
      <c r="TDQ28" s="65"/>
      <c r="TDR28" s="65"/>
      <c r="TDS28" s="65"/>
      <c r="TDT28" s="65"/>
      <c r="TDU28" s="65"/>
      <c r="TDV28" s="65"/>
      <c r="TDW28" s="65"/>
      <c r="TDX28" s="65"/>
      <c r="TDY28" s="65"/>
      <c r="TDZ28" s="65"/>
      <c r="TEA28" s="65"/>
      <c r="TEB28" s="65"/>
      <c r="TEC28" s="65"/>
      <c r="TED28" s="65"/>
      <c r="TEE28" s="65"/>
      <c r="TEF28" s="65"/>
      <c r="TEG28" s="65"/>
      <c r="TEH28" s="65"/>
      <c r="TEI28" s="65"/>
      <c r="TEJ28" s="65"/>
      <c r="TEK28" s="65"/>
      <c r="TEL28" s="65"/>
      <c r="TEM28" s="65"/>
      <c r="TEN28" s="65"/>
      <c r="TEO28" s="65"/>
      <c r="TEP28" s="65"/>
      <c r="TEQ28" s="65"/>
      <c r="TER28" s="65"/>
      <c r="TES28" s="65"/>
      <c r="TET28" s="65"/>
      <c r="TEU28" s="65"/>
      <c r="TEV28" s="65"/>
      <c r="TEW28" s="65"/>
      <c r="TEX28" s="65"/>
      <c r="TEY28" s="65"/>
      <c r="TEZ28" s="65"/>
      <c r="TFA28" s="65"/>
      <c r="TFB28" s="65"/>
      <c r="TFC28" s="65"/>
      <c r="TFD28" s="65"/>
      <c r="TFE28" s="65"/>
      <c r="TFF28" s="65"/>
      <c r="TFG28" s="65"/>
      <c r="TFH28" s="65"/>
      <c r="TFI28" s="65"/>
      <c r="TFJ28" s="65"/>
      <c r="TFK28" s="65"/>
      <c r="TFL28" s="65"/>
      <c r="TFM28" s="65"/>
      <c r="TFN28" s="65"/>
      <c r="TFO28" s="65"/>
      <c r="TFP28" s="65"/>
      <c r="TFQ28" s="65"/>
      <c r="TFR28" s="65"/>
      <c r="TFS28" s="65"/>
      <c r="TFT28" s="65"/>
      <c r="TFU28" s="65"/>
      <c r="TFV28" s="65"/>
      <c r="TFW28" s="65"/>
      <c r="TFX28" s="65"/>
      <c r="TFY28" s="65"/>
      <c r="TFZ28" s="65"/>
      <c r="TGA28" s="65"/>
      <c r="TGB28" s="65"/>
      <c r="TGC28" s="65"/>
      <c r="TGD28" s="65"/>
      <c r="TGE28" s="65"/>
      <c r="TGF28" s="65"/>
      <c r="TGG28" s="65"/>
      <c r="TGH28" s="65"/>
      <c r="TGI28" s="65"/>
      <c r="TGJ28" s="65"/>
      <c r="TGK28" s="65"/>
      <c r="TGL28" s="65"/>
      <c r="TGM28" s="65"/>
      <c r="TGN28" s="65"/>
      <c r="TGO28" s="65"/>
      <c r="TGP28" s="65"/>
      <c r="TGQ28" s="65"/>
      <c r="TGR28" s="65"/>
      <c r="TGS28" s="65"/>
      <c r="TGT28" s="65"/>
      <c r="TGU28" s="65"/>
      <c r="TGV28" s="65"/>
      <c r="TGW28" s="65"/>
      <c r="TGX28" s="65"/>
      <c r="TGY28" s="65"/>
      <c r="TGZ28" s="65"/>
      <c r="THA28" s="65"/>
      <c r="THB28" s="65"/>
      <c r="THC28" s="65"/>
      <c r="THD28" s="65"/>
      <c r="THE28" s="65"/>
      <c r="THF28" s="65"/>
      <c r="THG28" s="65"/>
      <c r="THH28" s="65"/>
      <c r="THI28" s="65"/>
      <c r="THJ28" s="65"/>
      <c r="THK28" s="65"/>
      <c r="THL28" s="65"/>
      <c r="THM28" s="65"/>
      <c r="THN28" s="65"/>
      <c r="THO28" s="65"/>
      <c r="THP28" s="65"/>
      <c r="THQ28" s="65"/>
      <c r="THR28" s="65"/>
      <c r="THS28" s="65"/>
      <c r="THT28" s="65"/>
      <c r="THU28" s="65"/>
      <c r="THV28" s="65"/>
      <c r="THW28" s="65"/>
      <c r="THX28" s="65"/>
      <c r="THY28" s="65"/>
      <c r="THZ28" s="65"/>
      <c r="TIA28" s="65"/>
      <c r="TIB28" s="65"/>
      <c r="TIC28" s="65"/>
      <c r="TID28" s="65"/>
      <c r="TIE28" s="65"/>
      <c r="TIF28" s="65"/>
      <c r="TIG28" s="65"/>
      <c r="TIH28" s="65"/>
      <c r="TII28" s="65"/>
      <c r="TIJ28" s="65"/>
      <c r="TIK28" s="65"/>
      <c r="TIL28" s="65"/>
      <c r="TIM28" s="65"/>
      <c r="TIN28" s="65"/>
      <c r="TIO28" s="65"/>
      <c r="TIP28" s="65"/>
      <c r="TIQ28" s="65"/>
      <c r="TIR28" s="65"/>
      <c r="TIS28" s="65"/>
      <c r="TIT28" s="65"/>
      <c r="TIU28" s="65"/>
      <c r="TIV28" s="65"/>
      <c r="TIW28" s="65"/>
      <c r="TIX28" s="65"/>
      <c r="TIY28" s="65"/>
      <c r="TIZ28" s="65"/>
      <c r="TJA28" s="65"/>
      <c r="TJB28" s="65"/>
      <c r="TJC28" s="65"/>
      <c r="TJD28" s="65"/>
      <c r="TJE28" s="65"/>
      <c r="TJF28" s="65"/>
      <c r="TJG28" s="65"/>
      <c r="TJH28" s="65"/>
      <c r="TJI28" s="65"/>
      <c r="TJJ28" s="65"/>
      <c r="TJK28" s="65"/>
      <c r="TJL28" s="65"/>
      <c r="TJM28" s="65"/>
      <c r="TJN28" s="65"/>
      <c r="TJO28" s="65"/>
      <c r="TJP28" s="65"/>
      <c r="TJQ28" s="65"/>
      <c r="TJR28" s="65"/>
      <c r="TJS28" s="65"/>
      <c r="TJT28" s="65"/>
      <c r="TJU28" s="65"/>
      <c r="TJV28" s="65"/>
      <c r="TJW28" s="65"/>
      <c r="TJX28" s="65"/>
      <c r="TJY28" s="65"/>
      <c r="TJZ28" s="65"/>
      <c r="TKA28" s="65"/>
      <c r="TKB28" s="65"/>
      <c r="TKC28" s="65"/>
      <c r="TKD28" s="65"/>
      <c r="TKE28" s="65"/>
      <c r="TKF28" s="65"/>
      <c r="TKG28" s="65"/>
      <c r="TKH28" s="65"/>
      <c r="TKI28" s="65"/>
      <c r="TKJ28" s="65"/>
      <c r="TKK28" s="65"/>
      <c r="TKL28" s="65"/>
      <c r="TKM28" s="65"/>
      <c r="TKN28" s="65"/>
      <c r="TKO28" s="65"/>
      <c r="TKP28" s="65"/>
      <c r="TKQ28" s="65"/>
      <c r="TKR28" s="65"/>
      <c r="TKS28" s="65"/>
      <c r="TKT28" s="65"/>
      <c r="TKU28" s="65"/>
      <c r="TKV28" s="65"/>
      <c r="TKW28" s="65"/>
      <c r="TKX28" s="65"/>
      <c r="TKY28" s="65"/>
      <c r="TKZ28" s="65"/>
      <c r="TLA28" s="65"/>
      <c r="TLB28" s="65"/>
      <c r="TLC28" s="65"/>
      <c r="TLD28" s="65"/>
      <c r="TLE28" s="65"/>
      <c r="TLF28" s="65"/>
      <c r="TLG28" s="65"/>
      <c r="TLH28" s="65"/>
      <c r="TLI28" s="65"/>
      <c r="TLJ28" s="65"/>
      <c r="TLK28" s="65"/>
      <c r="TLL28" s="65"/>
      <c r="TLM28" s="65"/>
      <c r="TLN28" s="65"/>
      <c r="TLO28" s="65"/>
      <c r="TLP28" s="65"/>
      <c r="TLQ28" s="65"/>
      <c r="TLR28" s="65"/>
      <c r="TLS28" s="65"/>
      <c r="TLT28" s="65"/>
      <c r="TLU28" s="65"/>
      <c r="TLV28" s="65"/>
      <c r="TLW28" s="65"/>
      <c r="TLX28" s="65"/>
      <c r="TLY28" s="65"/>
      <c r="TLZ28" s="65"/>
      <c r="TMA28" s="65"/>
      <c r="TMB28" s="65"/>
      <c r="TMC28" s="65"/>
      <c r="TMD28" s="65"/>
      <c r="TME28" s="65"/>
      <c r="TMF28" s="65"/>
      <c r="TMG28" s="65"/>
      <c r="TMH28" s="65"/>
      <c r="TMI28" s="65"/>
      <c r="TMJ28" s="65"/>
      <c r="TMK28" s="65"/>
      <c r="TML28" s="65"/>
      <c r="TMM28" s="65"/>
      <c r="TMN28" s="65"/>
      <c r="TMO28" s="65"/>
      <c r="TMP28" s="65"/>
      <c r="TMQ28" s="65"/>
      <c r="TMR28" s="65"/>
      <c r="TMS28" s="65"/>
      <c r="TMT28" s="65"/>
      <c r="TMU28" s="65"/>
      <c r="TMV28" s="65"/>
      <c r="TMW28" s="65"/>
      <c r="TMX28" s="65"/>
      <c r="TMY28" s="65"/>
      <c r="TMZ28" s="65"/>
      <c r="TNA28" s="65"/>
      <c r="TNB28" s="65"/>
      <c r="TNC28" s="65"/>
      <c r="TND28" s="65"/>
      <c r="TNE28" s="65"/>
      <c r="TNF28" s="65"/>
      <c r="TNG28" s="65"/>
      <c r="TNH28" s="65"/>
      <c r="TNI28" s="65"/>
      <c r="TNJ28" s="65"/>
      <c r="TNK28" s="65"/>
      <c r="TNL28" s="65"/>
      <c r="TNM28" s="65"/>
      <c r="TNN28" s="65"/>
      <c r="TNO28" s="65"/>
      <c r="TNP28" s="65"/>
      <c r="TNQ28" s="65"/>
      <c r="TNR28" s="65"/>
      <c r="TNS28" s="65"/>
      <c r="TNT28" s="65"/>
      <c r="TNU28" s="65"/>
      <c r="TNV28" s="65"/>
      <c r="TNW28" s="65"/>
      <c r="TNX28" s="65"/>
      <c r="TNY28" s="65"/>
      <c r="TNZ28" s="65"/>
      <c r="TOA28" s="65"/>
      <c r="TOB28" s="65"/>
      <c r="TOC28" s="65"/>
      <c r="TOD28" s="65"/>
      <c r="TOE28" s="65"/>
      <c r="TOF28" s="65"/>
      <c r="TOG28" s="65"/>
      <c r="TOH28" s="65"/>
      <c r="TOI28" s="65"/>
      <c r="TOJ28" s="65"/>
      <c r="TOK28" s="65"/>
      <c r="TOL28" s="65"/>
      <c r="TOM28" s="65"/>
      <c r="TON28" s="65"/>
      <c r="TOO28" s="65"/>
      <c r="TOP28" s="65"/>
      <c r="TOQ28" s="65"/>
      <c r="TOR28" s="65"/>
      <c r="TOS28" s="65"/>
      <c r="TOT28" s="65"/>
      <c r="TOU28" s="65"/>
      <c r="TOV28" s="65"/>
      <c r="TOW28" s="65"/>
      <c r="TOX28" s="65"/>
      <c r="TOY28" s="65"/>
      <c r="TOZ28" s="65"/>
      <c r="TPA28" s="65"/>
      <c r="TPB28" s="65"/>
      <c r="TPC28" s="65"/>
      <c r="TPD28" s="65"/>
      <c r="TPE28" s="65"/>
      <c r="TPF28" s="65"/>
      <c r="TPG28" s="65"/>
      <c r="TPH28" s="65"/>
      <c r="TPI28" s="65"/>
      <c r="TPJ28" s="65"/>
      <c r="TPK28" s="65"/>
      <c r="TPL28" s="65"/>
      <c r="TPM28" s="65"/>
      <c r="TPN28" s="65"/>
      <c r="TPO28" s="65"/>
      <c r="TPP28" s="65"/>
      <c r="TPQ28" s="65"/>
      <c r="TPR28" s="65"/>
      <c r="TPS28" s="65"/>
      <c r="TPT28" s="65"/>
      <c r="TPU28" s="65"/>
      <c r="TPV28" s="65"/>
      <c r="TPW28" s="65"/>
      <c r="TPX28" s="65"/>
      <c r="TPY28" s="65"/>
      <c r="TPZ28" s="65"/>
      <c r="TQA28" s="65"/>
      <c r="TQB28" s="65"/>
      <c r="TQC28" s="65"/>
      <c r="TQD28" s="65"/>
      <c r="TQE28" s="65"/>
      <c r="TQF28" s="65"/>
      <c r="TQG28" s="65"/>
      <c r="TQH28" s="65"/>
      <c r="TQI28" s="65"/>
      <c r="TQJ28" s="65"/>
      <c r="TQK28" s="65"/>
      <c r="TQL28" s="65"/>
      <c r="TQM28" s="65"/>
      <c r="TQN28" s="65"/>
      <c r="TQO28" s="65"/>
      <c r="TQP28" s="65"/>
      <c r="TQQ28" s="65"/>
      <c r="TQR28" s="65"/>
      <c r="TQS28" s="65"/>
      <c r="TQT28" s="65"/>
      <c r="TQU28" s="65"/>
      <c r="TQV28" s="65"/>
      <c r="TQW28" s="65"/>
      <c r="TQX28" s="65"/>
      <c r="TQY28" s="65"/>
      <c r="TQZ28" s="65"/>
      <c r="TRA28" s="65"/>
      <c r="TRB28" s="65"/>
      <c r="TRC28" s="65"/>
      <c r="TRD28" s="65"/>
      <c r="TRE28" s="65"/>
      <c r="TRF28" s="65"/>
      <c r="TRG28" s="65"/>
      <c r="TRH28" s="65"/>
      <c r="TRI28" s="65"/>
      <c r="TRJ28" s="65"/>
      <c r="TRK28" s="65"/>
      <c r="TRL28" s="65"/>
      <c r="TRM28" s="65"/>
      <c r="TRN28" s="65"/>
      <c r="TRO28" s="65"/>
      <c r="TRP28" s="65"/>
      <c r="TRQ28" s="65"/>
      <c r="TRR28" s="65"/>
      <c r="TRS28" s="65"/>
      <c r="TRT28" s="65"/>
      <c r="TRU28" s="65"/>
      <c r="TRV28" s="65"/>
      <c r="TRW28" s="65"/>
      <c r="TRX28" s="65"/>
      <c r="TRY28" s="65"/>
      <c r="TRZ28" s="65"/>
      <c r="TSA28" s="65"/>
      <c r="TSB28" s="65"/>
      <c r="TSC28" s="65"/>
      <c r="TSD28" s="65"/>
      <c r="TSE28" s="65"/>
      <c r="TSF28" s="65"/>
      <c r="TSG28" s="65"/>
      <c r="TSH28" s="65"/>
      <c r="TSI28" s="65"/>
      <c r="TSJ28" s="65"/>
      <c r="TSK28" s="65"/>
      <c r="TSL28" s="65"/>
      <c r="TSM28" s="65"/>
      <c r="TSN28" s="65"/>
      <c r="TSO28" s="65"/>
      <c r="TSP28" s="65"/>
      <c r="TSQ28" s="65"/>
      <c r="TSR28" s="65"/>
      <c r="TSS28" s="65"/>
      <c r="TST28" s="65"/>
      <c r="TSU28" s="65"/>
      <c r="TSV28" s="65"/>
      <c r="TSW28" s="65"/>
      <c r="TSX28" s="65"/>
      <c r="TSY28" s="65"/>
      <c r="TSZ28" s="65"/>
      <c r="TTA28" s="65"/>
      <c r="TTB28" s="65"/>
      <c r="TTC28" s="65"/>
      <c r="TTD28" s="65"/>
      <c r="TTE28" s="65"/>
      <c r="TTF28" s="65"/>
      <c r="TTG28" s="65"/>
      <c r="TTH28" s="65"/>
      <c r="TTI28" s="65"/>
      <c r="TTJ28" s="65"/>
      <c r="TTK28" s="65"/>
      <c r="TTL28" s="65"/>
      <c r="TTM28" s="65"/>
      <c r="TTN28" s="65"/>
      <c r="TTO28" s="65"/>
      <c r="TTP28" s="65"/>
      <c r="TTQ28" s="65"/>
      <c r="TTR28" s="65"/>
      <c r="TTS28" s="65"/>
      <c r="TTT28" s="65"/>
      <c r="TTU28" s="65"/>
      <c r="TTV28" s="65"/>
      <c r="TTW28" s="65"/>
      <c r="TTX28" s="65"/>
      <c r="TTY28" s="65"/>
      <c r="TTZ28" s="65"/>
      <c r="TUA28" s="65"/>
      <c r="TUB28" s="65"/>
      <c r="TUC28" s="65"/>
      <c r="TUD28" s="65"/>
      <c r="TUE28" s="65"/>
      <c r="TUF28" s="65"/>
      <c r="TUG28" s="65"/>
      <c r="TUH28" s="65"/>
      <c r="TUI28" s="65"/>
      <c r="TUJ28" s="65"/>
      <c r="TUK28" s="65"/>
      <c r="TUL28" s="65"/>
      <c r="TUM28" s="65"/>
      <c r="TUN28" s="65"/>
      <c r="TUO28" s="65"/>
      <c r="TUP28" s="65"/>
      <c r="TUQ28" s="65"/>
      <c r="TUR28" s="65"/>
      <c r="TUS28" s="65"/>
      <c r="TUT28" s="65"/>
      <c r="TUU28" s="65"/>
      <c r="TUV28" s="65"/>
      <c r="TUW28" s="65"/>
      <c r="TUX28" s="65"/>
      <c r="TUY28" s="65"/>
      <c r="TUZ28" s="65"/>
      <c r="TVA28" s="65"/>
      <c r="TVB28" s="65"/>
      <c r="TVC28" s="65"/>
      <c r="TVD28" s="65"/>
      <c r="TVE28" s="65"/>
      <c r="TVF28" s="65"/>
      <c r="TVG28" s="65"/>
      <c r="TVH28" s="65"/>
      <c r="TVI28" s="65"/>
      <c r="TVJ28" s="65"/>
      <c r="TVK28" s="65"/>
      <c r="TVL28" s="65"/>
      <c r="TVM28" s="65"/>
      <c r="TVN28" s="65"/>
      <c r="TVO28" s="65"/>
      <c r="TVP28" s="65"/>
      <c r="TVQ28" s="65"/>
      <c r="TVR28" s="65"/>
      <c r="TVS28" s="65"/>
      <c r="TVT28" s="65"/>
      <c r="TVU28" s="65"/>
      <c r="TVV28" s="65"/>
      <c r="TVW28" s="65"/>
      <c r="TVX28" s="65"/>
      <c r="TVY28" s="65"/>
      <c r="TVZ28" s="65"/>
      <c r="TWA28" s="65"/>
      <c r="TWB28" s="65"/>
      <c r="TWC28" s="65"/>
      <c r="TWD28" s="65"/>
      <c r="TWE28" s="65"/>
      <c r="TWF28" s="65"/>
      <c r="TWG28" s="65"/>
      <c r="TWH28" s="65"/>
      <c r="TWI28" s="65"/>
      <c r="TWJ28" s="65"/>
      <c r="TWK28" s="65"/>
      <c r="TWL28" s="65"/>
      <c r="TWM28" s="65"/>
      <c r="TWN28" s="65"/>
      <c r="TWO28" s="65"/>
      <c r="TWP28" s="65"/>
      <c r="TWQ28" s="65"/>
      <c r="TWR28" s="65"/>
      <c r="TWS28" s="65"/>
      <c r="TWT28" s="65"/>
      <c r="TWU28" s="65"/>
      <c r="TWV28" s="65"/>
      <c r="TWW28" s="65"/>
      <c r="TWX28" s="65"/>
      <c r="TWY28" s="65"/>
      <c r="TWZ28" s="65"/>
      <c r="TXA28" s="65"/>
      <c r="TXB28" s="65"/>
      <c r="TXC28" s="65"/>
      <c r="TXD28" s="65"/>
      <c r="TXE28" s="65"/>
      <c r="TXF28" s="65"/>
      <c r="TXG28" s="65"/>
      <c r="TXH28" s="65"/>
      <c r="TXI28" s="65"/>
      <c r="TXJ28" s="65"/>
      <c r="TXK28" s="65"/>
      <c r="TXL28" s="65"/>
      <c r="TXM28" s="65"/>
      <c r="TXN28" s="65"/>
      <c r="TXO28" s="65"/>
      <c r="TXP28" s="65"/>
      <c r="TXQ28" s="65"/>
      <c r="TXR28" s="65"/>
      <c r="TXS28" s="65"/>
      <c r="TXT28" s="65"/>
      <c r="TXU28" s="65"/>
      <c r="TXV28" s="65"/>
      <c r="TXW28" s="65"/>
      <c r="TXX28" s="65"/>
      <c r="TXY28" s="65"/>
      <c r="TXZ28" s="65"/>
      <c r="TYA28" s="65"/>
      <c r="TYB28" s="65"/>
      <c r="TYC28" s="65"/>
      <c r="TYD28" s="65"/>
      <c r="TYE28" s="65"/>
      <c r="TYF28" s="65"/>
      <c r="TYG28" s="65"/>
      <c r="TYH28" s="65"/>
      <c r="TYI28" s="65"/>
      <c r="TYJ28" s="65"/>
      <c r="TYK28" s="65"/>
      <c r="TYL28" s="65"/>
      <c r="TYM28" s="65"/>
      <c r="TYN28" s="65"/>
      <c r="TYO28" s="65"/>
      <c r="TYP28" s="65"/>
      <c r="TYQ28" s="65"/>
      <c r="TYR28" s="65"/>
      <c r="TYS28" s="65"/>
      <c r="TYT28" s="65"/>
      <c r="TYU28" s="65"/>
      <c r="TYV28" s="65"/>
      <c r="TYW28" s="65"/>
      <c r="TYX28" s="65"/>
      <c r="TYY28" s="65"/>
      <c r="TYZ28" s="65"/>
      <c r="TZA28" s="65"/>
      <c r="TZB28" s="65"/>
      <c r="TZC28" s="65"/>
      <c r="TZD28" s="65"/>
      <c r="TZE28" s="65"/>
      <c r="TZF28" s="65"/>
      <c r="TZG28" s="65"/>
      <c r="TZH28" s="65"/>
      <c r="TZI28" s="65"/>
      <c r="TZJ28" s="65"/>
      <c r="TZK28" s="65"/>
      <c r="TZL28" s="65"/>
      <c r="TZM28" s="65"/>
      <c r="TZN28" s="65"/>
      <c r="TZO28" s="65"/>
      <c r="TZP28" s="65"/>
      <c r="TZQ28" s="65"/>
      <c r="TZR28" s="65"/>
      <c r="TZS28" s="65"/>
      <c r="TZT28" s="65"/>
      <c r="TZU28" s="65"/>
      <c r="TZV28" s="65"/>
      <c r="TZW28" s="65"/>
      <c r="TZX28" s="65"/>
      <c r="TZY28" s="65"/>
      <c r="TZZ28" s="65"/>
      <c r="UAA28" s="65"/>
      <c r="UAB28" s="65"/>
      <c r="UAC28" s="65"/>
      <c r="UAD28" s="65"/>
      <c r="UAE28" s="65"/>
      <c r="UAF28" s="65"/>
      <c r="UAG28" s="65"/>
      <c r="UAH28" s="65"/>
      <c r="UAI28" s="65"/>
      <c r="UAJ28" s="65"/>
      <c r="UAK28" s="65"/>
      <c r="UAL28" s="65"/>
      <c r="UAM28" s="65"/>
      <c r="UAN28" s="65"/>
      <c r="UAO28" s="65"/>
      <c r="UAP28" s="65"/>
      <c r="UAQ28" s="65"/>
      <c r="UAR28" s="65"/>
      <c r="UAS28" s="65"/>
      <c r="UAT28" s="65"/>
      <c r="UAU28" s="65"/>
      <c r="UAV28" s="65"/>
      <c r="UAW28" s="65"/>
      <c r="UAX28" s="65"/>
      <c r="UAY28" s="65"/>
      <c r="UAZ28" s="65"/>
      <c r="UBA28" s="65"/>
      <c r="UBB28" s="65"/>
      <c r="UBC28" s="65"/>
      <c r="UBD28" s="65"/>
      <c r="UBE28" s="65"/>
      <c r="UBF28" s="65"/>
      <c r="UBG28" s="65"/>
      <c r="UBH28" s="65"/>
      <c r="UBI28" s="65"/>
      <c r="UBJ28" s="65"/>
      <c r="UBK28" s="65"/>
      <c r="UBL28" s="65"/>
      <c r="UBM28" s="65"/>
      <c r="UBN28" s="65"/>
      <c r="UBO28" s="65"/>
      <c r="UBP28" s="65"/>
      <c r="UBQ28" s="65"/>
      <c r="UBR28" s="65"/>
      <c r="UBS28" s="65"/>
      <c r="UBT28" s="65"/>
      <c r="UBU28" s="65"/>
      <c r="UBV28" s="65"/>
      <c r="UBW28" s="65"/>
      <c r="UBX28" s="65"/>
      <c r="UBY28" s="65"/>
      <c r="UBZ28" s="65"/>
      <c r="UCA28" s="65"/>
      <c r="UCB28" s="65"/>
      <c r="UCC28" s="65"/>
      <c r="UCD28" s="65"/>
      <c r="UCE28" s="65"/>
      <c r="UCF28" s="65"/>
      <c r="UCG28" s="65"/>
      <c r="UCH28" s="65"/>
      <c r="UCI28" s="65"/>
      <c r="UCJ28" s="65"/>
      <c r="UCK28" s="65"/>
      <c r="UCL28" s="65"/>
      <c r="UCM28" s="65"/>
      <c r="UCN28" s="65"/>
      <c r="UCO28" s="65"/>
      <c r="UCP28" s="65"/>
      <c r="UCQ28" s="65"/>
      <c r="UCR28" s="65"/>
      <c r="UCS28" s="65"/>
      <c r="UCT28" s="65"/>
      <c r="UCU28" s="65"/>
      <c r="UCV28" s="65"/>
      <c r="UCW28" s="65"/>
      <c r="UCX28" s="65"/>
      <c r="UCY28" s="65"/>
      <c r="UCZ28" s="65"/>
      <c r="UDA28" s="65"/>
      <c r="UDB28" s="65"/>
      <c r="UDC28" s="65"/>
      <c r="UDD28" s="65"/>
      <c r="UDE28" s="65"/>
      <c r="UDF28" s="65"/>
      <c r="UDG28" s="65"/>
      <c r="UDH28" s="65"/>
      <c r="UDI28" s="65"/>
      <c r="UDJ28" s="65"/>
      <c r="UDK28" s="65"/>
      <c r="UDL28" s="65"/>
      <c r="UDM28" s="65"/>
      <c r="UDN28" s="65"/>
      <c r="UDO28" s="65"/>
      <c r="UDP28" s="65"/>
      <c r="UDQ28" s="65"/>
      <c r="UDR28" s="65"/>
      <c r="UDS28" s="65"/>
      <c r="UDT28" s="65"/>
      <c r="UDU28" s="65"/>
      <c r="UDV28" s="65"/>
      <c r="UDW28" s="65"/>
      <c r="UDX28" s="65"/>
      <c r="UDY28" s="65"/>
      <c r="UDZ28" s="65"/>
      <c r="UEA28" s="65"/>
      <c r="UEB28" s="65"/>
      <c r="UEC28" s="65"/>
      <c r="UED28" s="65"/>
      <c r="UEE28" s="65"/>
      <c r="UEF28" s="65"/>
      <c r="UEG28" s="65"/>
      <c r="UEH28" s="65"/>
      <c r="UEI28" s="65"/>
      <c r="UEJ28" s="65"/>
      <c r="UEK28" s="65"/>
      <c r="UEL28" s="65"/>
      <c r="UEM28" s="65"/>
      <c r="UEN28" s="65"/>
      <c r="UEO28" s="65"/>
      <c r="UEP28" s="65"/>
      <c r="UEQ28" s="65"/>
      <c r="UER28" s="65"/>
      <c r="UES28" s="65"/>
      <c r="UET28" s="65"/>
      <c r="UEU28" s="65"/>
      <c r="UEV28" s="65"/>
      <c r="UEW28" s="65"/>
      <c r="UEX28" s="65"/>
      <c r="UEY28" s="65"/>
      <c r="UEZ28" s="65"/>
      <c r="UFA28" s="65"/>
      <c r="UFB28" s="65"/>
      <c r="UFC28" s="65"/>
      <c r="UFD28" s="65"/>
      <c r="UFE28" s="65"/>
      <c r="UFF28" s="65"/>
      <c r="UFG28" s="65"/>
      <c r="UFH28" s="65"/>
      <c r="UFI28" s="65"/>
      <c r="UFJ28" s="65"/>
      <c r="UFK28" s="65"/>
      <c r="UFL28" s="65"/>
      <c r="UFM28" s="65"/>
      <c r="UFN28" s="65"/>
      <c r="UFO28" s="65"/>
      <c r="UFP28" s="65"/>
      <c r="UFQ28" s="65"/>
      <c r="UFR28" s="65"/>
      <c r="UFS28" s="65"/>
      <c r="UFT28" s="65"/>
      <c r="UFU28" s="65"/>
      <c r="UFV28" s="65"/>
      <c r="UFW28" s="65"/>
      <c r="UFX28" s="65"/>
      <c r="UFY28" s="65"/>
      <c r="UFZ28" s="65"/>
      <c r="UGA28" s="65"/>
      <c r="UGB28" s="65"/>
      <c r="UGC28" s="65"/>
      <c r="UGD28" s="65"/>
      <c r="UGE28" s="65"/>
      <c r="UGF28" s="65"/>
      <c r="UGG28" s="65"/>
      <c r="UGH28" s="65"/>
      <c r="UGI28" s="65"/>
      <c r="UGJ28" s="65"/>
      <c r="UGK28" s="65"/>
      <c r="UGL28" s="65"/>
      <c r="UGM28" s="65"/>
      <c r="UGN28" s="65"/>
      <c r="UGO28" s="65"/>
      <c r="UGP28" s="65"/>
      <c r="UGQ28" s="65"/>
      <c r="UGR28" s="65"/>
      <c r="UGS28" s="65"/>
      <c r="UGT28" s="65"/>
      <c r="UGU28" s="65"/>
      <c r="UGV28" s="65"/>
      <c r="UGW28" s="65"/>
      <c r="UGX28" s="65"/>
      <c r="UGY28" s="65"/>
      <c r="UGZ28" s="65"/>
      <c r="UHA28" s="65"/>
      <c r="UHB28" s="65"/>
      <c r="UHC28" s="65"/>
      <c r="UHD28" s="65"/>
      <c r="UHE28" s="65"/>
      <c r="UHF28" s="65"/>
      <c r="UHG28" s="65"/>
      <c r="UHH28" s="65"/>
      <c r="UHI28" s="65"/>
      <c r="UHJ28" s="65"/>
      <c r="UHK28" s="65"/>
      <c r="UHL28" s="65"/>
      <c r="UHM28" s="65"/>
      <c r="UHN28" s="65"/>
      <c r="UHO28" s="65"/>
      <c r="UHP28" s="65"/>
      <c r="UHQ28" s="65"/>
      <c r="UHR28" s="65"/>
      <c r="UHS28" s="65"/>
      <c r="UHT28" s="65"/>
      <c r="UHU28" s="65"/>
      <c r="UHV28" s="65"/>
      <c r="UHW28" s="65"/>
      <c r="UHX28" s="65"/>
      <c r="UHY28" s="65"/>
      <c r="UHZ28" s="65"/>
      <c r="UIA28" s="65"/>
      <c r="UIB28" s="65"/>
      <c r="UIC28" s="65"/>
      <c r="UID28" s="65"/>
      <c r="UIE28" s="65"/>
      <c r="UIF28" s="65"/>
      <c r="UIG28" s="65"/>
      <c r="UIH28" s="65"/>
      <c r="UII28" s="65"/>
      <c r="UIJ28" s="65"/>
      <c r="UIK28" s="65"/>
      <c r="UIL28" s="65"/>
      <c r="UIM28" s="65"/>
      <c r="UIN28" s="65"/>
      <c r="UIO28" s="65"/>
      <c r="UIP28" s="65"/>
      <c r="UIQ28" s="65"/>
      <c r="UIR28" s="65"/>
      <c r="UIS28" s="65"/>
      <c r="UIT28" s="65"/>
      <c r="UIU28" s="65"/>
      <c r="UIV28" s="65"/>
      <c r="UIW28" s="65"/>
      <c r="UIX28" s="65"/>
      <c r="UIY28" s="65"/>
      <c r="UIZ28" s="65"/>
      <c r="UJA28" s="65"/>
      <c r="UJB28" s="65"/>
      <c r="UJC28" s="65"/>
      <c r="UJD28" s="65"/>
      <c r="UJE28" s="65"/>
      <c r="UJF28" s="65"/>
      <c r="UJG28" s="65"/>
      <c r="UJH28" s="65"/>
      <c r="UJI28" s="65"/>
      <c r="UJJ28" s="65"/>
      <c r="UJK28" s="65"/>
      <c r="UJL28" s="65"/>
      <c r="UJM28" s="65"/>
      <c r="UJN28" s="65"/>
      <c r="UJO28" s="65"/>
      <c r="UJP28" s="65"/>
      <c r="UJQ28" s="65"/>
      <c r="UJR28" s="65"/>
      <c r="UJS28" s="65"/>
      <c r="UJT28" s="65"/>
      <c r="UJU28" s="65"/>
      <c r="UJV28" s="65"/>
      <c r="UJW28" s="65"/>
      <c r="UJX28" s="65"/>
      <c r="UJY28" s="65"/>
      <c r="UJZ28" s="65"/>
      <c r="UKA28" s="65"/>
      <c r="UKB28" s="65"/>
      <c r="UKC28" s="65"/>
      <c r="UKD28" s="65"/>
      <c r="UKE28" s="65"/>
      <c r="UKF28" s="65"/>
      <c r="UKG28" s="65"/>
      <c r="UKH28" s="65"/>
      <c r="UKI28" s="65"/>
      <c r="UKJ28" s="65"/>
      <c r="UKK28" s="65"/>
      <c r="UKL28" s="65"/>
      <c r="UKM28" s="65"/>
      <c r="UKN28" s="65"/>
      <c r="UKO28" s="65"/>
      <c r="UKP28" s="65"/>
      <c r="UKQ28" s="65"/>
      <c r="UKR28" s="65"/>
      <c r="UKS28" s="65"/>
      <c r="UKT28" s="65"/>
      <c r="UKU28" s="65"/>
      <c r="UKV28" s="65"/>
      <c r="UKW28" s="65"/>
      <c r="UKX28" s="65"/>
      <c r="UKY28" s="65"/>
      <c r="UKZ28" s="65"/>
      <c r="ULA28" s="65"/>
      <c r="ULB28" s="65"/>
      <c r="ULC28" s="65"/>
      <c r="ULD28" s="65"/>
      <c r="ULE28" s="65"/>
      <c r="ULF28" s="65"/>
      <c r="ULG28" s="65"/>
      <c r="ULH28" s="65"/>
      <c r="ULI28" s="65"/>
      <c r="ULJ28" s="65"/>
      <c r="ULK28" s="65"/>
      <c r="ULL28" s="65"/>
      <c r="ULM28" s="65"/>
      <c r="ULN28" s="65"/>
      <c r="ULO28" s="65"/>
      <c r="ULP28" s="65"/>
      <c r="ULQ28" s="65"/>
      <c r="ULR28" s="65"/>
      <c r="ULS28" s="65"/>
      <c r="ULT28" s="65"/>
      <c r="ULU28" s="65"/>
      <c r="ULV28" s="65"/>
      <c r="ULW28" s="65"/>
      <c r="ULX28" s="65"/>
      <c r="ULY28" s="65"/>
      <c r="ULZ28" s="65"/>
      <c r="UMA28" s="65"/>
      <c r="UMB28" s="65"/>
      <c r="UMC28" s="65"/>
      <c r="UMD28" s="65"/>
      <c r="UME28" s="65"/>
      <c r="UMF28" s="65"/>
      <c r="UMG28" s="65"/>
      <c r="UMH28" s="65"/>
      <c r="UMI28" s="65"/>
      <c r="UMJ28" s="65"/>
      <c r="UMK28" s="65"/>
      <c r="UML28" s="65"/>
      <c r="UMM28" s="65"/>
      <c r="UMN28" s="65"/>
      <c r="UMO28" s="65"/>
      <c r="UMP28" s="65"/>
      <c r="UMQ28" s="65"/>
      <c r="UMR28" s="65"/>
      <c r="UMS28" s="65"/>
      <c r="UMT28" s="65"/>
      <c r="UMU28" s="65"/>
      <c r="UMV28" s="65"/>
      <c r="UMW28" s="65"/>
      <c r="UMX28" s="65"/>
      <c r="UMY28" s="65"/>
      <c r="UMZ28" s="65"/>
      <c r="UNA28" s="65"/>
      <c r="UNB28" s="65"/>
      <c r="UNC28" s="65"/>
      <c r="UND28" s="65"/>
      <c r="UNE28" s="65"/>
      <c r="UNF28" s="65"/>
      <c r="UNG28" s="65"/>
      <c r="UNH28" s="65"/>
      <c r="UNI28" s="65"/>
      <c r="UNJ28" s="65"/>
      <c r="UNK28" s="65"/>
      <c r="UNL28" s="65"/>
      <c r="UNM28" s="65"/>
      <c r="UNN28" s="65"/>
      <c r="UNO28" s="65"/>
      <c r="UNP28" s="65"/>
      <c r="UNQ28" s="65"/>
      <c r="UNR28" s="65"/>
      <c r="UNS28" s="65"/>
      <c r="UNT28" s="65"/>
      <c r="UNU28" s="65"/>
      <c r="UNV28" s="65"/>
      <c r="UNW28" s="65"/>
      <c r="UNX28" s="65"/>
      <c r="UNY28" s="65"/>
      <c r="UNZ28" s="65"/>
      <c r="UOA28" s="65"/>
      <c r="UOB28" s="65"/>
      <c r="UOC28" s="65"/>
      <c r="UOD28" s="65"/>
      <c r="UOE28" s="65"/>
      <c r="UOF28" s="65"/>
      <c r="UOG28" s="65"/>
      <c r="UOH28" s="65"/>
      <c r="UOI28" s="65"/>
      <c r="UOJ28" s="65"/>
      <c r="UOK28" s="65"/>
      <c r="UOL28" s="65"/>
      <c r="UOM28" s="65"/>
      <c r="UON28" s="65"/>
      <c r="UOO28" s="65"/>
      <c r="UOP28" s="65"/>
      <c r="UOQ28" s="65"/>
      <c r="UOR28" s="65"/>
      <c r="UOS28" s="65"/>
      <c r="UOT28" s="65"/>
      <c r="UOU28" s="65"/>
      <c r="UOV28" s="65"/>
      <c r="UOW28" s="65"/>
      <c r="UOX28" s="65"/>
      <c r="UOY28" s="65"/>
      <c r="UOZ28" s="65"/>
      <c r="UPA28" s="65"/>
      <c r="UPB28" s="65"/>
      <c r="UPC28" s="65"/>
      <c r="UPD28" s="65"/>
      <c r="UPE28" s="65"/>
      <c r="UPF28" s="65"/>
      <c r="UPG28" s="65"/>
      <c r="UPH28" s="65"/>
      <c r="UPI28" s="65"/>
      <c r="UPJ28" s="65"/>
      <c r="UPK28" s="65"/>
      <c r="UPL28" s="65"/>
      <c r="UPM28" s="65"/>
      <c r="UPN28" s="65"/>
      <c r="UPO28" s="65"/>
      <c r="UPP28" s="65"/>
      <c r="UPQ28" s="65"/>
      <c r="UPR28" s="65"/>
      <c r="UPS28" s="65"/>
      <c r="UPT28" s="65"/>
      <c r="UPU28" s="65"/>
      <c r="UPV28" s="65"/>
      <c r="UPW28" s="65"/>
      <c r="UPX28" s="65"/>
      <c r="UPY28" s="65"/>
      <c r="UPZ28" s="65"/>
      <c r="UQA28" s="65"/>
      <c r="UQB28" s="65"/>
      <c r="UQC28" s="65"/>
      <c r="UQD28" s="65"/>
      <c r="UQE28" s="65"/>
      <c r="UQF28" s="65"/>
      <c r="UQG28" s="65"/>
      <c r="UQH28" s="65"/>
      <c r="UQI28" s="65"/>
      <c r="UQJ28" s="65"/>
      <c r="UQK28" s="65"/>
      <c r="UQL28" s="65"/>
      <c r="UQM28" s="65"/>
      <c r="UQN28" s="65"/>
      <c r="UQO28" s="65"/>
      <c r="UQP28" s="65"/>
      <c r="UQQ28" s="65"/>
      <c r="UQR28" s="65"/>
      <c r="UQS28" s="65"/>
      <c r="UQT28" s="65"/>
      <c r="UQU28" s="65"/>
      <c r="UQV28" s="65"/>
      <c r="UQW28" s="65"/>
      <c r="UQX28" s="65"/>
      <c r="UQY28" s="65"/>
      <c r="UQZ28" s="65"/>
      <c r="URA28" s="65"/>
      <c r="URB28" s="65"/>
      <c r="URC28" s="65"/>
      <c r="URD28" s="65"/>
      <c r="URE28" s="65"/>
      <c r="URF28" s="65"/>
      <c r="URG28" s="65"/>
      <c r="URH28" s="65"/>
      <c r="URI28" s="65"/>
      <c r="URJ28" s="65"/>
      <c r="URK28" s="65"/>
      <c r="URL28" s="65"/>
      <c r="URM28" s="65"/>
      <c r="URN28" s="65"/>
      <c r="URO28" s="65"/>
      <c r="URP28" s="65"/>
      <c r="URQ28" s="65"/>
      <c r="URR28" s="65"/>
      <c r="URS28" s="65"/>
      <c r="URT28" s="65"/>
      <c r="URU28" s="65"/>
      <c r="URV28" s="65"/>
      <c r="URW28" s="65"/>
      <c r="URX28" s="65"/>
      <c r="URY28" s="65"/>
      <c r="URZ28" s="65"/>
      <c r="USA28" s="65"/>
      <c r="USB28" s="65"/>
      <c r="USC28" s="65"/>
      <c r="USD28" s="65"/>
      <c r="USE28" s="65"/>
      <c r="USF28" s="65"/>
      <c r="USG28" s="65"/>
      <c r="USH28" s="65"/>
      <c r="USI28" s="65"/>
      <c r="USJ28" s="65"/>
      <c r="USK28" s="65"/>
      <c r="USL28" s="65"/>
      <c r="USM28" s="65"/>
      <c r="USN28" s="65"/>
      <c r="USO28" s="65"/>
      <c r="USP28" s="65"/>
      <c r="USQ28" s="65"/>
      <c r="USR28" s="65"/>
      <c r="USS28" s="65"/>
      <c r="UST28" s="65"/>
      <c r="USU28" s="65"/>
      <c r="USV28" s="65"/>
      <c r="USW28" s="65"/>
      <c r="USX28" s="65"/>
      <c r="USY28" s="65"/>
      <c r="USZ28" s="65"/>
      <c r="UTA28" s="65"/>
      <c r="UTB28" s="65"/>
      <c r="UTC28" s="65"/>
      <c r="UTD28" s="65"/>
      <c r="UTE28" s="65"/>
      <c r="UTF28" s="65"/>
      <c r="UTG28" s="65"/>
      <c r="UTH28" s="65"/>
      <c r="UTI28" s="65"/>
      <c r="UTJ28" s="65"/>
      <c r="UTK28" s="65"/>
      <c r="UTL28" s="65"/>
      <c r="UTM28" s="65"/>
      <c r="UTN28" s="65"/>
      <c r="UTO28" s="65"/>
      <c r="UTP28" s="65"/>
      <c r="UTQ28" s="65"/>
      <c r="UTR28" s="65"/>
      <c r="UTS28" s="65"/>
      <c r="UTT28" s="65"/>
      <c r="UTU28" s="65"/>
      <c r="UTV28" s="65"/>
      <c r="UTW28" s="65"/>
      <c r="UTX28" s="65"/>
      <c r="UTY28" s="65"/>
      <c r="UTZ28" s="65"/>
      <c r="UUA28" s="65"/>
      <c r="UUB28" s="65"/>
      <c r="UUC28" s="65"/>
      <c r="UUD28" s="65"/>
      <c r="UUE28" s="65"/>
      <c r="UUF28" s="65"/>
      <c r="UUG28" s="65"/>
      <c r="UUH28" s="65"/>
      <c r="UUI28" s="65"/>
      <c r="UUJ28" s="65"/>
      <c r="UUK28" s="65"/>
      <c r="UUL28" s="65"/>
      <c r="UUM28" s="65"/>
      <c r="UUN28" s="65"/>
      <c r="UUO28" s="65"/>
      <c r="UUP28" s="65"/>
      <c r="UUQ28" s="65"/>
      <c r="UUR28" s="65"/>
      <c r="UUS28" s="65"/>
      <c r="UUT28" s="65"/>
      <c r="UUU28" s="65"/>
      <c r="UUV28" s="65"/>
      <c r="UUW28" s="65"/>
      <c r="UUX28" s="65"/>
      <c r="UUY28" s="65"/>
      <c r="UUZ28" s="65"/>
      <c r="UVA28" s="65"/>
      <c r="UVB28" s="65"/>
      <c r="UVC28" s="65"/>
      <c r="UVD28" s="65"/>
      <c r="UVE28" s="65"/>
      <c r="UVF28" s="65"/>
      <c r="UVG28" s="65"/>
      <c r="UVH28" s="65"/>
      <c r="UVI28" s="65"/>
      <c r="UVJ28" s="65"/>
      <c r="UVK28" s="65"/>
      <c r="UVL28" s="65"/>
      <c r="UVM28" s="65"/>
      <c r="UVN28" s="65"/>
      <c r="UVO28" s="65"/>
      <c r="UVP28" s="65"/>
      <c r="UVQ28" s="65"/>
      <c r="UVR28" s="65"/>
      <c r="UVS28" s="65"/>
      <c r="UVT28" s="65"/>
      <c r="UVU28" s="65"/>
      <c r="UVV28" s="65"/>
      <c r="UVW28" s="65"/>
      <c r="UVX28" s="65"/>
      <c r="UVY28" s="65"/>
      <c r="UVZ28" s="65"/>
      <c r="UWA28" s="65"/>
      <c r="UWB28" s="65"/>
      <c r="UWC28" s="65"/>
      <c r="UWD28" s="65"/>
      <c r="UWE28" s="65"/>
      <c r="UWF28" s="65"/>
      <c r="UWG28" s="65"/>
      <c r="UWH28" s="65"/>
      <c r="UWI28" s="65"/>
      <c r="UWJ28" s="65"/>
      <c r="UWK28" s="65"/>
      <c r="UWL28" s="65"/>
      <c r="UWM28" s="65"/>
      <c r="UWN28" s="65"/>
      <c r="UWO28" s="65"/>
      <c r="UWP28" s="65"/>
      <c r="UWQ28" s="65"/>
      <c r="UWR28" s="65"/>
      <c r="UWS28" s="65"/>
      <c r="UWT28" s="65"/>
      <c r="UWU28" s="65"/>
      <c r="UWV28" s="65"/>
      <c r="UWW28" s="65"/>
      <c r="UWX28" s="65"/>
      <c r="UWY28" s="65"/>
      <c r="UWZ28" s="65"/>
      <c r="UXA28" s="65"/>
      <c r="UXB28" s="65"/>
      <c r="UXC28" s="65"/>
      <c r="UXD28" s="65"/>
      <c r="UXE28" s="65"/>
      <c r="UXF28" s="65"/>
      <c r="UXG28" s="65"/>
      <c r="UXH28" s="65"/>
      <c r="UXI28" s="65"/>
      <c r="UXJ28" s="65"/>
      <c r="UXK28" s="65"/>
      <c r="UXL28" s="65"/>
      <c r="UXM28" s="65"/>
      <c r="UXN28" s="65"/>
      <c r="UXO28" s="65"/>
      <c r="UXP28" s="65"/>
      <c r="UXQ28" s="65"/>
      <c r="UXR28" s="65"/>
      <c r="UXS28" s="65"/>
      <c r="UXT28" s="65"/>
      <c r="UXU28" s="65"/>
      <c r="UXV28" s="65"/>
      <c r="UXW28" s="65"/>
      <c r="UXX28" s="65"/>
      <c r="UXY28" s="65"/>
      <c r="UXZ28" s="65"/>
      <c r="UYA28" s="65"/>
      <c r="UYB28" s="65"/>
      <c r="UYC28" s="65"/>
      <c r="UYD28" s="65"/>
      <c r="UYE28" s="65"/>
      <c r="UYF28" s="65"/>
      <c r="UYG28" s="65"/>
      <c r="UYH28" s="65"/>
      <c r="UYI28" s="65"/>
      <c r="UYJ28" s="65"/>
      <c r="UYK28" s="65"/>
      <c r="UYL28" s="65"/>
      <c r="UYM28" s="65"/>
      <c r="UYN28" s="65"/>
      <c r="UYO28" s="65"/>
      <c r="UYP28" s="65"/>
      <c r="UYQ28" s="65"/>
      <c r="UYR28" s="65"/>
      <c r="UYS28" s="65"/>
      <c r="UYT28" s="65"/>
      <c r="UYU28" s="65"/>
      <c r="UYV28" s="65"/>
      <c r="UYW28" s="65"/>
      <c r="UYX28" s="65"/>
      <c r="UYY28" s="65"/>
      <c r="UYZ28" s="65"/>
      <c r="UZA28" s="65"/>
      <c r="UZB28" s="65"/>
      <c r="UZC28" s="65"/>
      <c r="UZD28" s="65"/>
      <c r="UZE28" s="65"/>
      <c r="UZF28" s="65"/>
      <c r="UZG28" s="65"/>
      <c r="UZH28" s="65"/>
      <c r="UZI28" s="65"/>
      <c r="UZJ28" s="65"/>
      <c r="UZK28" s="65"/>
      <c r="UZL28" s="65"/>
      <c r="UZM28" s="65"/>
      <c r="UZN28" s="65"/>
      <c r="UZO28" s="65"/>
      <c r="UZP28" s="65"/>
      <c r="UZQ28" s="65"/>
      <c r="UZR28" s="65"/>
      <c r="UZS28" s="65"/>
      <c r="UZT28" s="65"/>
      <c r="UZU28" s="65"/>
      <c r="UZV28" s="65"/>
      <c r="UZW28" s="65"/>
      <c r="UZX28" s="65"/>
      <c r="UZY28" s="65"/>
      <c r="UZZ28" s="65"/>
      <c r="VAA28" s="65"/>
      <c r="VAB28" s="65"/>
      <c r="VAC28" s="65"/>
      <c r="VAD28" s="65"/>
      <c r="VAE28" s="65"/>
      <c r="VAF28" s="65"/>
      <c r="VAG28" s="65"/>
      <c r="VAH28" s="65"/>
      <c r="VAI28" s="65"/>
      <c r="VAJ28" s="65"/>
      <c r="VAK28" s="65"/>
      <c r="VAL28" s="65"/>
      <c r="VAM28" s="65"/>
      <c r="VAN28" s="65"/>
      <c r="VAO28" s="65"/>
      <c r="VAP28" s="65"/>
      <c r="VAQ28" s="65"/>
      <c r="VAR28" s="65"/>
      <c r="VAS28" s="65"/>
      <c r="VAT28" s="65"/>
      <c r="VAU28" s="65"/>
      <c r="VAV28" s="65"/>
      <c r="VAW28" s="65"/>
      <c r="VAX28" s="65"/>
      <c r="VAY28" s="65"/>
      <c r="VAZ28" s="65"/>
      <c r="VBA28" s="65"/>
      <c r="VBB28" s="65"/>
      <c r="VBC28" s="65"/>
      <c r="VBD28" s="65"/>
      <c r="VBE28" s="65"/>
      <c r="VBF28" s="65"/>
      <c r="VBG28" s="65"/>
      <c r="VBH28" s="65"/>
      <c r="VBI28" s="65"/>
      <c r="VBJ28" s="65"/>
      <c r="VBK28" s="65"/>
      <c r="VBL28" s="65"/>
      <c r="VBM28" s="65"/>
      <c r="VBN28" s="65"/>
      <c r="VBO28" s="65"/>
      <c r="VBP28" s="65"/>
      <c r="VBQ28" s="65"/>
      <c r="VBR28" s="65"/>
      <c r="VBS28" s="65"/>
      <c r="VBT28" s="65"/>
      <c r="VBU28" s="65"/>
      <c r="VBV28" s="65"/>
      <c r="VBW28" s="65"/>
      <c r="VBX28" s="65"/>
      <c r="VBY28" s="65"/>
      <c r="VBZ28" s="65"/>
      <c r="VCA28" s="65"/>
      <c r="VCB28" s="65"/>
      <c r="VCC28" s="65"/>
      <c r="VCD28" s="65"/>
      <c r="VCE28" s="65"/>
      <c r="VCF28" s="65"/>
      <c r="VCG28" s="65"/>
      <c r="VCH28" s="65"/>
      <c r="VCI28" s="65"/>
      <c r="VCJ28" s="65"/>
      <c r="VCK28" s="65"/>
      <c r="VCL28" s="65"/>
      <c r="VCM28" s="65"/>
      <c r="VCN28" s="65"/>
      <c r="VCO28" s="65"/>
      <c r="VCP28" s="65"/>
      <c r="VCQ28" s="65"/>
      <c r="VCR28" s="65"/>
      <c r="VCS28" s="65"/>
      <c r="VCT28" s="65"/>
      <c r="VCU28" s="65"/>
      <c r="VCV28" s="65"/>
      <c r="VCW28" s="65"/>
      <c r="VCX28" s="65"/>
      <c r="VCY28" s="65"/>
      <c r="VCZ28" s="65"/>
      <c r="VDA28" s="65"/>
      <c r="VDB28" s="65"/>
      <c r="VDC28" s="65"/>
      <c r="VDD28" s="65"/>
      <c r="VDE28" s="65"/>
      <c r="VDF28" s="65"/>
      <c r="VDG28" s="65"/>
      <c r="VDH28" s="65"/>
      <c r="VDI28" s="65"/>
      <c r="VDJ28" s="65"/>
      <c r="VDK28" s="65"/>
      <c r="VDL28" s="65"/>
      <c r="VDM28" s="65"/>
      <c r="VDN28" s="65"/>
      <c r="VDO28" s="65"/>
      <c r="VDP28" s="65"/>
      <c r="VDQ28" s="65"/>
      <c r="VDR28" s="65"/>
      <c r="VDS28" s="65"/>
      <c r="VDT28" s="65"/>
      <c r="VDU28" s="65"/>
      <c r="VDV28" s="65"/>
      <c r="VDW28" s="65"/>
      <c r="VDX28" s="65"/>
      <c r="VDY28" s="65"/>
      <c r="VDZ28" s="65"/>
      <c r="VEA28" s="65"/>
      <c r="VEB28" s="65"/>
      <c r="VEC28" s="65"/>
      <c r="VED28" s="65"/>
      <c r="VEE28" s="65"/>
      <c r="VEF28" s="65"/>
      <c r="VEG28" s="65"/>
      <c r="VEH28" s="65"/>
      <c r="VEI28" s="65"/>
      <c r="VEJ28" s="65"/>
      <c r="VEK28" s="65"/>
      <c r="VEL28" s="65"/>
      <c r="VEM28" s="65"/>
      <c r="VEN28" s="65"/>
      <c r="VEO28" s="65"/>
      <c r="VEP28" s="65"/>
      <c r="VEQ28" s="65"/>
      <c r="VER28" s="65"/>
      <c r="VES28" s="65"/>
      <c r="VET28" s="65"/>
      <c r="VEU28" s="65"/>
      <c r="VEV28" s="65"/>
      <c r="VEW28" s="65"/>
      <c r="VEX28" s="65"/>
      <c r="VEY28" s="65"/>
      <c r="VEZ28" s="65"/>
      <c r="VFA28" s="65"/>
      <c r="VFB28" s="65"/>
      <c r="VFC28" s="65"/>
      <c r="VFD28" s="65"/>
      <c r="VFE28" s="65"/>
      <c r="VFF28" s="65"/>
      <c r="VFG28" s="65"/>
      <c r="VFH28" s="65"/>
      <c r="VFI28" s="65"/>
      <c r="VFJ28" s="65"/>
      <c r="VFK28" s="65"/>
      <c r="VFL28" s="65"/>
      <c r="VFM28" s="65"/>
      <c r="VFN28" s="65"/>
      <c r="VFO28" s="65"/>
      <c r="VFP28" s="65"/>
      <c r="VFQ28" s="65"/>
      <c r="VFR28" s="65"/>
      <c r="VFS28" s="65"/>
      <c r="VFT28" s="65"/>
      <c r="VFU28" s="65"/>
      <c r="VFV28" s="65"/>
      <c r="VFW28" s="65"/>
      <c r="VFX28" s="65"/>
      <c r="VFY28" s="65"/>
      <c r="VFZ28" s="65"/>
      <c r="VGA28" s="65"/>
      <c r="VGB28" s="65"/>
      <c r="VGC28" s="65"/>
      <c r="VGD28" s="65"/>
      <c r="VGE28" s="65"/>
      <c r="VGF28" s="65"/>
      <c r="VGG28" s="65"/>
      <c r="VGH28" s="65"/>
      <c r="VGI28" s="65"/>
      <c r="VGJ28" s="65"/>
      <c r="VGK28" s="65"/>
      <c r="VGL28" s="65"/>
      <c r="VGM28" s="65"/>
      <c r="VGN28" s="65"/>
      <c r="VGO28" s="65"/>
      <c r="VGP28" s="65"/>
      <c r="VGQ28" s="65"/>
      <c r="VGR28" s="65"/>
      <c r="VGS28" s="65"/>
      <c r="VGT28" s="65"/>
      <c r="VGU28" s="65"/>
      <c r="VGV28" s="65"/>
      <c r="VGW28" s="65"/>
      <c r="VGX28" s="65"/>
      <c r="VGY28" s="65"/>
      <c r="VGZ28" s="65"/>
      <c r="VHA28" s="65"/>
      <c r="VHB28" s="65"/>
      <c r="VHC28" s="65"/>
      <c r="VHD28" s="65"/>
      <c r="VHE28" s="65"/>
      <c r="VHF28" s="65"/>
      <c r="VHG28" s="65"/>
      <c r="VHH28" s="65"/>
      <c r="VHI28" s="65"/>
      <c r="VHJ28" s="65"/>
      <c r="VHK28" s="65"/>
      <c r="VHL28" s="65"/>
      <c r="VHM28" s="65"/>
      <c r="VHN28" s="65"/>
      <c r="VHO28" s="65"/>
      <c r="VHP28" s="65"/>
      <c r="VHQ28" s="65"/>
      <c r="VHR28" s="65"/>
      <c r="VHS28" s="65"/>
      <c r="VHT28" s="65"/>
      <c r="VHU28" s="65"/>
      <c r="VHV28" s="65"/>
      <c r="VHW28" s="65"/>
      <c r="VHX28" s="65"/>
      <c r="VHY28" s="65"/>
      <c r="VHZ28" s="65"/>
      <c r="VIA28" s="65"/>
      <c r="VIB28" s="65"/>
      <c r="VIC28" s="65"/>
      <c r="VID28" s="65"/>
      <c r="VIE28" s="65"/>
      <c r="VIF28" s="65"/>
      <c r="VIG28" s="65"/>
      <c r="VIH28" s="65"/>
      <c r="VII28" s="65"/>
      <c r="VIJ28" s="65"/>
      <c r="VIK28" s="65"/>
      <c r="VIL28" s="65"/>
      <c r="VIM28" s="65"/>
      <c r="VIN28" s="65"/>
      <c r="VIO28" s="65"/>
      <c r="VIP28" s="65"/>
      <c r="VIQ28" s="65"/>
      <c r="VIR28" s="65"/>
      <c r="VIS28" s="65"/>
      <c r="VIT28" s="65"/>
      <c r="VIU28" s="65"/>
      <c r="VIV28" s="65"/>
      <c r="VIW28" s="65"/>
      <c r="VIX28" s="65"/>
      <c r="VIY28" s="65"/>
      <c r="VIZ28" s="65"/>
      <c r="VJA28" s="65"/>
      <c r="VJB28" s="65"/>
      <c r="VJC28" s="65"/>
      <c r="VJD28" s="65"/>
      <c r="VJE28" s="65"/>
      <c r="VJF28" s="65"/>
      <c r="VJG28" s="65"/>
      <c r="VJH28" s="65"/>
      <c r="VJI28" s="65"/>
      <c r="VJJ28" s="65"/>
      <c r="VJK28" s="65"/>
      <c r="VJL28" s="65"/>
      <c r="VJM28" s="65"/>
      <c r="VJN28" s="65"/>
      <c r="VJO28" s="65"/>
      <c r="VJP28" s="65"/>
      <c r="VJQ28" s="65"/>
      <c r="VJR28" s="65"/>
      <c r="VJS28" s="65"/>
      <c r="VJT28" s="65"/>
      <c r="VJU28" s="65"/>
      <c r="VJV28" s="65"/>
      <c r="VJW28" s="65"/>
      <c r="VJX28" s="65"/>
      <c r="VJY28" s="65"/>
      <c r="VJZ28" s="65"/>
      <c r="VKA28" s="65"/>
      <c r="VKB28" s="65"/>
      <c r="VKC28" s="65"/>
      <c r="VKD28" s="65"/>
      <c r="VKE28" s="65"/>
      <c r="VKF28" s="65"/>
      <c r="VKG28" s="65"/>
      <c r="VKH28" s="65"/>
      <c r="VKI28" s="65"/>
      <c r="VKJ28" s="65"/>
      <c r="VKK28" s="65"/>
      <c r="VKL28" s="65"/>
      <c r="VKM28" s="65"/>
      <c r="VKN28" s="65"/>
      <c r="VKO28" s="65"/>
      <c r="VKP28" s="65"/>
      <c r="VKQ28" s="65"/>
      <c r="VKR28" s="65"/>
      <c r="VKS28" s="65"/>
      <c r="VKT28" s="65"/>
      <c r="VKU28" s="65"/>
      <c r="VKV28" s="65"/>
      <c r="VKW28" s="65"/>
      <c r="VKX28" s="65"/>
      <c r="VKY28" s="65"/>
      <c r="VKZ28" s="65"/>
      <c r="VLA28" s="65"/>
      <c r="VLB28" s="65"/>
      <c r="VLC28" s="65"/>
      <c r="VLD28" s="65"/>
      <c r="VLE28" s="65"/>
      <c r="VLF28" s="65"/>
      <c r="VLG28" s="65"/>
      <c r="VLH28" s="65"/>
      <c r="VLI28" s="65"/>
      <c r="VLJ28" s="65"/>
      <c r="VLK28" s="65"/>
      <c r="VLL28" s="65"/>
      <c r="VLM28" s="65"/>
      <c r="VLN28" s="65"/>
      <c r="VLO28" s="65"/>
      <c r="VLP28" s="65"/>
      <c r="VLQ28" s="65"/>
      <c r="VLR28" s="65"/>
      <c r="VLS28" s="65"/>
      <c r="VLT28" s="65"/>
      <c r="VLU28" s="65"/>
      <c r="VLV28" s="65"/>
      <c r="VLW28" s="65"/>
      <c r="VLX28" s="65"/>
      <c r="VLY28" s="65"/>
      <c r="VLZ28" s="65"/>
      <c r="VMA28" s="65"/>
      <c r="VMB28" s="65"/>
      <c r="VMC28" s="65"/>
      <c r="VMD28" s="65"/>
      <c r="VME28" s="65"/>
      <c r="VMF28" s="65"/>
      <c r="VMG28" s="65"/>
      <c r="VMH28" s="65"/>
      <c r="VMI28" s="65"/>
      <c r="VMJ28" s="65"/>
      <c r="VMK28" s="65"/>
      <c r="VML28" s="65"/>
      <c r="VMM28" s="65"/>
      <c r="VMN28" s="65"/>
      <c r="VMO28" s="65"/>
      <c r="VMP28" s="65"/>
      <c r="VMQ28" s="65"/>
      <c r="VMR28" s="65"/>
      <c r="VMS28" s="65"/>
      <c r="VMT28" s="65"/>
      <c r="VMU28" s="65"/>
      <c r="VMV28" s="65"/>
      <c r="VMW28" s="65"/>
      <c r="VMX28" s="65"/>
      <c r="VMY28" s="65"/>
      <c r="VMZ28" s="65"/>
      <c r="VNA28" s="65"/>
      <c r="VNB28" s="65"/>
      <c r="VNC28" s="65"/>
      <c r="VND28" s="65"/>
      <c r="VNE28" s="65"/>
      <c r="VNF28" s="65"/>
      <c r="VNG28" s="65"/>
      <c r="VNH28" s="65"/>
      <c r="VNI28" s="65"/>
      <c r="VNJ28" s="65"/>
      <c r="VNK28" s="65"/>
      <c r="VNL28" s="65"/>
      <c r="VNM28" s="65"/>
      <c r="VNN28" s="65"/>
      <c r="VNO28" s="65"/>
      <c r="VNP28" s="65"/>
      <c r="VNQ28" s="65"/>
      <c r="VNR28" s="65"/>
      <c r="VNS28" s="65"/>
      <c r="VNT28" s="65"/>
      <c r="VNU28" s="65"/>
      <c r="VNV28" s="65"/>
      <c r="VNW28" s="65"/>
      <c r="VNX28" s="65"/>
      <c r="VNY28" s="65"/>
      <c r="VNZ28" s="65"/>
      <c r="VOA28" s="65"/>
      <c r="VOB28" s="65"/>
      <c r="VOC28" s="65"/>
      <c r="VOD28" s="65"/>
      <c r="VOE28" s="65"/>
      <c r="VOF28" s="65"/>
      <c r="VOG28" s="65"/>
      <c r="VOH28" s="65"/>
      <c r="VOI28" s="65"/>
      <c r="VOJ28" s="65"/>
      <c r="VOK28" s="65"/>
      <c r="VOL28" s="65"/>
      <c r="VOM28" s="65"/>
      <c r="VON28" s="65"/>
      <c r="VOO28" s="65"/>
      <c r="VOP28" s="65"/>
      <c r="VOQ28" s="65"/>
      <c r="VOR28" s="65"/>
      <c r="VOS28" s="65"/>
      <c r="VOT28" s="65"/>
      <c r="VOU28" s="65"/>
      <c r="VOV28" s="65"/>
      <c r="VOW28" s="65"/>
      <c r="VOX28" s="65"/>
      <c r="VOY28" s="65"/>
      <c r="VOZ28" s="65"/>
      <c r="VPA28" s="65"/>
      <c r="VPB28" s="65"/>
      <c r="VPC28" s="65"/>
      <c r="VPD28" s="65"/>
      <c r="VPE28" s="65"/>
      <c r="VPF28" s="65"/>
      <c r="VPG28" s="65"/>
      <c r="VPH28" s="65"/>
      <c r="VPI28" s="65"/>
      <c r="VPJ28" s="65"/>
      <c r="VPK28" s="65"/>
      <c r="VPL28" s="65"/>
      <c r="VPM28" s="65"/>
      <c r="VPN28" s="65"/>
      <c r="VPO28" s="65"/>
      <c r="VPP28" s="65"/>
      <c r="VPQ28" s="65"/>
      <c r="VPR28" s="65"/>
      <c r="VPS28" s="65"/>
      <c r="VPT28" s="65"/>
      <c r="VPU28" s="65"/>
      <c r="VPV28" s="65"/>
      <c r="VPW28" s="65"/>
      <c r="VPX28" s="65"/>
      <c r="VPY28" s="65"/>
      <c r="VPZ28" s="65"/>
      <c r="VQA28" s="65"/>
      <c r="VQB28" s="65"/>
      <c r="VQC28" s="65"/>
      <c r="VQD28" s="65"/>
      <c r="VQE28" s="65"/>
      <c r="VQF28" s="65"/>
      <c r="VQG28" s="65"/>
      <c r="VQH28" s="65"/>
      <c r="VQI28" s="65"/>
      <c r="VQJ28" s="65"/>
      <c r="VQK28" s="65"/>
      <c r="VQL28" s="65"/>
      <c r="VQM28" s="65"/>
      <c r="VQN28" s="65"/>
      <c r="VQO28" s="65"/>
      <c r="VQP28" s="65"/>
      <c r="VQQ28" s="65"/>
      <c r="VQR28" s="65"/>
      <c r="VQS28" s="65"/>
      <c r="VQT28" s="65"/>
      <c r="VQU28" s="65"/>
      <c r="VQV28" s="65"/>
      <c r="VQW28" s="65"/>
      <c r="VQX28" s="65"/>
      <c r="VQY28" s="65"/>
      <c r="VQZ28" s="65"/>
      <c r="VRA28" s="65"/>
      <c r="VRB28" s="65"/>
      <c r="VRC28" s="65"/>
      <c r="VRD28" s="65"/>
      <c r="VRE28" s="65"/>
      <c r="VRF28" s="65"/>
      <c r="VRG28" s="65"/>
      <c r="VRH28" s="65"/>
      <c r="VRI28" s="65"/>
      <c r="VRJ28" s="65"/>
      <c r="VRK28" s="65"/>
      <c r="VRL28" s="65"/>
      <c r="VRM28" s="65"/>
      <c r="VRN28" s="65"/>
      <c r="VRO28" s="65"/>
      <c r="VRP28" s="65"/>
      <c r="VRQ28" s="65"/>
      <c r="VRR28" s="65"/>
      <c r="VRS28" s="65"/>
      <c r="VRT28" s="65"/>
      <c r="VRU28" s="65"/>
      <c r="VRV28" s="65"/>
      <c r="VRW28" s="65"/>
      <c r="VRX28" s="65"/>
      <c r="VRY28" s="65"/>
      <c r="VRZ28" s="65"/>
      <c r="VSA28" s="65"/>
      <c r="VSB28" s="65"/>
      <c r="VSC28" s="65"/>
      <c r="VSD28" s="65"/>
      <c r="VSE28" s="65"/>
      <c r="VSF28" s="65"/>
      <c r="VSG28" s="65"/>
      <c r="VSH28" s="65"/>
      <c r="VSI28" s="65"/>
      <c r="VSJ28" s="65"/>
      <c r="VSK28" s="65"/>
      <c r="VSL28" s="65"/>
      <c r="VSM28" s="65"/>
      <c r="VSN28" s="65"/>
      <c r="VSO28" s="65"/>
      <c r="VSP28" s="65"/>
      <c r="VSQ28" s="65"/>
      <c r="VSR28" s="65"/>
      <c r="VSS28" s="65"/>
      <c r="VST28" s="65"/>
      <c r="VSU28" s="65"/>
      <c r="VSV28" s="65"/>
      <c r="VSW28" s="65"/>
      <c r="VSX28" s="65"/>
      <c r="VSY28" s="65"/>
      <c r="VSZ28" s="65"/>
      <c r="VTA28" s="65"/>
      <c r="VTB28" s="65"/>
      <c r="VTC28" s="65"/>
      <c r="VTD28" s="65"/>
      <c r="VTE28" s="65"/>
      <c r="VTF28" s="65"/>
      <c r="VTG28" s="65"/>
      <c r="VTH28" s="65"/>
      <c r="VTI28" s="65"/>
      <c r="VTJ28" s="65"/>
      <c r="VTK28" s="65"/>
      <c r="VTL28" s="65"/>
      <c r="VTM28" s="65"/>
      <c r="VTN28" s="65"/>
      <c r="VTO28" s="65"/>
      <c r="VTP28" s="65"/>
      <c r="VTQ28" s="65"/>
      <c r="VTR28" s="65"/>
      <c r="VTS28" s="65"/>
      <c r="VTT28" s="65"/>
      <c r="VTU28" s="65"/>
      <c r="VTV28" s="65"/>
      <c r="VTW28" s="65"/>
      <c r="VTX28" s="65"/>
      <c r="VTY28" s="65"/>
      <c r="VTZ28" s="65"/>
      <c r="VUA28" s="65"/>
      <c r="VUB28" s="65"/>
      <c r="VUC28" s="65"/>
      <c r="VUD28" s="65"/>
      <c r="VUE28" s="65"/>
      <c r="VUF28" s="65"/>
      <c r="VUG28" s="65"/>
      <c r="VUH28" s="65"/>
      <c r="VUI28" s="65"/>
      <c r="VUJ28" s="65"/>
      <c r="VUK28" s="65"/>
      <c r="VUL28" s="65"/>
      <c r="VUM28" s="65"/>
      <c r="VUN28" s="65"/>
      <c r="VUO28" s="65"/>
      <c r="VUP28" s="65"/>
      <c r="VUQ28" s="65"/>
      <c r="VUR28" s="65"/>
      <c r="VUS28" s="65"/>
      <c r="VUT28" s="65"/>
      <c r="VUU28" s="65"/>
      <c r="VUV28" s="65"/>
      <c r="VUW28" s="65"/>
      <c r="VUX28" s="65"/>
      <c r="VUY28" s="65"/>
      <c r="VUZ28" s="65"/>
      <c r="VVA28" s="65"/>
      <c r="VVB28" s="65"/>
      <c r="VVC28" s="65"/>
      <c r="VVD28" s="65"/>
      <c r="VVE28" s="65"/>
      <c r="VVF28" s="65"/>
      <c r="VVG28" s="65"/>
      <c r="VVH28" s="65"/>
      <c r="VVI28" s="65"/>
      <c r="VVJ28" s="65"/>
      <c r="VVK28" s="65"/>
      <c r="VVL28" s="65"/>
      <c r="VVM28" s="65"/>
      <c r="VVN28" s="65"/>
      <c r="VVO28" s="65"/>
      <c r="VVP28" s="65"/>
      <c r="VVQ28" s="65"/>
      <c r="VVR28" s="65"/>
      <c r="VVS28" s="65"/>
      <c r="VVT28" s="65"/>
      <c r="VVU28" s="65"/>
      <c r="VVV28" s="65"/>
      <c r="VVW28" s="65"/>
      <c r="VVX28" s="65"/>
      <c r="VVY28" s="65"/>
      <c r="VVZ28" s="65"/>
      <c r="VWA28" s="65"/>
      <c r="VWB28" s="65"/>
      <c r="VWC28" s="65"/>
      <c r="VWD28" s="65"/>
      <c r="VWE28" s="65"/>
      <c r="VWF28" s="65"/>
      <c r="VWG28" s="65"/>
      <c r="VWH28" s="65"/>
      <c r="VWI28" s="65"/>
      <c r="VWJ28" s="65"/>
      <c r="VWK28" s="65"/>
      <c r="VWL28" s="65"/>
      <c r="VWM28" s="65"/>
      <c r="VWN28" s="65"/>
      <c r="VWO28" s="65"/>
      <c r="VWP28" s="65"/>
      <c r="VWQ28" s="65"/>
      <c r="VWR28" s="65"/>
      <c r="VWS28" s="65"/>
      <c r="VWT28" s="65"/>
      <c r="VWU28" s="65"/>
      <c r="VWV28" s="65"/>
      <c r="VWW28" s="65"/>
      <c r="VWX28" s="65"/>
      <c r="VWY28" s="65"/>
      <c r="VWZ28" s="65"/>
      <c r="VXA28" s="65"/>
      <c r="VXB28" s="65"/>
      <c r="VXC28" s="65"/>
      <c r="VXD28" s="65"/>
      <c r="VXE28" s="65"/>
      <c r="VXF28" s="65"/>
      <c r="VXG28" s="65"/>
      <c r="VXH28" s="65"/>
      <c r="VXI28" s="65"/>
      <c r="VXJ28" s="65"/>
      <c r="VXK28" s="65"/>
      <c r="VXL28" s="65"/>
      <c r="VXM28" s="65"/>
      <c r="VXN28" s="65"/>
      <c r="VXO28" s="65"/>
      <c r="VXP28" s="65"/>
      <c r="VXQ28" s="65"/>
      <c r="VXR28" s="65"/>
      <c r="VXS28" s="65"/>
      <c r="VXT28" s="65"/>
      <c r="VXU28" s="65"/>
      <c r="VXV28" s="65"/>
      <c r="VXW28" s="65"/>
      <c r="VXX28" s="65"/>
      <c r="VXY28" s="65"/>
      <c r="VXZ28" s="65"/>
      <c r="VYA28" s="65"/>
      <c r="VYB28" s="65"/>
      <c r="VYC28" s="65"/>
      <c r="VYD28" s="65"/>
      <c r="VYE28" s="65"/>
      <c r="VYF28" s="65"/>
      <c r="VYG28" s="65"/>
      <c r="VYH28" s="65"/>
      <c r="VYI28" s="65"/>
      <c r="VYJ28" s="65"/>
      <c r="VYK28" s="65"/>
      <c r="VYL28" s="65"/>
      <c r="VYM28" s="65"/>
      <c r="VYN28" s="65"/>
      <c r="VYO28" s="65"/>
      <c r="VYP28" s="65"/>
      <c r="VYQ28" s="65"/>
      <c r="VYR28" s="65"/>
      <c r="VYS28" s="65"/>
      <c r="VYT28" s="65"/>
      <c r="VYU28" s="65"/>
      <c r="VYV28" s="65"/>
      <c r="VYW28" s="65"/>
      <c r="VYX28" s="65"/>
      <c r="VYY28" s="65"/>
      <c r="VYZ28" s="65"/>
      <c r="VZA28" s="65"/>
      <c r="VZB28" s="65"/>
      <c r="VZC28" s="65"/>
      <c r="VZD28" s="65"/>
      <c r="VZE28" s="65"/>
      <c r="VZF28" s="65"/>
      <c r="VZG28" s="65"/>
      <c r="VZH28" s="65"/>
      <c r="VZI28" s="65"/>
      <c r="VZJ28" s="65"/>
      <c r="VZK28" s="65"/>
      <c r="VZL28" s="65"/>
      <c r="VZM28" s="65"/>
      <c r="VZN28" s="65"/>
      <c r="VZO28" s="65"/>
      <c r="VZP28" s="65"/>
      <c r="VZQ28" s="65"/>
      <c r="VZR28" s="65"/>
      <c r="VZS28" s="65"/>
      <c r="VZT28" s="65"/>
      <c r="VZU28" s="65"/>
      <c r="VZV28" s="65"/>
      <c r="VZW28" s="65"/>
      <c r="VZX28" s="65"/>
      <c r="VZY28" s="65"/>
      <c r="VZZ28" s="65"/>
      <c r="WAA28" s="65"/>
      <c r="WAB28" s="65"/>
      <c r="WAC28" s="65"/>
      <c r="WAD28" s="65"/>
      <c r="WAE28" s="65"/>
      <c r="WAF28" s="65"/>
      <c r="WAG28" s="65"/>
      <c r="WAH28" s="65"/>
      <c r="WAI28" s="65"/>
      <c r="WAJ28" s="65"/>
      <c r="WAK28" s="65"/>
      <c r="WAL28" s="65"/>
      <c r="WAM28" s="65"/>
      <c r="WAN28" s="65"/>
      <c r="WAO28" s="65"/>
      <c r="WAP28" s="65"/>
      <c r="WAQ28" s="65"/>
      <c r="WAR28" s="65"/>
      <c r="WAS28" s="65"/>
      <c r="WAT28" s="65"/>
      <c r="WAU28" s="65"/>
      <c r="WAV28" s="65"/>
      <c r="WAW28" s="65"/>
      <c r="WAX28" s="65"/>
      <c r="WAY28" s="65"/>
      <c r="WAZ28" s="65"/>
      <c r="WBA28" s="65"/>
      <c r="WBB28" s="65"/>
      <c r="WBC28" s="65"/>
      <c r="WBD28" s="65"/>
      <c r="WBE28" s="65"/>
      <c r="WBF28" s="65"/>
      <c r="WBG28" s="65"/>
      <c r="WBH28" s="65"/>
      <c r="WBI28" s="65"/>
      <c r="WBJ28" s="65"/>
      <c r="WBK28" s="65"/>
      <c r="WBL28" s="65"/>
      <c r="WBM28" s="65"/>
      <c r="WBN28" s="65"/>
      <c r="WBO28" s="65"/>
      <c r="WBP28" s="65"/>
      <c r="WBQ28" s="65"/>
      <c r="WBR28" s="65"/>
      <c r="WBS28" s="65"/>
      <c r="WBT28" s="65"/>
      <c r="WBU28" s="65"/>
      <c r="WBV28" s="65"/>
      <c r="WBW28" s="65"/>
      <c r="WBX28" s="65"/>
      <c r="WBY28" s="65"/>
      <c r="WBZ28" s="65"/>
      <c r="WCA28" s="65"/>
      <c r="WCB28" s="65"/>
      <c r="WCC28" s="65"/>
      <c r="WCD28" s="65"/>
      <c r="WCE28" s="65"/>
      <c r="WCF28" s="65"/>
      <c r="WCG28" s="65"/>
      <c r="WCH28" s="65"/>
      <c r="WCI28" s="65"/>
      <c r="WCJ28" s="65"/>
      <c r="WCK28" s="65"/>
      <c r="WCL28" s="65"/>
      <c r="WCM28" s="65"/>
      <c r="WCN28" s="65"/>
      <c r="WCO28" s="65"/>
      <c r="WCP28" s="65"/>
      <c r="WCQ28" s="65"/>
      <c r="WCR28" s="65"/>
      <c r="WCS28" s="65"/>
      <c r="WCT28" s="65"/>
      <c r="WCU28" s="65"/>
      <c r="WCV28" s="65"/>
      <c r="WCW28" s="65"/>
      <c r="WCX28" s="65"/>
      <c r="WCY28" s="65"/>
      <c r="WCZ28" s="65"/>
      <c r="WDA28" s="65"/>
      <c r="WDB28" s="65"/>
      <c r="WDC28" s="65"/>
      <c r="WDD28" s="65"/>
      <c r="WDE28" s="65"/>
      <c r="WDF28" s="65"/>
      <c r="WDG28" s="65"/>
      <c r="WDH28" s="65"/>
      <c r="WDI28" s="65"/>
      <c r="WDJ28" s="65"/>
      <c r="WDK28" s="65"/>
      <c r="WDL28" s="65"/>
      <c r="WDM28" s="65"/>
      <c r="WDN28" s="65"/>
      <c r="WDO28" s="65"/>
      <c r="WDP28" s="65"/>
      <c r="WDQ28" s="65"/>
      <c r="WDR28" s="65"/>
      <c r="WDS28" s="65"/>
      <c r="WDT28" s="65"/>
      <c r="WDU28" s="65"/>
      <c r="WDV28" s="65"/>
      <c r="WDW28" s="65"/>
      <c r="WDX28" s="65"/>
      <c r="WDY28" s="65"/>
      <c r="WDZ28" s="65"/>
      <c r="WEA28" s="65"/>
      <c r="WEB28" s="65"/>
      <c r="WEC28" s="65"/>
      <c r="WED28" s="65"/>
      <c r="WEE28" s="65"/>
      <c r="WEF28" s="65"/>
      <c r="WEG28" s="65"/>
      <c r="WEH28" s="65"/>
      <c r="WEI28" s="65"/>
      <c r="WEJ28" s="65"/>
      <c r="WEK28" s="65"/>
      <c r="WEL28" s="65"/>
      <c r="WEM28" s="65"/>
      <c r="WEN28" s="65"/>
      <c r="WEO28" s="65"/>
      <c r="WEP28" s="65"/>
      <c r="WEQ28" s="65"/>
      <c r="WER28" s="65"/>
      <c r="WES28" s="65"/>
      <c r="WET28" s="65"/>
      <c r="WEU28" s="65"/>
      <c r="WEV28" s="65"/>
      <c r="WEW28" s="65"/>
      <c r="WEX28" s="65"/>
      <c r="WEY28" s="65"/>
      <c r="WEZ28" s="65"/>
      <c r="WFA28" s="65"/>
      <c r="WFB28" s="65"/>
      <c r="WFC28" s="65"/>
      <c r="WFD28" s="65"/>
      <c r="WFE28" s="65"/>
      <c r="WFF28" s="65"/>
      <c r="WFG28" s="65"/>
      <c r="WFH28" s="65"/>
      <c r="WFI28" s="65"/>
      <c r="WFJ28" s="65"/>
      <c r="WFK28" s="65"/>
      <c r="WFL28" s="65"/>
      <c r="WFM28" s="65"/>
      <c r="WFN28" s="65"/>
      <c r="WFO28" s="65"/>
      <c r="WFP28" s="65"/>
      <c r="WFQ28" s="65"/>
      <c r="WFR28" s="65"/>
      <c r="WFS28" s="65"/>
      <c r="WFT28" s="65"/>
      <c r="WFU28" s="65"/>
      <c r="WFV28" s="65"/>
      <c r="WFW28" s="65"/>
      <c r="WFX28" s="65"/>
      <c r="WFY28" s="65"/>
      <c r="WFZ28" s="65"/>
      <c r="WGA28" s="65"/>
      <c r="WGB28" s="65"/>
      <c r="WGC28" s="65"/>
      <c r="WGD28" s="65"/>
      <c r="WGE28" s="65"/>
      <c r="WGF28" s="65"/>
      <c r="WGG28" s="65"/>
      <c r="WGH28" s="65"/>
      <c r="WGI28" s="65"/>
      <c r="WGJ28" s="65"/>
      <c r="WGK28" s="65"/>
      <c r="WGL28" s="65"/>
      <c r="WGM28" s="65"/>
      <c r="WGN28" s="65"/>
      <c r="WGO28" s="65"/>
      <c r="WGP28" s="65"/>
      <c r="WGQ28" s="65"/>
      <c r="WGR28" s="65"/>
      <c r="WGS28" s="65"/>
      <c r="WGT28" s="65"/>
      <c r="WGU28" s="65"/>
      <c r="WGV28" s="65"/>
      <c r="WGW28" s="65"/>
      <c r="WGX28" s="65"/>
      <c r="WGY28" s="65"/>
      <c r="WGZ28" s="65"/>
      <c r="WHA28" s="65"/>
      <c r="WHB28" s="65"/>
      <c r="WHC28" s="65"/>
      <c r="WHD28" s="65"/>
      <c r="WHE28" s="65"/>
      <c r="WHF28" s="65"/>
      <c r="WHG28" s="65"/>
      <c r="WHH28" s="65"/>
      <c r="WHI28" s="65"/>
      <c r="WHJ28" s="65"/>
      <c r="WHK28" s="65"/>
      <c r="WHL28" s="65"/>
      <c r="WHM28" s="65"/>
      <c r="WHN28" s="65"/>
      <c r="WHO28" s="65"/>
      <c r="WHP28" s="65"/>
      <c r="WHQ28" s="65"/>
      <c r="WHR28" s="65"/>
      <c r="WHS28" s="65"/>
      <c r="WHT28" s="65"/>
      <c r="WHU28" s="65"/>
      <c r="WHV28" s="65"/>
      <c r="WHW28" s="65"/>
      <c r="WHX28" s="65"/>
      <c r="WHY28" s="65"/>
      <c r="WHZ28" s="65"/>
      <c r="WIA28" s="65"/>
      <c r="WIB28" s="65"/>
      <c r="WIC28" s="65"/>
      <c r="WID28" s="65"/>
      <c r="WIE28" s="65"/>
      <c r="WIF28" s="65"/>
      <c r="WIG28" s="65"/>
      <c r="WIH28" s="65"/>
      <c r="WII28" s="65"/>
      <c r="WIJ28" s="65"/>
      <c r="WIK28" s="65"/>
      <c r="WIL28" s="65"/>
      <c r="WIM28" s="65"/>
      <c r="WIN28" s="65"/>
      <c r="WIO28" s="65"/>
      <c r="WIP28" s="65"/>
      <c r="WIQ28" s="65"/>
      <c r="WIR28" s="65"/>
      <c r="WIS28" s="65"/>
      <c r="WIT28" s="65"/>
      <c r="WIU28" s="65"/>
      <c r="WIV28" s="65"/>
      <c r="WIW28" s="65"/>
      <c r="WIX28" s="65"/>
      <c r="WIY28" s="65"/>
      <c r="WIZ28" s="65"/>
      <c r="WJA28" s="65"/>
      <c r="WJB28" s="65"/>
      <c r="WJC28" s="65"/>
      <c r="WJD28" s="65"/>
      <c r="WJE28" s="65"/>
      <c r="WJF28" s="65"/>
      <c r="WJG28" s="65"/>
      <c r="WJH28" s="65"/>
      <c r="WJI28" s="65"/>
      <c r="WJJ28" s="65"/>
      <c r="WJK28" s="65"/>
      <c r="WJL28" s="65"/>
      <c r="WJM28" s="65"/>
      <c r="WJN28" s="65"/>
      <c r="WJO28" s="65"/>
      <c r="WJP28" s="65"/>
      <c r="WJQ28" s="65"/>
      <c r="WJR28" s="65"/>
      <c r="WJS28" s="65"/>
      <c r="WJT28" s="65"/>
      <c r="WJU28" s="65"/>
      <c r="WJV28" s="65"/>
      <c r="WJW28" s="65"/>
      <c r="WJX28" s="65"/>
      <c r="WJY28" s="65"/>
      <c r="WJZ28" s="65"/>
      <c r="WKA28" s="65"/>
      <c r="WKB28" s="65"/>
      <c r="WKC28" s="65"/>
      <c r="WKD28" s="65"/>
      <c r="WKE28" s="65"/>
      <c r="WKF28" s="65"/>
      <c r="WKG28" s="65"/>
      <c r="WKH28" s="65"/>
      <c r="WKI28" s="65"/>
      <c r="WKJ28" s="65"/>
      <c r="WKK28" s="65"/>
      <c r="WKL28" s="65"/>
      <c r="WKM28" s="65"/>
      <c r="WKN28" s="65"/>
      <c r="WKO28" s="65"/>
      <c r="WKP28" s="65"/>
      <c r="WKQ28" s="65"/>
      <c r="WKR28" s="65"/>
      <c r="WKS28" s="65"/>
      <c r="WKT28" s="65"/>
      <c r="WKU28" s="65"/>
      <c r="WKV28" s="65"/>
      <c r="WKW28" s="65"/>
      <c r="WKX28" s="65"/>
      <c r="WKY28" s="65"/>
      <c r="WKZ28" s="65"/>
      <c r="WLA28" s="65"/>
      <c r="WLB28" s="65"/>
      <c r="WLC28" s="65"/>
      <c r="WLD28" s="65"/>
      <c r="WLE28" s="65"/>
      <c r="WLF28" s="65"/>
      <c r="WLG28" s="65"/>
      <c r="WLH28" s="65"/>
      <c r="WLI28" s="65"/>
      <c r="WLJ28" s="65"/>
      <c r="WLK28" s="65"/>
      <c r="WLL28" s="65"/>
      <c r="WLM28" s="65"/>
      <c r="WLN28" s="65"/>
      <c r="WLO28" s="65"/>
      <c r="WLP28" s="65"/>
      <c r="WLQ28" s="65"/>
      <c r="WLR28" s="65"/>
      <c r="WLS28" s="65"/>
      <c r="WLT28" s="65"/>
      <c r="WLU28" s="65"/>
      <c r="WLV28" s="65"/>
      <c r="WLW28" s="65"/>
      <c r="WLX28" s="65"/>
      <c r="WLY28" s="65"/>
      <c r="WLZ28" s="65"/>
      <c r="WMA28" s="65"/>
      <c r="WMB28" s="65"/>
      <c r="WMC28" s="65"/>
      <c r="WMD28" s="65"/>
      <c r="WME28" s="65"/>
      <c r="WMF28" s="65"/>
      <c r="WMG28" s="65"/>
      <c r="WMH28" s="65"/>
      <c r="WMI28" s="65"/>
      <c r="WMJ28" s="65"/>
      <c r="WMK28" s="65"/>
      <c r="WML28" s="65"/>
      <c r="WMM28" s="65"/>
      <c r="WMN28" s="65"/>
      <c r="WMO28" s="65"/>
      <c r="WMP28" s="65"/>
      <c r="WMQ28" s="65"/>
      <c r="WMR28" s="65"/>
      <c r="WMS28" s="65"/>
      <c r="WMT28" s="65"/>
      <c r="WMU28" s="65"/>
      <c r="WMV28" s="65"/>
      <c r="WMW28" s="65"/>
      <c r="WMX28" s="65"/>
      <c r="WMY28" s="65"/>
      <c r="WMZ28" s="65"/>
      <c r="WNA28" s="65"/>
      <c r="WNB28" s="65"/>
      <c r="WNC28" s="65"/>
      <c r="WND28" s="65"/>
      <c r="WNE28" s="65"/>
      <c r="WNF28" s="65"/>
      <c r="WNG28" s="65"/>
      <c r="WNH28" s="65"/>
      <c r="WNI28" s="65"/>
      <c r="WNJ28" s="65"/>
      <c r="WNK28" s="65"/>
      <c r="WNL28" s="65"/>
      <c r="WNM28" s="65"/>
      <c r="WNN28" s="65"/>
      <c r="WNO28" s="65"/>
      <c r="WNP28" s="65"/>
      <c r="WNQ28" s="65"/>
      <c r="WNR28" s="65"/>
      <c r="WNS28" s="65"/>
      <c r="WNT28" s="65"/>
      <c r="WNU28" s="65"/>
      <c r="WNV28" s="65"/>
      <c r="WNW28" s="65"/>
      <c r="WNX28" s="65"/>
      <c r="WNY28" s="65"/>
      <c r="WNZ28" s="65"/>
      <c r="WOA28" s="65"/>
      <c r="WOB28" s="65"/>
      <c r="WOC28" s="65"/>
      <c r="WOD28" s="65"/>
      <c r="WOE28" s="65"/>
      <c r="WOF28" s="65"/>
      <c r="WOG28" s="65"/>
      <c r="WOH28" s="65"/>
      <c r="WOI28" s="65"/>
      <c r="WOJ28" s="65"/>
      <c r="WOK28" s="65"/>
      <c r="WOL28" s="65"/>
      <c r="WOM28" s="65"/>
      <c r="WON28" s="65"/>
      <c r="WOO28" s="65"/>
      <c r="WOP28" s="65"/>
      <c r="WOQ28" s="65"/>
      <c r="WOR28" s="65"/>
      <c r="WOS28" s="65"/>
      <c r="WOT28" s="65"/>
      <c r="WOU28" s="65"/>
      <c r="WOV28" s="65"/>
      <c r="WOW28" s="65"/>
      <c r="WOX28" s="65"/>
      <c r="WOY28" s="65"/>
      <c r="WOZ28" s="65"/>
      <c r="WPA28" s="65"/>
      <c r="WPB28" s="65"/>
      <c r="WPC28" s="65"/>
      <c r="WPD28" s="65"/>
      <c r="WPE28" s="65"/>
      <c r="WPF28" s="65"/>
      <c r="WPG28" s="65"/>
      <c r="WPH28" s="65"/>
      <c r="WPI28" s="65"/>
      <c r="WPJ28" s="65"/>
      <c r="WPK28" s="65"/>
      <c r="WPL28" s="65"/>
      <c r="WPM28" s="65"/>
      <c r="WPN28" s="65"/>
      <c r="WPO28" s="65"/>
      <c r="WPP28" s="65"/>
      <c r="WPQ28" s="65"/>
      <c r="WPR28" s="65"/>
      <c r="WPS28" s="65"/>
      <c r="WPT28" s="65"/>
      <c r="WPU28" s="65"/>
      <c r="WPV28" s="65"/>
      <c r="WPW28" s="65"/>
      <c r="WPX28" s="65"/>
      <c r="WPY28" s="65"/>
      <c r="WPZ28" s="65"/>
      <c r="WQA28" s="65"/>
      <c r="WQB28" s="65"/>
      <c r="WQC28" s="65"/>
      <c r="WQD28" s="65"/>
      <c r="WQE28" s="65"/>
      <c r="WQF28" s="65"/>
      <c r="WQG28" s="65"/>
      <c r="WQH28" s="65"/>
      <c r="WQI28" s="65"/>
      <c r="WQJ28" s="65"/>
      <c r="WQK28" s="65"/>
      <c r="WQL28" s="65"/>
      <c r="WQM28" s="65"/>
      <c r="WQN28" s="65"/>
      <c r="WQO28" s="65"/>
      <c r="WQP28" s="65"/>
      <c r="WQQ28" s="65"/>
      <c r="WQR28" s="65"/>
      <c r="WQS28" s="65"/>
      <c r="WQT28" s="65"/>
      <c r="WQU28" s="65"/>
      <c r="WQV28" s="65"/>
      <c r="WQW28" s="65"/>
      <c r="WQX28" s="65"/>
      <c r="WQY28" s="65"/>
      <c r="WQZ28" s="65"/>
      <c r="WRA28" s="65"/>
      <c r="WRB28" s="65"/>
      <c r="WRC28" s="65"/>
      <c r="WRD28" s="65"/>
      <c r="WRE28" s="65"/>
      <c r="WRF28" s="65"/>
      <c r="WRG28" s="65"/>
      <c r="WRH28" s="65"/>
      <c r="WRI28" s="65"/>
      <c r="WRJ28" s="65"/>
      <c r="WRK28" s="65"/>
      <c r="WRL28" s="65"/>
      <c r="WRM28" s="65"/>
      <c r="WRN28" s="65"/>
      <c r="WRO28" s="65"/>
      <c r="WRP28" s="65"/>
      <c r="WRQ28" s="65"/>
      <c r="WRR28" s="65"/>
      <c r="WRS28" s="65"/>
      <c r="WRT28" s="65"/>
      <c r="WRU28" s="65"/>
      <c r="WRV28" s="65"/>
      <c r="WRW28" s="65"/>
      <c r="WRX28" s="65"/>
      <c r="WRY28" s="65"/>
      <c r="WRZ28" s="65"/>
      <c r="WSA28" s="65"/>
      <c r="WSB28" s="65"/>
      <c r="WSC28" s="65"/>
      <c r="WSD28" s="65"/>
      <c r="WSE28" s="65"/>
      <c r="WSF28" s="65"/>
      <c r="WSG28" s="65"/>
      <c r="WSH28" s="65"/>
      <c r="WSI28" s="65"/>
      <c r="WSJ28" s="65"/>
      <c r="WSK28" s="65"/>
      <c r="WSL28" s="65"/>
      <c r="WSM28" s="65"/>
      <c r="WSN28" s="65"/>
      <c r="WSO28" s="65"/>
      <c r="WSP28" s="65"/>
      <c r="WSQ28" s="65"/>
      <c r="WSR28" s="65"/>
      <c r="WSS28" s="65"/>
      <c r="WST28" s="65"/>
      <c r="WSU28" s="65"/>
      <c r="WSV28" s="65"/>
      <c r="WSW28" s="65"/>
      <c r="WSX28" s="65"/>
      <c r="WSY28" s="65"/>
      <c r="WSZ28" s="65"/>
      <c r="WTA28" s="65"/>
      <c r="WTB28" s="65"/>
      <c r="WTC28" s="65"/>
      <c r="WTD28" s="65"/>
      <c r="WTE28" s="65"/>
      <c r="WTF28" s="65"/>
      <c r="WTG28" s="65"/>
      <c r="WTH28" s="65"/>
      <c r="WTI28" s="65"/>
      <c r="WTJ28" s="65"/>
      <c r="WTK28" s="65"/>
      <c r="WTL28" s="65"/>
      <c r="WTM28" s="65"/>
      <c r="WTN28" s="65"/>
      <c r="WTO28" s="65"/>
      <c r="WTP28" s="65"/>
      <c r="WTQ28" s="65"/>
      <c r="WTR28" s="65"/>
      <c r="WTS28" s="65"/>
      <c r="WTT28" s="65"/>
      <c r="WTU28" s="65"/>
      <c r="WTV28" s="65"/>
      <c r="WTW28" s="65"/>
      <c r="WTX28" s="65"/>
      <c r="WTY28" s="65"/>
      <c r="WTZ28" s="65"/>
      <c r="WUA28" s="65"/>
      <c r="WUB28" s="65"/>
      <c r="WUC28" s="65"/>
      <c r="WUD28" s="65"/>
      <c r="WUE28" s="65"/>
      <c r="WUF28" s="65"/>
      <c r="WUG28" s="65"/>
      <c r="WUH28" s="65"/>
      <c r="WUI28" s="65"/>
      <c r="WUJ28" s="65"/>
      <c r="WUK28" s="65"/>
      <c r="WUL28" s="65"/>
      <c r="WUM28" s="65"/>
      <c r="WUN28" s="65"/>
      <c r="WUO28" s="65"/>
      <c r="WUP28" s="65"/>
      <c r="WUQ28" s="65"/>
      <c r="WUR28" s="65"/>
      <c r="WUS28" s="65"/>
      <c r="WUT28" s="65"/>
      <c r="WUU28" s="65"/>
      <c r="WUV28" s="65"/>
      <c r="WUW28" s="65"/>
      <c r="WUX28" s="65"/>
      <c r="WUY28" s="65"/>
      <c r="WUZ28" s="65"/>
      <c r="WVA28" s="65"/>
      <c r="WVB28" s="65"/>
      <c r="WVC28" s="65"/>
      <c r="WVD28" s="65"/>
      <c r="WVE28" s="65"/>
      <c r="WVF28" s="65"/>
      <c r="WVG28" s="65"/>
      <c r="WVH28" s="65"/>
      <c r="WVI28" s="65"/>
      <c r="WVJ28" s="65"/>
      <c r="WVK28" s="65"/>
      <c r="WVL28" s="65"/>
      <c r="WVM28" s="65"/>
      <c r="WVN28" s="65"/>
      <c r="WVO28" s="65"/>
      <c r="WVP28" s="65"/>
      <c r="WVQ28" s="65"/>
      <c r="WVR28" s="65"/>
      <c r="WVS28" s="65"/>
      <c r="WVT28" s="65"/>
      <c r="WVU28" s="65"/>
      <c r="WVV28" s="65"/>
      <c r="WVW28" s="65"/>
      <c r="WVX28" s="65"/>
      <c r="WVY28" s="65"/>
      <c r="WVZ28" s="65"/>
      <c r="WWA28" s="65"/>
      <c r="WWB28" s="65"/>
      <c r="WWC28" s="65"/>
      <c r="WWD28" s="65"/>
      <c r="WWE28" s="65"/>
      <c r="WWF28" s="65"/>
      <c r="WWG28" s="65"/>
      <c r="WWH28" s="65"/>
      <c r="WWI28" s="65"/>
      <c r="WWJ28" s="65"/>
      <c r="WWK28" s="65"/>
      <c r="WWL28" s="65"/>
      <c r="WWM28" s="65"/>
      <c r="WWN28" s="65"/>
      <c r="WWO28" s="65"/>
      <c r="WWP28" s="65"/>
      <c r="WWQ28" s="65"/>
      <c r="WWR28" s="65"/>
      <c r="WWS28" s="65"/>
      <c r="WWT28" s="65"/>
      <c r="WWU28" s="65"/>
      <c r="WWV28" s="65"/>
      <c r="WWW28" s="65"/>
      <c r="WWX28" s="65"/>
      <c r="WWY28" s="65"/>
      <c r="WWZ28" s="65"/>
      <c r="WXA28" s="65"/>
      <c r="WXB28" s="65"/>
      <c r="WXC28" s="65"/>
      <c r="WXD28" s="65"/>
      <c r="WXE28" s="65"/>
      <c r="WXF28" s="65"/>
      <c r="WXG28" s="65"/>
      <c r="WXH28" s="65"/>
      <c r="WXI28" s="65"/>
      <c r="WXJ28" s="65"/>
      <c r="WXK28" s="65"/>
      <c r="WXL28" s="65"/>
      <c r="WXM28" s="65"/>
      <c r="WXN28" s="65"/>
      <c r="WXO28" s="65"/>
      <c r="WXP28" s="65"/>
      <c r="WXQ28" s="65"/>
      <c r="WXR28" s="65"/>
      <c r="WXS28" s="65"/>
      <c r="WXT28" s="65"/>
      <c r="WXU28" s="65"/>
      <c r="WXV28" s="65"/>
      <c r="WXW28" s="65"/>
      <c r="WXX28" s="65"/>
      <c r="WXY28" s="65"/>
      <c r="WXZ28" s="65"/>
      <c r="WYA28" s="65"/>
      <c r="WYB28" s="65"/>
      <c r="WYC28" s="65"/>
      <c r="WYD28" s="65"/>
      <c r="WYE28" s="65"/>
      <c r="WYF28" s="65"/>
      <c r="WYG28" s="65"/>
      <c r="WYH28" s="65"/>
      <c r="WYI28" s="65"/>
      <c r="WYJ28" s="65"/>
      <c r="WYK28" s="65"/>
      <c r="WYL28" s="65"/>
      <c r="WYM28" s="65"/>
      <c r="WYN28" s="65"/>
      <c r="WYO28" s="65"/>
      <c r="WYP28" s="65"/>
      <c r="WYQ28" s="65"/>
      <c r="WYR28" s="65"/>
      <c r="WYS28" s="65"/>
      <c r="WYT28" s="65"/>
      <c r="WYU28" s="65"/>
      <c r="WYV28" s="65"/>
      <c r="WYW28" s="65"/>
      <c r="WYX28" s="65"/>
      <c r="WYY28" s="65"/>
      <c r="WYZ28" s="65"/>
      <c r="WZA28" s="65"/>
      <c r="WZB28" s="65"/>
      <c r="WZC28" s="65"/>
      <c r="WZD28" s="65"/>
      <c r="WZE28" s="65"/>
      <c r="WZF28" s="65"/>
      <c r="WZG28" s="65"/>
      <c r="WZH28" s="65"/>
      <c r="WZI28" s="65"/>
      <c r="WZJ28" s="65"/>
      <c r="WZK28" s="65"/>
      <c r="WZL28" s="65"/>
      <c r="WZM28" s="65"/>
      <c r="WZN28" s="65"/>
      <c r="WZO28" s="65"/>
      <c r="WZP28" s="65"/>
      <c r="WZQ28" s="65"/>
      <c r="WZR28" s="65"/>
      <c r="WZS28" s="65"/>
      <c r="WZT28" s="65"/>
      <c r="WZU28" s="65"/>
      <c r="WZV28" s="65"/>
      <c r="WZW28" s="65"/>
      <c r="WZX28" s="65"/>
      <c r="WZY28" s="65"/>
      <c r="WZZ28" s="65"/>
      <c r="XAA28" s="65"/>
      <c r="XAB28" s="65"/>
      <c r="XAC28" s="65"/>
      <c r="XAD28" s="65"/>
      <c r="XAE28" s="65"/>
      <c r="XAF28" s="65"/>
      <c r="XAG28" s="65"/>
      <c r="XAH28" s="65"/>
      <c r="XAI28" s="65"/>
      <c r="XAJ28" s="65"/>
      <c r="XAK28" s="65"/>
      <c r="XAL28" s="65"/>
      <c r="XAM28" s="65"/>
      <c r="XAN28" s="65"/>
      <c r="XAO28" s="65"/>
      <c r="XAP28" s="65"/>
      <c r="XAQ28" s="65"/>
      <c r="XAR28" s="65"/>
      <c r="XAS28" s="65"/>
      <c r="XAT28" s="65"/>
      <c r="XAU28" s="65"/>
      <c r="XAV28" s="65"/>
      <c r="XAW28" s="65"/>
      <c r="XAX28" s="65"/>
      <c r="XAY28" s="65"/>
      <c r="XAZ28" s="65"/>
      <c r="XBA28" s="65"/>
      <c r="XBB28" s="65"/>
      <c r="XBC28" s="65"/>
      <c r="XBD28" s="65"/>
      <c r="XBE28" s="65"/>
      <c r="XBF28" s="65"/>
      <c r="XBG28" s="65"/>
      <c r="XBH28" s="65"/>
      <c r="XBI28" s="65"/>
      <c r="XBJ28" s="65"/>
      <c r="XBK28" s="65"/>
      <c r="XBL28" s="65"/>
      <c r="XBM28" s="65"/>
      <c r="XBN28" s="65"/>
      <c r="XBO28" s="65"/>
      <c r="XBP28" s="65"/>
      <c r="XBQ28" s="65"/>
      <c r="XBR28" s="65"/>
      <c r="XBS28" s="65"/>
      <c r="XBT28" s="65"/>
      <c r="XBU28" s="65"/>
      <c r="XBV28" s="65"/>
      <c r="XBW28" s="65"/>
      <c r="XBX28" s="65"/>
      <c r="XBY28" s="65"/>
      <c r="XBZ28" s="65"/>
      <c r="XCA28" s="65"/>
      <c r="XCB28" s="65"/>
      <c r="XCC28" s="65"/>
      <c r="XCD28" s="65"/>
      <c r="XCE28" s="65"/>
      <c r="XCF28" s="65"/>
      <c r="XCG28" s="65"/>
      <c r="XCH28" s="65"/>
      <c r="XCI28" s="65"/>
      <c r="XCJ28" s="65"/>
      <c r="XCU28" s="65"/>
      <c r="XCV28" s="65"/>
      <c r="XCW28" s="65"/>
      <c r="XCX28" s="65"/>
      <c r="XCY28" s="65"/>
      <c r="XCZ28" s="65"/>
      <c r="XDA28" s="65"/>
      <c r="XDH28" s="66"/>
      <c r="XDI28" s="66"/>
      <c r="XDJ28" s="66"/>
      <c r="XDK28" s="66"/>
      <c r="XDL28" s="66"/>
      <c r="XDM28" s="66"/>
    </row>
    <row r="29" s="21" customFormat="1" ht="23" spans="1:1024 1025:1634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67">
        <f>L3</f>
        <v>0</v>
      </c>
      <c r="M29" s="67">
        <f>M3</f>
        <v>0</v>
      </c>
      <c r="N29" s="67">
        <f>N3</f>
        <v>0</v>
      </c>
      <c r="O29" s="39"/>
      <c r="P29" s="40"/>
      <c r="Q29" s="39"/>
      <c r="R29" s="39"/>
      <c r="S29" s="39"/>
      <c r="T29" s="57" t="s">
        <v>54</v>
      </c>
    </row>
    <row r="30" s="22" customFormat="1" ht="15" spans="1:1024 1025:16341">
      <c r="A30" s="41">
        <f>ROW()-7</f>
        <v>23</v>
      </c>
      <c r="B30" s="41" t="s">
        <v>60</v>
      </c>
      <c r="C30" s="41" t="s">
        <v>32</v>
      </c>
      <c r="D30" s="41" t="s">
        <v>22</v>
      </c>
      <c r="E30" s="41" t="s">
        <v>23</v>
      </c>
      <c r="F30" s="58" t="s">
        <v>55</v>
      </c>
      <c r="G30" s="41">
        <v>5124</v>
      </c>
      <c r="H30" s="41" t="s">
        <v>30</v>
      </c>
      <c r="I30" s="41">
        <f>24*48*2</f>
        <v>2304</v>
      </c>
      <c r="J30" s="41">
        <f t="shared" ref="I30:K30" si="30">24*48*1</f>
        <v>1152</v>
      </c>
      <c r="K30" s="41"/>
      <c r="L30" s="42">
        <f t="shared" ref="L30:N30" si="31">L29</f>
        <v>0</v>
      </c>
      <c r="M30" s="42">
        <f t="shared" si="31"/>
        <v>0</v>
      </c>
      <c r="N30" s="42">
        <f t="shared" si="31"/>
        <v>0</v>
      </c>
      <c r="O30" s="43">
        <f t="shared" ref="O30:O32" si="32">I30*L30+J30*M30+K30*N30</f>
        <v>0</v>
      </c>
      <c r="P30" s="41">
        <f>套件!G4</f>
        <v>0</v>
      </c>
      <c r="Q30" s="50"/>
      <c r="R30" s="45">
        <f>Q30+O30</f>
        <v>0</v>
      </c>
      <c r="S30" s="46">
        <f>R30+3.5</f>
        <v>3.5</v>
      </c>
      <c r="T30" s="41" t="s">
        <v>54</v>
      </c>
      <c r="V30" s="25"/>
    </row>
    <row r="31" s="22" customFormat="1" ht="15" spans="1:1024 1025:16341">
      <c r="A31" s="41">
        <f>ROW()-7</f>
        <v>24</v>
      </c>
      <c r="B31" s="41" t="s">
        <v>60</v>
      </c>
      <c r="C31" s="41" t="s">
        <v>46</v>
      </c>
      <c r="D31" s="41" t="s">
        <v>22</v>
      </c>
      <c r="E31" s="41" t="s">
        <v>23</v>
      </c>
      <c r="F31" s="58" t="s">
        <v>55</v>
      </c>
      <c r="G31" s="41">
        <v>5124</v>
      </c>
      <c r="H31" s="41" t="s">
        <v>26</v>
      </c>
      <c r="I31" s="41">
        <f t="shared" ref="I31:K31" si="33">24*48*1</f>
        <v>1152</v>
      </c>
      <c r="J31" s="41">
        <f t="shared" si="33"/>
        <v>1152</v>
      </c>
      <c r="K31" s="41"/>
      <c r="L31" s="42">
        <f t="shared" ref="L31:N31" si="34">L30</f>
        <v>0</v>
      </c>
      <c r="M31" s="42">
        <f t="shared" si="34"/>
        <v>0</v>
      </c>
      <c r="N31" s="42">
        <f t="shared" si="34"/>
        <v>0</v>
      </c>
      <c r="O31" s="43">
        <f t="shared" si="32"/>
        <v>0</v>
      </c>
      <c r="P31" s="41">
        <f>P30</f>
        <v>0</v>
      </c>
      <c r="Q31" s="50"/>
      <c r="R31" s="45">
        <f>Q31+O31</f>
        <v>0</v>
      </c>
      <c r="S31" s="46">
        <f>R31+3.5</f>
        <v>3.5</v>
      </c>
      <c r="T31" s="41" t="s">
        <v>54</v>
      </c>
      <c r="V31" s="25"/>
    </row>
    <row r="32" s="22" customFormat="1" ht="15" spans="1:1024 1025:16341">
      <c r="A32" s="41">
        <f>ROW()-7</f>
        <v>25</v>
      </c>
      <c r="B32" s="41" t="s">
        <v>60</v>
      </c>
      <c r="C32" s="41" t="s">
        <v>39</v>
      </c>
      <c r="D32" s="41" t="s">
        <v>22</v>
      </c>
      <c r="E32" s="41" t="s">
        <v>23</v>
      </c>
      <c r="F32" s="58" t="s">
        <v>55</v>
      </c>
      <c r="G32" s="41">
        <v>5124</v>
      </c>
      <c r="H32" s="41" t="s">
        <v>30</v>
      </c>
      <c r="I32" s="41">
        <f t="shared" ref="I32:K32" si="35">24*48*1</f>
        <v>1152</v>
      </c>
      <c r="J32" s="41">
        <f t="shared" si="35"/>
        <v>1152</v>
      </c>
      <c r="K32" s="41">
        <f t="shared" si="35"/>
        <v>1152</v>
      </c>
      <c r="L32" s="42">
        <f t="shared" ref="L32:N32" si="36">L31</f>
        <v>0</v>
      </c>
      <c r="M32" s="42">
        <f t="shared" si="36"/>
        <v>0</v>
      </c>
      <c r="N32" s="42">
        <f t="shared" si="36"/>
        <v>0</v>
      </c>
      <c r="O32" s="43">
        <f t="shared" si="32"/>
        <v>0</v>
      </c>
      <c r="P32" s="41">
        <f>P31</f>
        <v>0</v>
      </c>
      <c r="Q32" s="50"/>
      <c r="R32" s="45">
        <f>Q32+O32</f>
        <v>0</v>
      </c>
      <c r="S32" s="46">
        <f>R32+3.5</f>
        <v>3.5</v>
      </c>
      <c r="T32" s="41" t="s">
        <v>54</v>
      </c>
      <c r="V32" s="25"/>
    </row>
  </sheetData>
  <mergeCells count="2">
    <mergeCell ref="A1:T1"/>
    <mergeCell ref="A27:T27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workbookViewId="0">
      <pane ySplit="3" topLeftCell="A4" activePane="bottomLeft" state="frozen"/>
      <selection/>
      <selection pane="bottomLeft" activeCell="Q4" sqref="Q4:Q20"/>
    </sheetView>
  </sheetViews>
  <sheetFormatPr defaultColWidth="9" defaultRowHeight="14"/>
  <cols>
    <col min="1" max="1" width="6.72727272727273" style="21" customWidth="1"/>
    <col min="2" max="2" width="11.0909090909091" style="19" customWidth="1"/>
    <col min="3" max="3" width="12.3636363636364" style="19" customWidth="1"/>
    <col min="4" max="4" width="13.4272727272727" style="19" hidden="1" customWidth="1"/>
    <col min="5" max="5" width="12.6454545454545" style="19" hidden="1" customWidth="1"/>
    <col min="6" max="6" width="12.0272727272727" style="19" hidden="1" customWidth="1"/>
    <col min="7" max="7" width="11.6363636363636" style="19" hidden="1" customWidth="1"/>
    <col min="8" max="8" width="22.5181818181818" style="19" hidden="1" customWidth="1"/>
    <col min="9" max="9" width="8.63636363636364" style="19" customWidth="1"/>
    <col min="10" max="10" width="9.90909090909091" style="19" customWidth="1"/>
    <col min="11" max="11" width="9.22727272727273" style="19" customWidth="1"/>
    <col min="12" max="12" width="11.1181818181818" style="23" customWidth="1"/>
    <col min="13" max="13" width="10.8" style="23" customWidth="1"/>
    <col min="14" max="14" width="10.9090909090909" style="23" customWidth="1"/>
    <col min="15" max="15" width="12.7181818181818" style="24" customWidth="1"/>
    <col min="16" max="16" width="7.35454545454545" style="24" customWidth="1"/>
    <col min="17" max="17" width="11.0545454545455" style="25" customWidth="1"/>
    <col min="18" max="18" width="15.0909090909091" style="26" customWidth="1"/>
    <col min="19" max="19" width="15.4909090909091" style="26" customWidth="1"/>
    <col min="20" max="20" width="16.2" style="19" customWidth="1"/>
    <col min="21" max="21" width="10.4545454545455" style="19" customWidth="1"/>
    <col min="22" max="16309" width="9" style="19"/>
    <col min="16320" max="16326" width="9" style="19"/>
  </cols>
  <sheetData>
    <row r="1" s="19" customFormat="1" ht="27.5" spans="1:20">
      <c r="A1" s="27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8"/>
      <c r="N1" s="28"/>
      <c r="O1" s="27"/>
      <c r="P1" s="27"/>
      <c r="Q1" s="29"/>
      <c r="R1" s="30"/>
      <c r="S1" s="30"/>
    </row>
    <row r="2" s="20" customFormat="1" ht="35" spans="1:20">
      <c r="A2" s="31" t="s">
        <v>2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11</v>
      </c>
      <c r="K2" s="31" t="s">
        <v>12</v>
      </c>
      <c r="L2" s="32" t="s">
        <v>13</v>
      </c>
      <c r="M2" s="32" t="s">
        <v>14</v>
      </c>
      <c r="N2" s="32" t="s">
        <v>15</v>
      </c>
      <c r="O2" s="33" t="s">
        <v>16</v>
      </c>
      <c r="P2" s="34" t="s">
        <v>52</v>
      </c>
      <c r="Q2" s="35" t="s">
        <v>49</v>
      </c>
      <c r="R2" s="36" t="s">
        <v>18</v>
      </c>
      <c r="S2" s="36" t="s">
        <v>19</v>
      </c>
    </row>
    <row r="3" s="21" customFormat="1" ht="23" spans="1:20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8">
        <f>灯价格!A7</f>
        <v>0</v>
      </c>
      <c r="M3" s="38">
        <f>灯价格!B7</f>
        <v>0</v>
      </c>
      <c r="N3" s="38">
        <f>灯价格!C7</f>
        <v>0</v>
      </c>
      <c r="O3" s="39"/>
      <c r="P3" s="39"/>
      <c r="Q3" s="40"/>
      <c r="R3" s="39"/>
      <c r="S3" s="39"/>
    </row>
    <row r="4" s="22" customFormat="1" ht="15" spans="1:20">
      <c r="A4" s="41">
        <f>ROW()-3</f>
        <v>1</v>
      </c>
      <c r="B4" s="41" t="s">
        <v>27</v>
      </c>
      <c r="C4" s="41" t="s">
        <v>32</v>
      </c>
      <c r="D4" s="41" t="s">
        <v>22</v>
      </c>
      <c r="E4" s="41" t="s">
        <v>23</v>
      </c>
      <c r="F4" s="41" t="s">
        <v>55</v>
      </c>
      <c r="G4" s="41" t="s">
        <v>50</v>
      </c>
      <c r="H4" s="41" t="s">
        <v>26</v>
      </c>
      <c r="I4" s="41">
        <f>8*16*2</f>
        <v>256</v>
      </c>
      <c r="J4" s="41">
        <f>8*16*1</f>
        <v>128</v>
      </c>
      <c r="K4" s="41"/>
      <c r="L4" s="42">
        <f>L3</f>
        <v>0</v>
      </c>
      <c r="M4" s="42">
        <f>M3</f>
        <v>0</v>
      </c>
      <c r="N4" s="42">
        <f>N3</f>
        <v>0</v>
      </c>
      <c r="O4" s="43">
        <f>I4*L4+J4*M4+K4*N4</f>
        <v>0</v>
      </c>
      <c r="P4" s="43">
        <f>套件!G8</f>
        <v>0</v>
      </c>
      <c r="Q4" s="44"/>
      <c r="R4" s="45">
        <f>O4+Q4+P4</f>
        <v>0</v>
      </c>
      <c r="S4" s="45">
        <f>R4+3.5</f>
        <v>3.5</v>
      </c>
    </row>
    <row r="5" s="22" customFormat="1" ht="15" spans="1:20">
      <c r="A5" s="41">
        <f>ROW()-3</f>
        <v>2</v>
      </c>
      <c r="B5" s="41" t="s">
        <v>27</v>
      </c>
      <c r="C5" s="41" t="s">
        <v>34</v>
      </c>
      <c r="D5" s="41" t="s">
        <v>22</v>
      </c>
      <c r="E5" s="41" t="s">
        <v>23</v>
      </c>
      <c r="F5" s="41" t="s">
        <v>55</v>
      </c>
      <c r="G5" s="41" t="s">
        <v>50</v>
      </c>
      <c r="H5" s="41" t="s">
        <v>30</v>
      </c>
      <c r="I5" s="41">
        <f>8*16*2</f>
        <v>256</v>
      </c>
      <c r="J5" s="41">
        <f>8*16*1</f>
        <v>128</v>
      </c>
      <c r="K5" s="41">
        <f>8*16*1</f>
        <v>128</v>
      </c>
      <c r="L5" s="42">
        <f>L4</f>
        <v>0</v>
      </c>
      <c r="M5" s="42">
        <f>M4</f>
        <v>0</v>
      </c>
      <c r="N5" s="42">
        <f>N4</f>
        <v>0</v>
      </c>
      <c r="O5" s="43">
        <f>I5*L5+J5*M5+K5*N5</f>
        <v>0</v>
      </c>
      <c r="P5" s="43">
        <f>P4</f>
        <v>0</v>
      </c>
      <c r="Q5" s="44"/>
      <c r="R5" s="45">
        <f>O5+Q5+P5</f>
        <v>0</v>
      </c>
      <c r="S5" s="45">
        <f>R5+3.5</f>
        <v>3.5</v>
      </c>
    </row>
    <row r="6" s="22" customFormat="1" ht="15" spans="1:20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7"/>
      <c r="M6" s="47"/>
      <c r="N6" s="47"/>
      <c r="O6" s="48"/>
      <c r="P6" s="48"/>
      <c r="Q6" s="49"/>
      <c r="R6" s="45"/>
      <c r="S6" s="45"/>
    </row>
    <row r="7" s="22" customFormat="1" ht="15" spans="1:20">
      <c r="A7" s="41">
        <f>ROW()-3</f>
        <v>4</v>
      </c>
      <c r="B7" s="41" t="s">
        <v>35</v>
      </c>
      <c r="C7" s="41" t="s">
        <v>32</v>
      </c>
      <c r="D7" s="41" t="s">
        <v>22</v>
      </c>
      <c r="E7" s="41" t="s">
        <v>23</v>
      </c>
      <c r="F7" s="41" t="s">
        <v>55</v>
      </c>
      <c r="G7" s="41" t="s">
        <v>50</v>
      </c>
      <c r="H7" s="41" t="s">
        <v>26</v>
      </c>
      <c r="I7" s="41">
        <f>10*20*2</f>
        <v>400</v>
      </c>
      <c r="J7" s="41">
        <f>10*20*1</f>
        <v>200</v>
      </c>
      <c r="K7" s="41"/>
      <c r="L7" s="42">
        <f>L3</f>
        <v>0</v>
      </c>
      <c r="M7" s="42">
        <f>M3</f>
        <v>0</v>
      </c>
      <c r="N7" s="42">
        <f>N3</f>
        <v>0</v>
      </c>
      <c r="O7" s="43">
        <f>I7*L7+J7*M7+K7*N7</f>
        <v>0</v>
      </c>
      <c r="P7" s="43">
        <f>套件!G7</f>
        <v>0</v>
      </c>
      <c r="Q7" s="44"/>
      <c r="R7" s="45">
        <f>O7+Q7+P7</f>
        <v>0</v>
      </c>
      <c r="S7" s="45">
        <f>R7+3.5</f>
        <v>3.5</v>
      </c>
    </row>
    <row r="8" s="22" customFormat="1" ht="15" spans="1:20">
      <c r="A8" s="41">
        <f>ROW()-3</f>
        <v>5</v>
      </c>
      <c r="B8" s="41" t="s">
        <v>35</v>
      </c>
      <c r="C8" s="41" t="s">
        <v>34</v>
      </c>
      <c r="D8" s="41" t="s">
        <v>22</v>
      </c>
      <c r="E8" s="41" t="s">
        <v>23</v>
      </c>
      <c r="F8" s="41" t="s">
        <v>55</v>
      </c>
      <c r="G8" s="41" t="s">
        <v>50</v>
      </c>
      <c r="H8" s="41" t="s">
        <v>30</v>
      </c>
      <c r="I8" s="41">
        <f>10*20*2</f>
        <v>400</v>
      </c>
      <c r="J8" s="41">
        <f>10*20*1</f>
        <v>200</v>
      </c>
      <c r="K8" s="41">
        <f>10*20*1</f>
        <v>200</v>
      </c>
      <c r="L8" s="42">
        <f>L7</f>
        <v>0</v>
      </c>
      <c r="M8" s="42">
        <f>M7</f>
        <v>0</v>
      </c>
      <c r="N8" s="42">
        <f>N7</f>
        <v>0</v>
      </c>
      <c r="O8" s="43">
        <f>I8*L8+J8*M8+K8*N8</f>
        <v>0</v>
      </c>
      <c r="P8" s="43">
        <f>P7</f>
        <v>0</v>
      </c>
      <c r="Q8" s="44"/>
      <c r="R8" s="45">
        <f>O8+Q8+P8</f>
        <v>0</v>
      </c>
      <c r="S8" s="45">
        <f>R8+3.5</f>
        <v>3.5</v>
      </c>
    </row>
    <row r="9" s="22" customFormat="1" ht="15" spans="1:20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  <c r="M9" s="47"/>
      <c r="N9" s="47"/>
      <c r="O9" s="48"/>
      <c r="P9" s="48"/>
      <c r="Q9" s="49"/>
      <c r="R9" s="45"/>
      <c r="S9" s="45"/>
    </row>
    <row r="10" s="22" customFormat="1" ht="15" spans="1:20">
      <c r="A10" s="41">
        <f t="shared" ref="A10:A12" si="0">ROW()-3</f>
        <v>7</v>
      </c>
      <c r="B10" s="41" t="s">
        <v>56</v>
      </c>
      <c r="C10" s="41" t="s">
        <v>32</v>
      </c>
      <c r="D10" s="41" t="s">
        <v>22</v>
      </c>
      <c r="E10" s="41" t="s">
        <v>23</v>
      </c>
      <c r="F10" s="41" t="s">
        <v>55</v>
      </c>
      <c r="G10" s="41" t="s">
        <v>50</v>
      </c>
      <c r="H10" s="41" t="s">
        <v>26</v>
      </c>
      <c r="I10" s="41">
        <f>12*24*2</f>
        <v>576</v>
      </c>
      <c r="J10" s="41">
        <f t="shared" ref="J10:J12" si="1">12*24*1</f>
        <v>288</v>
      </c>
      <c r="K10" s="41"/>
      <c r="L10" s="42">
        <f t="shared" ref="L10:N10" si="2">L3</f>
        <v>0</v>
      </c>
      <c r="M10" s="42">
        <f t="shared" si="2"/>
        <v>0</v>
      </c>
      <c r="N10" s="42">
        <f t="shared" si="2"/>
        <v>0</v>
      </c>
      <c r="O10" s="43">
        <f t="shared" ref="O10:O12" si="3">I10*L10+J10*M10+K10*N10</f>
        <v>0</v>
      </c>
      <c r="P10" s="43">
        <f>套件!G6</f>
        <v>0</v>
      </c>
      <c r="Q10" s="50"/>
      <c r="R10" s="45">
        <f t="shared" ref="R10:R12" si="4">O10+Q10+P10</f>
        <v>0</v>
      </c>
      <c r="S10" s="45">
        <f>+R10+5</f>
        <v>5</v>
      </c>
    </row>
    <row r="11" s="22" customFormat="1" ht="15" spans="1:20">
      <c r="A11" s="41">
        <f t="shared" si="0"/>
        <v>8</v>
      </c>
      <c r="B11" s="41" t="s">
        <v>56</v>
      </c>
      <c r="C11" s="41" t="s">
        <v>34</v>
      </c>
      <c r="D11" s="41" t="s">
        <v>22</v>
      </c>
      <c r="E11" s="41" t="s">
        <v>23</v>
      </c>
      <c r="F11" s="41" t="s">
        <v>55</v>
      </c>
      <c r="G11" s="41" t="s">
        <v>50</v>
      </c>
      <c r="H11" s="41" t="s">
        <v>30</v>
      </c>
      <c r="I11" s="41">
        <f>12*24*2</f>
        <v>576</v>
      </c>
      <c r="J11" s="41">
        <f t="shared" si="1"/>
        <v>288</v>
      </c>
      <c r="K11" s="41">
        <f>12*24*1</f>
        <v>288</v>
      </c>
      <c r="L11" s="42">
        <f>L10</f>
        <v>0</v>
      </c>
      <c r="M11" s="42">
        <f>M10</f>
        <v>0</v>
      </c>
      <c r="N11" s="42">
        <f>N10</f>
        <v>0</v>
      </c>
      <c r="O11" s="43">
        <f t="shared" si="3"/>
        <v>0</v>
      </c>
      <c r="P11" s="43">
        <f>P10</f>
        <v>0</v>
      </c>
      <c r="Q11" s="50"/>
      <c r="R11" s="45">
        <f t="shared" si="4"/>
        <v>0</v>
      </c>
      <c r="S11" s="45">
        <f>+R11+5</f>
        <v>5</v>
      </c>
    </row>
    <row r="12" s="22" customFormat="1" ht="15" spans="1:20">
      <c r="A12" s="41">
        <f t="shared" si="0"/>
        <v>9</v>
      </c>
      <c r="B12" s="41" t="s">
        <v>56</v>
      </c>
      <c r="C12" s="41" t="s">
        <v>39</v>
      </c>
      <c r="D12" s="41" t="s">
        <v>22</v>
      </c>
      <c r="E12" s="41" t="s">
        <v>23</v>
      </c>
      <c r="F12" s="41" t="s">
        <v>55</v>
      </c>
      <c r="G12" s="41" t="s">
        <v>50</v>
      </c>
      <c r="H12" s="41" t="s">
        <v>30</v>
      </c>
      <c r="I12" s="41">
        <f>12*24*1</f>
        <v>288</v>
      </c>
      <c r="J12" s="41">
        <f t="shared" si="1"/>
        <v>288</v>
      </c>
      <c r="K12" s="41">
        <f>12*24*1</f>
        <v>288</v>
      </c>
      <c r="L12" s="42">
        <f>L11</f>
        <v>0</v>
      </c>
      <c r="M12" s="42">
        <f>M11</f>
        <v>0</v>
      </c>
      <c r="N12" s="42">
        <f>N11</f>
        <v>0</v>
      </c>
      <c r="O12" s="43">
        <f t="shared" si="3"/>
        <v>0</v>
      </c>
      <c r="P12" s="43">
        <f>P10</f>
        <v>0</v>
      </c>
      <c r="Q12" s="50"/>
      <c r="R12" s="45">
        <f t="shared" si="4"/>
        <v>0</v>
      </c>
      <c r="S12" s="45">
        <f>+R12+5</f>
        <v>5</v>
      </c>
    </row>
    <row r="13" s="22" customFormat="1" ht="15" spans="1:20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  <c r="M13" s="47"/>
      <c r="N13" s="47"/>
      <c r="O13" s="48"/>
      <c r="P13" s="48"/>
      <c r="Q13" s="51"/>
      <c r="R13" s="45"/>
      <c r="S13" s="45"/>
    </row>
    <row r="14" s="22" customFormat="1" ht="15" spans="1:20">
      <c r="A14" s="41">
        <f t="shared" ref="A14:A17" si="5">ROW()-3</f>
        <v>11</v>
      </c>
      <c r="B14" s="41" t="s">
        <v>58</v>
      </c>
      <c r="C14" s="41" t="s">
        <v>32</v>
      </c>
      <c r="D14" s="41" t="s">
        <v>22</v>
      </c>
      <c r="E14" s="41" t="s">
        <v>23</v>
      </c>
      <c r="F14" s="41" t="s">
        <v>55</v>
      </c>
      <c r="G14" s="41" t="s">
        <v>50</v>
      </c>
      <c r="H14" s="41" t="s">
        <v>26</v>
      </c>
      <c r="I14" s="41">
        <f>16*32*2</f>
        <v>1024</v>
      </c>
      <c r="J14" s="41">
        <f t="shared" ref="J14:J17" si="6">16*32*1</f>
        <v>512</v>
      </c>
      <c r="K14" s="41"/>
      <c r="L14" s="42">
        <f>L3</f>
        <v>0</v>
      </c>
      <c r="M14" s="42">
        <f>M3</f>
        <v>0</v>
      </c>
      <c r="N14" s="42">
        <f t="shared" ref="L14:N14" si="7">N3</f>
        <v>0</v>
      </c>
      <c r="O14" s="43">
        <f t="shared" ref="O14:O17" si="8">I14*L14+J14*M14+K14*N14</f>
        <v>0</v>
      </c>
      <c r="P14" s="43">
        <f>套件!G5</f>
        <v>0</v>
      </c>
      <c r="Q14" s="50"/>
      <c r="R14" s="45">
        <f t="shared" ref="R14:R17" si="9">O14+Q14+P14</f>
        <v>0</v>
      </c>
      <c r="S14" s="45">
        <f>R14+5</f>
        <v>5</v>
      </c>
    </row>
    <row r="15" s="22" customFormat="1" ht="15" spans="1:20">
      <c r="A15" s="41">
        <f t="shared" si="5"/>
        <v>12</v>
      </c>
      <c r="B15" s="41" t="s">
        <v>58</v>
      </c>
      <c r="C15" s="41" t="s">
        <v>34</v>
      </c>
      <c r="D15" s="41" t="s">
        <v>22</v>
      </c>
      <c r="E15" s="41" t="s">
        <v>23</v>
      </c>
      <c r="F15" s="41" t="s">
        <v>55</v>
      </c>
      <c r="G15" s="41" t="s">
        <v>50</v>
      </c>
      <c r="H15" s="41" t="s">
        <v>30</v>
      </c>
      <c r="I15" s="41">
        <v>1024</v>
      </c>
      <c r="J15" s="41">
        <f t="shared" si="6"/>
        <v>512</v>
      </c>
      <c r="K15" s="41">
        <f>16*32*1</f>
        <v>512</v>
      </c>
      <c r="L15" s="42">
        <f>L14</f>
        <v>0</v>
      </c>
      <c r="M15" s="42">
        <f>M14</f>
        <v>0</v>
      </c>
      <c r="N15" s="42">
        <f>N14</f>
        <v>0</v>
      </c>
      <c r="O15" s="43">
        <f t="shared" si="8"/>
        <v>0</v>
      </c>
      <c r="P15" s="43">
        <f>P14</f>
        <v>0</v>
      </c>
      <c r="Q15" s="50"/>
      <c r="R15" s="45">
        <f t="shared" si="9"/>
        <v>0</v>
      </c>
      <c r="S15" s="45">
        <f>R15+5</f>
        <v>5</v>
      </c>
    </row>
    <row r="16" s="22" customFormat="1" ht="15" spans="1:20">
      <c r="A16" s="41">
        <f t="shared" si="5"/>
        <v>13</v>
      </c>
      <c r="B16" s="41" t="s">
        <v>58</v>
      </c>
      <c r="C16" s="41" t="s">
        <v>46</v>
      </c>
      <c r="D16" s="41" t="s">
        <v>22</v>
      </c>
      <c r="E16" s="41" t="s">
        <v>23</v>
      </c>
      <c r="F16" s="41" t="s">
        <v>55</v>
      </c>
      <c r="G16" s="41" t="s">
        <v>50</v>
      </c>
      <c r="H16" s="41" t="s">
        <v>30</v>
      </c>
      <c r="I16" s="41">
        <f t="shared" ref="I16:K16" si="10">16*32*1</f>
        <v>512</v>
      </c>
      <c r="J16" s="41">
        <f t="shared" si="10"/>
        <v>512</v>
      </c>
      <c r="K16" s="41"/>
      <c r="L16" s="42">
        <f>L15</f>
        <v>0</v>
      </c>
      <c r="M16" s="42">
        <f>M15</f>
        <v>0</v>
      </c>
      <c r="N16" s="42">
        <f>N15</f>
        <v>0</v>
      </c>
      <c r="O16" s="43">
        <f t="shared" si="8"/>
        <v>0</v>
      </c>
      <c r="P16" s="43">
        <f>P14</f>
        <v>0</v>
      </c>
      <c r="Q16" s="50"/>
      <c r="R16" s="45">
        <f t="shared" si="9"/>
        <v>0</v>
      </c>
      <c r="S16" s="45">
        <f>R16+5</f>
        <v>5</v>
      </c>
      <c r="T16" s="52"/>
    </row>
    <row r="17" s="22" customFormat="1" ht="15" spans="1:20">
      <c r="A17" s="41">
        <f t="shared" si="5"/>
        <v>14</v>
      </c>
      <c r="B17" s="41" t="s">
        <v>58</v>
      </c>
      <c r="C17" s="41" t="s">
        <v>39</v>
      </c>
      <c r="D17" s="41" t="s">
        <v>22</v>
      </c>
      <c r="E17" s="41" t="s">
        <v>23</v>
      </c>
      <c r="F17" s="41" t="s">
        <v>55</v>
      </c>
      <c r="G17" s="41" t="s">
        <v>50</v>
      </c>
      <c r="H17" s="41" t="s">
        <v>30</v>
      </c>
      <c r="I17" s="41">
        <f>16*32*1</f>
        <v>512</v>
      </c>
      <c r="J17" s="41">
        <f t="shared" si="6"/>
        <v>512</v>
      </c>
      <c r="K17" s="41">
        <f>16*32*1</f>
        <v>512</v>
      </c>
      <c r="L17" s="42">
        <f>L16</f>
        <v>0</v>
      </c>
      <c r="M17" s="42">
        <f>M16</f>
        <v>0</v>
      </c>
      <c r="N17" s="42">
        <f>N16</f>
        <v>0</v>
      </c>
      <c r="O17" s="43">
        <f t="shared" si="8"/>
        <v>0</v>
      </c>
      <c r="P17" s="43">
        <f>P14</f>
        <v>0</v>
      </c>
      <c r="Q17" s="50"/>
      <c r="R17" s="45">
        <f t="shared" si="9"/>
        <v>0</v>
      </c>
      <c r="S17" s="45">
        <f>R17+5</f>
        <v>5</v>
      </c>
    </row>
    <row r="18" s="22" customFormat="1" ht="15" spans="1:20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7"/>
      <c r="M18" s="47"/>
      <c r="N18" s="47"/>
      <c r="O18" s="48"/>
      <c r="P18" s="48"/>
      <c r="Q18" s="51"/>
      <c r="R18" s="45"/>
      <c r="S18" s="45"/>
    </row>
    <row r="19" s="22" customFormat="1" ht="15" spans="1:20">
      <c r="A19" s="41">
        <f>ROW()-3</f>
        <v>16</v>
      </c>
      <c r="B19" s="41" t="s">
        <v>60</v>
      </c>
      <c r="C19" s="41" t="s">
        <v>46</v>
      </c>
      <c r="D19" s="41" t="s">
        <v>22</v>
      </c>
      <c r="E19" s="41" t="s">
        <v>23</v>
      </c>
      <c r="F19" s="41" t="s">
        <v>55</v>
      </c>
      <c r="G19" s="41" t="s">
        <v>50</v>
      </c>
      <c r="H19" s="41" t="s">
        <v>26</v>
      </c>
      <c r="I19" s="41">
        <f>24*48*1</f>
        <v>1152</v>
      </c>
      <c r="J19" s="41">
        <f>24*48*1</f>
        <v>1152</v>
      </c>
      <c r="K19" s="41"/>
      <c r="L19" s="42">
        <f>L3</f>
        <v>0</v>
      </c>
      <c r="M19" s="42">
        <f>M3</f>
        <v>0</v>
      </c>
      <c r="N19" s="42">
        <f>N3</f>
        <v>0</v>
      </c>
      <c r="O19" s="43">
        <f>I19*L19+J19*M19+K19*N19</f>
        <v>0</v>
      </c>
      <c r="P19" s="41">
        <f>套件!G4</f>
        <v>0</v>
      </c>
      <c r="Q19" s="50"/>
      <c r="R19" s="45">
        <f>O19+Q19+P19</f>
        <v>0</v>
      </c>
      <c r="S19" s="45">
        <f>R19+3.5</f>
        <v>3.5</v>
      </c>
    </row>
    <row r="20" s="22" customFormat="1" ht="15" spans="1:20">
      <c r="A20" s="41">
        <f>ROW()-3</f>
        <v>17</v>
      </c>
      <c r="B20" s="41" t="s">
        <v>60</v>
      </c>
      <c r="C20" s="41" t="s">
        <v>39</v>
      </c>
      <c r="D20" s="41" t="s">
        <v>22</v>
      </c>
      <c r="E20" s="41" t="s">
        <v>23</v>
      </c>
      <c r="F20" s="41" t="s">
        <v>55</v>
      </c>
      <c r="G20" s="41" t="s">
        <v>50</v>
      </c>
      <c r="H20" s="41" t="s">
        <v>30</v>
      </c>
      <c r="I20" s="41">
        <f t="shared" ref="I20:K20" si="11">24*48*1</f>
        <v>1152</v>
      </c>
      <c r="J20" s="41">
        <f t="shared" si="11"/>
        <v>1152</v>
      </c>
      <c r="K20" s="41">
        <f t="shared" si="11"/>
        <v>1152</v>
      </c>
      <c r="L20" s="42">
        <f>L19</f>
        <v>0</v>
      </c>
      <c r="M20" s="42">
        <f>M19</f>
        <v>0</v>
      </c>
      <c r="N20" s="42">
        <f>N19</f>
        <v>0</v>
      </c>
      <c r="O20" s="43"/>
      <c r="P20" s="41">
        <f>P19</f>
        <v>0</v>
      </c>
      <c r="Q20" s="50"/>
      <c r="R20" s="45">
        <f>O20+Q20+P20</f>
        <v>0</v>
      </c>
      <c r="S20" s="45">
        <f>R20+3.5</f>
        <v>3.5</v>
      </c>
    </row>
    <row r="21" ht="42" customHeight="1"/>
    <row r="22" ht="30" customHeight="1" spans="1:20">
      <c r="A22" s="53" t="s">
        <v>62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5"/>
      <c r="S22" s="55"/>
    </row>
    <row r="23" s="20" customFormat="1" ht="52.5" spans="1:20">
      <c r="A23" s="31" t="s">
        <v>2</v>
      </c>
      <c r="B23" s="31" t="s">
        <v>3</v>
      </c>
      <c r="C23" s="31" t="s">
        <v>4</v>
      </c>
      <c r="D23" s="31" t="s">
        <v>5</v>
      </c>
      <c r="E23" s="31" t="s">
        <v>6</v>
      </c>
      <c r="F23" s="31" t="s">
        <v>7</v>
      </c>
      <c r="G23" s="31" t="s">
        <v>8</v>
      </c>
      <c r="H23" s="31" t="s">
        <v>9</v>
      </c>
      <c r="I23" s="32" t="s">
        <v>63</v>
      </c>
      <c r="J23" s="31"/>
      <c r="K23" s="31"/>
      <c r="L23" s="32" t="s">
        <v>63</v>
      </c>
      <c r="M23" s="32"/>
      <c r="N23" s="32"/>
      <c r="O23" s="33" t="s">
        <v>16</v>
      </c>
      <c r="P23" s="34" t="s">
        <v>52</v>
      </c>
      <c r="Q23" s="35" t="s">
        <v>49</v>
      </c>
      <c r="R23" s="36" t="s">
        <v>18</v>
      </c>
      <c r="S23" s="36" t="s">
        <v>19</v>
      </c>
      <c r="T23" s="31" t="s">
        <v>53</v>
      </c>
    </row>
    <row r="24" s="21" customFormat="1" ht="23" spans="1:20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56">
        <v>0.088</v>
      </c>
      <c r="M24" s="38"/>
      <c r="N24" s="38"/>
      <c r="O24" s="39"/>
      <c r="P24" s="39"/>
      <c r="Q24" s="40"/>
      <c r="R24" s="39"/>
      <c r="S24" s="39"/>
      <c r="T24" s="57" t="s">
        <v>64</v>
      </c>
    </row>
    <row r="25" s="22" customFormat="1" ht="31" customHeight="1" spans="1:20">
      <c r="A25" s="41">
        <f>ROW()-3</f>
        <v>22</v>
      </c>
      <c r="B25" s="41" t="s">
        <v>60</v>
      </c>
      <c r="C25" s="41" t="s">
        <v>39</v>
      </c>
      <c r="D25" s="41" t="s">
        <v>22</v>
      </c>
      <c r="E25" s="41" t="s">
        <v>23</v>
      </c>
      <c r="F25" s="58" t="s">
        <v>55</v>
      </c>
      <c r="G25" s="41" t="s">
        <v>50</v>
      </c>
      <c r="H25" s="41" t="s">
        <v>30</v>
      </c>
      <c r="I25" s="58">
        <f t="shared" ref="I25:K25" si="12">24*48*1</f>
        <v>1152</v>
      </c>
      <c r="J25" s="58"/>
      <c r="K25" s="58"/>
      <c r="L25" s="42">
        <f>L24</f>
        <v>0.088</v>
      </c>
      <c r="M25" s="42"/>
      <c r="N25" s="42"/>
      <c r="O25" s="43"/>
      <c r="P25" s="43">
        <f>套件!G3</f>
        <v>0</v>
      </c>
      <c r="Q25" s="50">
        <v>323</v>
      </c>
      <c r="R25" s="59">
        <f>Q25+P25</f>
        <v>323</v>
      </c>
      <c r="S25" s="60">
        <f>R25+5</f>
        <v>328</v>
      </c>
      <c r="T25" s="61" t="s">
        <v>64</v>
      </c>
    </row>
  </sheetData>
  <mergeCells count="2">
    <mergeCell ref="A1:S1"/>
    <mergeCell ref="A22:S22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6"/>
  <sheetViews>
    <sheetView tabSelected="1" zoomScale="235" zoomScaleNormal="235" topLeftCell="A5" workbookViewId="0">
      <selection activeCell="B10" sqref="B10:B14"/>
    </sheetView>
  </sheetViews>
  <sheetFormatPr defaultColWidth="8.72727272727273" defaultRowHeight="14" outlineLevelCol="7"/>
  <cols>
    <col min="1" max="1" width="10.4363636363636" customWidth="1"/>
    <col min="2" max="2" width="11.7818181818182" customWidth="1"/>
    <col min="3" max="3" width="11.5272727272727" customWidth="1"/>
  </cols>
  <sheetData>
    <row r="1" spans="1:8">
      <c r="A1" s="1" t="s">
        <v>65</v>
      </c>
      <c r="B1" s="1"/>
      <c r="C1" s="1"/>
    </row>
    <row r="2" ht="15" spans="1:8">
      <c r="A2" s="13" t="s">
        <v>13</v>
      </c>
      <c r="B2" s="13" t="s">
        <v>14</v>
      </c>
      <c r="C2" s="13" t="s">
        <v>15</v>
      </c>
      <c r="D2" s="14" t="s">
        <v>66</v>
      </c>
    </row>
    <row r="3" spans="1:8">
      <c r="A3" s="9"/>
      <c r="B3" s="9"/>
      <c r="C3" s="9"/>
      <c r="D3" s="9"/>
      <c r="E3" s="15">
        <v>7.15</v>
      </c>
    </row>
    <row r="5" spans="1:8">
      <c r="A5" s="1" t="s">
        <v>67</v>
      </c>
      <c r="B5" s="1"/>
      <c r="C5" s="1"/>
    </row>
    <row r="6" ht="15" spans="1:8">
      <c r="A6" s="13" t="s">
        <v>13</v>
      </c>
      <c r="B6" s="13" t="s">
        <v>14</v>
      </c>
      <c r="C6" s="13" t="s">
        <v>15</v>
      </c>
      <c r="D6" s="14" t="s">
        <v>66</v>
      </c>
    </row>
    <row r="7" ht="21" customHeight="1" spans="1:8">
      <c r="A7" s="9"/>
      <c r="B7" s="9"/>
      <c r="C7" s="9"/>
      <c r="D7" s="9"/>
      <c r="E7" s="15">
        <v>7.15</v>
      </c>
    </row>
    <row r="9" spans="1:8">
      <c r="A9" s="9" t="s">
        <v>68</v>
      </c>
      <c r="B9" s="9" t="s">
        <v>69</v>
      </c>
    </row>
    <row r="10" spans="1:8">
      <c r="A10" s="9">
        <v>5034</v>
      </c>
      <c r="B10" s="9"/>
      <c r="C10" s="16" t="s">
        <v>70</v>
      </c>
    </row>
    <row r="11" spans="1:8">
      <c r="A11" s="17">
        <v>5251</v>
      </c>
      <c r="B11" s="17"/>
      <c r="C11" s="18" t="s">
        <v>71</v>
      </c>
    </row>
    <row r="12" spans="1:8">
      <c r="A12" s="9">
        <v>5124</v>
      </c>
      <c r="B12" s="9"/>
      <c r="C12" s="16" t="s">
        <v>70</v>
      </c>
    </row>
    <row r="13" spans="1:8">
      <c r="A13" s="9">
        <v>16289</v>
      </c>
      <c r="B13" s="9"/>
      <c r="C13" s="16" t="s">
        <v>70</v>
      </c>
    </row>
    <row r="14" spans="1:8">
      <c r="A14" s="9" t="s">
        <v>72</v>
      </c>
      <c r="B14" s="9"/>
      <c r="C14" s="16" t="s">
        <v>70</v>
      </c>
    </row>
    <row r="16" spans="1:8">
      <c r="A16" t="s">
        <v>73</v>
      </c>
      <c r="H16" s="15">
        <v>7.15</v>
      </c>
    </row>
  </sheetData>
  <mergeCells count="2">
    <mergeCell ref="A1:C1"/>
    <mergeCell ref="A5:C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"/>
  <sheetViews>
    <sheetView zoomScale="160" zoomScaleNormal="160" workbookViewId="0">
      <selection activeCell="G29" sqref="G29"/>
    </sheetView>
  </sheetViews>
  <sheetFormatPr defaultColWidth="8.72727272727273" defaultRowHeight="14" outlineLevelCol="1"/>
  <sheetData>
    <row r="1" spans="2:2">
      <c r="B1" s="12" t="s">
        <v>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3" sqref="K13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"/>
  <sheetViews>
    <sheetView zoomScale="205" zoomScaleNormal="205" workbookViewId="0">
      <selection activeCell="D3" sqref="D3:D9"/>
    </sheetView>
  </sheetViews>
  <sheetFormatPr defaultColWidth="8.72727272727273" defaultRowHeight="14" outlineLevelCol="4"/>
  <cols>
    <col min="2" max="2" width="19.3272727272727" style="1" customWidth="1"/>
    <col min="3" max="3" width="13.1181818181818" customWidth="1"/>
    <col min="4" max="4" width="17.2454545454545" customWidth="1"/>
    <col min="5" max="5" width="21.5" style="1" customWidth="1"/>
  </cols>
  <sheetData>
    <row r="2" spans="1:5">
      <c r="A2" s="9" t="s">
        <v>2</v>
      </c>
      <c r="B2" s="9" t="s">
        <v>3</v>
      </c>
      <c r="C2" s="9" t="s">
        <v>7</v>
      </c>
      <c r="D2" s="9" t="s">
        <v>69</v>
      </c>
      <c r="E2" s="9" t="s">
        <v>53</v>
      </c>
    </row>
    <row r="3" spans="1:5">
      <c r="A3" s="9">
        <v>1</v>
      </c>
      <c r="B3" s="9" t="s">
        <v>75</v>
      </c>
      <c r="C3" s="9" t="s">
        <v>76</v>
      </c>
      <c r="D3" s="9"/>
      <c r="E3" s="9" t="s">
        <v>77</v>
      </c>
    </row>
    <row r="4" ht="28" spans="1:5">
      <c r="A4" s="9">
        <v>2</v>
      </c>
      <c r="B4" s="9" t="s">
        <v>78</v>
      </c>
      <c r="C4" s="9" t="s">
        <v>76</v>
      </c>
      <c r="D4" s="9"/>
      <c r="E4" s="10" t="s">
        <v>79</v>
      </c>
    </row>
    <row r="5" spans="1:5">
      <c r="A5" s="9">
        <v>3</v>
      </c>
      <c r="B5" s="9" t="s">
        <v>75</v>
      </c>
      <c r="C5" s="9" t="s">
        <v>76</v>
      </c>
      <c r="D5" s="9"/>
      <c r="E5" s="9" t="s">
        <v>80</v>
      </c>
    </row>
    <row r="6" ht="28" spans="1:5">
      <c r="A6" s="9">
        <v>4</v>
      </c>
      <c r="B6" s="9" t="s">
        <v>78</v>
      </c>
      <c r="C6" s="9" t="s">
        <v>76</v>
      </c>
      <c r="D6" s="9"/>
      <c r="E6" s="10" t="s">
        <v>81</v>
      </c>
    </row>
    <row r="7" spans="1:5">
      <c r="A7" s="9">
        <v>5</v>
      </c>
      <c r="B7" s="9" t="s">
        <v>75</v>
      </c>
      <c r="C7" s="9" t="s">
        <v>82</v>
      </c>
      <c r="D7" s="9"/>
      <c r="E7" s="9" t="s">
        <v>80</v>
      </c>
    </row>
    <row r="8" spans="1:5">
      <c r="A8" s="9">
        <v>6</v>
      </c>
      <c r="B8" s="9" t="s">
        <v>83</v>
      </c>
      <c r="C8" s="9" t="s">
        <v>76</v>
      </c>
      <c r="D8" s="9"/>
      <c r="E8" s="9" t="s">
        <v>84</v>
      </c>
    </row>
    <row r="9" spans="1:5">
      <c r="A9" s="9">
        <v>7</v>
      </c>
      <c r="B9" s="9" t="s">
        <v>83</v>
      </c>
      <c r="C9" s="9" t="s">
        <v>76</v>
      </c>
      <c r="D9" s="9"/>
      <c r="E9" s="9" t="s">
        <v>77</v>
      </c>
    </row>
    <row r="10" spans="1:5">
      <c r="A10" s="9">
        <v>8</v>
      </c>
      <c r="B10" s="9" t="s">
        <v>85</v>
      </c>
      <c r="C10" s="9" t="s">
        <v>76</v>
      </c>
      <c r="D10" s="9"/>
      <c r="E10" s="9" t="s">
        <v>84</v>
      </c>
    </row>
    <row r="11" spans="1:5">
      <c r="A11" s="9">
        <v>9</v>
      </c>
      <c r="B11" s="9" t="s">
        <v>85</v>
      </c>
      <c r="C11" s="9" t="s">
        <v>76</v>
      </c>
      <c r="D11" s="9"/>
      <c r="E11" s="9" t="s">
        <v>77</v>
      </c>
    </row>
    <row r="12" spans="1:5">
      <c r="A12" s="9">
        <v>10</v>
      </c>
      <c r="B12" s="9" t="s">
        <v>86</v>
      </c>
      <c r="C12" s="9" t="s">
        <v>76</v>
      </c>
      <c r="D12" s="11"/>
      <c r="E12" s="9" t="s">
        <v>84</v>
      </c>
    </row>
    <row r="13" spans="1:5">
      <c r="A13" s="9">
        <v>11</v>
      </c>
      <c r="B13" s="9" t="s">
        <v>87</v>
      </c>
      <c r="C13" s="9" t="s">
        <v>76</v>
      </c>
      <c r="D13" s="11"/>
      <c r="E13" s="9" t="s">
        <v>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160" zoomScaleNormal="160" topLeftCell="A5" workbookViewId="0">
      <selection activeCell="B3" sqref="B3:F8"/>
    </sheetView>
  </sheetViews>
  <sheetFormatPr defaultColWidth="9" defaultRowHeight="14" outlineLevelCol="6"/>
  <cols>
    <col min="1" max="1" width="15.7818181818182" style="1" customWidth="1"/>
    <col min="2" max="6" width="9" style="1"/>
    <col min="7" max="7" width="24.9272727272727" style="1" customWidth="1"/>
  </cols>
  <sheetData>
    <row r="1" spans="1:7">
      <c r="A1" s="2" t="s">
        <v>3</v>
      </c>
      <c r="B1" s="2" t="s">
        <v>88</v>
      </c>
      <c r="C1" s="3" t="s">
        <v>89</v>
      </c>
      <c r="D1" s="3"/>
      <c r="E1" s="3"/>
      <c r="F1" s="2" t="s">
        <v>90</v>
      </c>
      <c r="G1" s="2" t="s">
        <v>66</v>
      </c>
    </row>
    <row r="2" spans="1:7">
      <c r="A2" s="4"/>
      <c r="B2" s="4"/>
      <c r="C2" s="3" t="s">
        <v>91</v>
      </c>
      <c r="D2" s="3" t="s">
        <v>69</v>
      </c>
      <c r="E2" s="3" t="s">
        <v>92</v>
      </c>
      <c r="F2" s="4"/>
      <c r="G2" s="4"/>
    </row>
    <row r="3" ht="33" customHeight="1" spans="1:7">
      <c r="A3" s="5" t="s">
        <v>93</v>
      </c>
      <c r="B3" s="5"/>
      <c r="C3" s="5"/>
      <c r="D3" s="5"/>
      <c r="E3" s="5"/>
      <c r="F3" s="5"/>
      <c r="G3" s="5">
        <f t="shared" ref="G3:G19" si="0">F3+E3+B3</f>
        <v>0</v>
      </c>
    </row>
    <row r="4" ht="33" customHeight="1" spans="1:7">
      <c r="A4" s="6" t="s">
        <v>94</v>
      </c>
      <c r="B4" s="6"/>
      <c r="C4" s="6"/>
      <c r="D4" s="6"/>
      <c r="E4" s="6"/>
      <c r="F4" s="6"/>
      <c r="G4" s="6">
        <f t="shared" si="0"/>
        <v>0</v>
      </c>
    </row>
    <row r="5" ht="33" customHeight="1" spans="1:7">
      <c r="A5" s="7">
        <v>15.625</v>
      </c>
      <c r="B5" s="7"/>
      <c r="C5" s="7"/>
      <c r="D5" s="7"/>
      <c r="E5" s="7"/>
      <c r="F5" s="7"/>
      <c r="G5" s="7">
        <f t="shared" si="0"/>
        <v>0</v>
      </c>
    </row>
    <row r="6" ht="33" customHeight="1" spans="1:7">
      <c r="A6" s="8">
        <v>20.833</v>
      </c>
      <c r="B6" s="8"/>
      <c r="C6" s="8"/>
      <c r="D6" s="8"/>
      <c r="E6" s="8"/>
      <c r="F6" s="8"/>
      <c r="G6" s="8">
        <f t="shared" si="0"/>
        <v>0</v>
      </c>
    </row>
    <row r="7" ht="33" customHeight="1" spans="1:7">
      <c r="A7" s="5">
        <v>25</v>
      </c>
      <c r="B7" s="5"/>
      <c r="C7" s="5"/>
      <c r="D7" s="5"/>
      <c r="E7" s="5"/>
      <c r="F7" s="5"/>
      <c r="G7" s="5">
        <f t="shared" si="0"/>
        <v>0</v>
      </c>
    </row>
    <row r="8" ht="33" customHeight="1" spans="1:7">
      <c r="A8" s="6">
        <v>31.25</v>
      </c>
      <c r="B8" s="6"/>
      <c r="C8" s="6"/>
      <c r="D8" s="6"/>
      <c r="E8" s="6"/>
      <c r="F8" s="6"/>
      <c r="G8" s="6">
        <f t="shared" si="0"/>
        <v>0</v>
      </c>
    </row>
    <row r="9" spans="1:7">
      <c r="A9" s="9"/>
      <c r="B9" s="9"/>
      <c r="C9" s="9"/>
      <c r="D9" s="9"/>
      <c r="E9" s="9">
        <f t="shared" ref="E3:E19" si="1">C9*D9</f>
        <v>0</v>
      </c>
      <c r="F9" s="9"/>
      <c r="G9" s="9">
        <f t="shared" si="0"/>
        <v>0</v>
      </c>
    </row>
    <row r="10" spans="1:7">
      <c r="A10" s="9"/>
      <c r="B10" s="9"/>
      <c r="C10" s="9"/>
      <c r="D10" s="9"/>
      <c r="E10" s="9">
        <f t="shared" si="1"/>
        <v>0</v>
      </c>
      <c r="F10" s="9"/>
      <c r="G10" s="9">
        <f t="shared" si="0"/>
        <v>0</v>
      </c>
    </row>
    <row r="11" spans="1:7">
      <c r="A11" s="9"/>
      <c r="B11" s="9"/>
      <c r="C11" s="9"/>
      <c r="D11" s="9"/>
      <c r="E11" s="9">
        <f t="shared" si="1"/>
        <v>0</v>
      </c>
      <c r="F11" s="9"/>
      <c r="G11" s="9">
        <f t="shared" si="0"/>
        <v>0</v>
      </c>
    </row>
    <row r="12" spans="1:7">
      <c r="A12" s="9"/>
      <c r="B12" s="9"/>
      <c r="C12" s="9"/>
      <c r="D12" s="9"/>
      <c r="E12" s="9">
        <f t="shared" si="1"/>
        <v>0</v>
      </c>
      <c r="F12" s="9"/>
      <c r="G12" s="9">
        <f t="shared" si="0"/>
        <v>0</v>
      </c>
    </row>
    <row r="13" spans="1:7">
      <c r="A13" s="9"/>
      <c r="B13" s="9"/>
      <c r="C13" s="9"/>
      <c r="D13" s="9"/>
      <c r="E13" s="9">
        <f t="shared" si="1"/>
        <v>0</v>
      </c>
      <c r="F13" s="9"/>
      <c r="G13" s="9">
        <f t="shared" si="0"/>
        <v>0</v>
      </c>
    </row>
    <row r="14" spans="1:7">
      <c r="A14" s="9"/>
      <c r="B14" s="9"/>
      <c r="C14" s="9"/>
      <c r="D14" s="9"/>
      <c r="E14" s="9">
        <f t="shared" si="1"/>
        <v>0</v>
      </c>
      <c r="F14" s="9"/>
      <c r="G14" s="9">
        <f t="shared" si="0"/>
        <v>0</v>
      </c>
    </row>
    <row r="15" spans="1:7">
      <c r="A15" s="9"/>
      <c r="B15" s="9"/>
      <c r="C15" s="9"/>
      <c r="D15" s="9"/>
      <c r="E15" s="9">
        <f t="shared" si="1"/>
        <v>0</v>
      </c>
      <c r="F15" s="9"/>
      <c r="G15" s="9">
        <f t="shared" si="0"/>
        <v>0</v>
      </c>
    </row>
    <row r="16" spans="1:7">
      <c r="A16" s="9"/>
      <c r="B16" s="9"/>
      <c r="C16" s="9"/>
      <c r="D16" s="9"/>
      <c r="E16" s="9">
        <f t="shared" si="1"/>
        <v>0</v>
      </c>
      <c r="F16" s="9"/>
      <c r="G16" s="9">
        <f t="shared" si="0"/>
        <v>0</v>
      </c>
    </row>
    <row r="17" spans="1:7">
      <c r="A17" s="9"/>
      <c r="B17" s="9"/>
      <c r="C17" s="9"/>
      <c r="D17" s="9"/>
      <c r="E17" s="9">
        <f t="shared" si="1"/>
        <v>0</v>
      </c>
      <c r="F17" s="9"/>
      <c r="G17" s="9">
        <f t="shared" si="0"/>
        <v>0</v>
      </c>
    </row>
    <row r="18" spans="1:7">
      <c r="A18" s="9"/>
      <c r="B18" s="9"/>
      <c r="C18" s="9"/>
      <c r="D18" s="9"/>
      <c r="E18" s="9">
        <f t="shared" si="1"/>
        <v>0</v>
      </c>
      <c r="F18" s="9"/>
      <c r="G18" s="9">
        <f t="shared" si="0"/>
        <v>0</v>
      </c>
    </row>
    <row r="19" spans="1:7">
      <c r="A19" s="9"/>
      <c r="B19" s="9"/>
      <c r="C19" s="9"/>
      <c r="D19" s="9"/>
      <c r="E19" s="9">
        <f t="shared" si="1"/>
        <v>0</v>
      </c>
      <c r="F19" s="9"/>
      <c r="G19" s="9">
        <f t="shared" si="0"/>
        <v>0</v>
      </c>
    </row>
  </sheetData>
  <mergeCells count="5">
    <mergeCell ref="C1:E1"/>
    <mergeCell ref="A1:A2"/>
    <mergeCell ref="B1:B2"/>
    <mergeCell ref="F1:F2"/>
    <mergeCell ref="G1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普通模组价格5034B</vt:lpstr>
      <vt:lpstr>普通模组价格16289</vt:lpstr>
      <vt:lpstr>250-500模组价格5034</vt:lpstr>
      <vt:lpstr>250-500模组价格16289</vt:lpstr>
      <vt:lpstr>灯价格</vt:lpstr>
      <vt:lpstr>折叠屏模组</vt:lpstr>
      <vt:lpstr>强力</vt:lpstr>
      <vt:lpstr>箱体单价</vt:lpstr>
      <vt:lpstr>套件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田野</cp:lastModifiedBy>
  <dcterms:created xsi:type="dcterms:W3CDTF">2021-05-21T02:22:00Z</dcterms:created>
  <dcterms:modified xsi:type="dcterms:W3CDTF">2026-10-28T10:08:56Z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90931148638F408180BDE2C3366CB865_13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